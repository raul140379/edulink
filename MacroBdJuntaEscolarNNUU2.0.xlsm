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9.xml" ContentType="application/vnd.openxmlformats-officedocument.spreadsheetml.table+xml"/>
  <Override PartName="/xl/drawings/drawing9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E:\Mis Trabajos\Proyecto Web\SistemaPadresUE\sgje\"/>
    </mc:Choice>
  </mc:AlternateContent>
  <xr:revisionPtr revIDLastSave="0" documentId="13_ncr:1_{DE2F357B-E8C0-4A5F-A427-B1F0A7DEACF6}" xr6:coauthVersionLast="47" xr6:coauthVersionMax="47" xr10:uidLastSave="{00000000-0000-0000-0000-000000000000}"/>
  <bookViews>
    <workbookView xWindow="-108" yWindow="-108" windowWidth="23256" windowHeight="12456" tabRatio="756" firstSheet="8" activeTab="12" xr2:uid="{EF3B775B-7890-40AB-9EB4-34CF815B6F53}"/>
  </bookViews>
  <sheets>
    <sheet name="MENU" sheetId="9" r:id="rId1"/>
    <sheet name="OBLIGACIONES" sheetId="16" r:id="rId2"/>
    <sheet name="ASAMBLEAS" sheetId="18" r:id="rId3"/>
    <sheet name="MINGA" sheetId="22" r:id="rId4"/>
    <sheet name="ACTIVIDADES" sheetId="23" r:id="rId5"/>
    <sheet name="BTH" sheetId="20" r:id="rId6"/>
    <sheet name="APORTE2025" sheetId="17" r:id="rId7"/>
    <sheet name="OBLIGACIONES2025" sheetId="12" r:id="rId8"/>
    <sheet name="Padres1" sheetId="2" r:id="rId9"/>
    <sheet name="BUSQUEDAPADRES" sheetId="13" r:id="rId10"/>
    <sheet name="Hoja1" sheetId="24" r:id="rId11"/>
    <sheet name="BUSQUEDAALUMNOS" sheetId="14" r:id="rId12"/>
    <sheet name="PADRES" sheetId="10" r:id="rId13"/>
    <sheet name="LISTACURSO" sheetId="15" r:id="rId14"/>
    <sheet name="ALUMNOS2025" sheetId="11" r:id="rId15"/>
    <sheet name="BusquedaMultiplie" sheetId="4" r:id="rId16"/>
  </sheets>
  <definedNames>
    <definedName name="_xleta.IF" hidden="1" xlm="1">#NAME?</definedName>
    <definedName name="_xleta.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81" i="23" l="1"/>
  <c r="C481" i="23" s="1"/>
  <c r="B480" i="23"/>
  <c r="B479" i="23"/>
  <c r="C479" i="23" s="1"/>
  <c r="B478" i="23"/>
  <c r="C478" i="23" s="1"/>
  <c r="B477" i="23"/>
  <c r="C477" i="23" s="1"/>
  <c r="B476" i="23"/>
  <c r="C476" i="23" s="1"/>
  <c r="B475" i="23"/>
  <c r="C475" i="23" s="1"/>
  <c r="B474" i="23"/>
  <c r="C474" i="23" s="1"/>
  <c r="B473" i="23"/>
  <c r="B472" i="23"/>
  <c r="C472" i="23" s="1"/>
  <c r="B471" i="23"/>
  <c r="C471" i="23" s="1"/>
  <c r="B470" i="23"/>
  <c r="C470" i="23" s="1"/>
  <c r="B469" i="23"/>
  <c r="C469" i="23" s="1"/>
  <c r="B468" i="23"/>
  <c r="C468" i="23" s="1"/>
  <c r="B467" i="23"/>
  <c r="C467" i="23" s="1"/>
  <c r="C466" i="23"/>
  <c r="B466" i="23"/>
  <c r="B465" i="23"/>
  <c r="C465" i="23" s="1"/>
  <c r="B464" i="23"/>
  <c r="C464" i="23" s="1"/>
  <c r="B463" i="23"/>
  <c r="B462" i="23"/>
  <c r="B461" i="23"/>
  <c r="C461" i="23" s="1"/>
  <c r="B460" i="23"/>
  <c r="B459" i="23"/>
  <c r="C459" i="23" s="1"/>
  <c r="B458" i="23"/>
  <c r="C458" i="23" s="1"/>
  <c r="B457" i="23"/>
  <c r="B456" i="23"/>
  <c r="C456" i="23" s="1"/>
  <c r="B455" i="23"/>
  <c r="C455" i="23" s="1"/>
  <c r="B454" i="23"/>
  <c r="B453" i="23"/>
  <c r="B452" i="23"/>
  <c r="B451" i="23"/>
  <c r="B450" i="23"/>
  <c r="B449" i="23"/>
  <c r="B448" i="23"/>
  <c r="B447" i="23"/>
  <c r="B446" i="23"/>
  <c r="B445" i="23"/>
  <c r="B444" i="23"/>
  <c r="B443" i="23"/>
  <c r="B442" i="23"/>
  <c r="B441" i="23"/>
  <c r="B440" i="23"/>
  <c r="B439" i="23"/>
  <c r="B438" i="23"/>
  <c r="B437" i="23"/>
  <c r="B436" i="23"/>
  <c r="B435" i="23"/>
  <c r="C435" i="23" s="1"/>
  <c r="B434" i="23"/>
  <c r="B433" i="23"/>
  <c r="B432" i="23"/>
  <c r="C432" i="23" s="1"/>
  <c r="B431" i="23"/>
  <c r="B430" i="23"/>
  <c r="B429" i="23"/>
  <c r="B428" i="23"/>
  <c r="B427" i="23"/>
  <c r="B426" i="23"/>
  <c r="B425" i="23"/>
  <c r="B424" i="23"/>
  <c r="B423" i="23"/>
  <c r="B422" i="23"/>
  <c r="B421" i="23"/>
  <c r="B420" i="23"/>
  <c r="B419" i="23"/>
  <c r="B418" i="23"/>
  <c r="B417" i="23"/>
  <c r="B416" i="23"/>
  <c r="B415" i="23"/>
  <c r="B414" i="23"/>
  <c r="B413" i="23"/>
  <c r="B412" i="23"/>
  <c r="B411" i="23"/>
  <c r="B410" i="23"/>
  <c r="B409" i="23"/>
  <c r="B408" i="23"/>
  <c r="B407" i="23"/>
  <c r="B406" i="23"/>
  <c r="B405" i="23"/>
  <c r="B404" i="23"/>
  <c r="B403" i="23"/>
  <c r="B402" i="23"/>
  <c r="B401" i="23"/>
  <c r="B400" i="23"/>
  <c r="B399" i="23"/>
  <c r="B398" i="23"/>
  <c r="B397" i="23"/>
  <c r="B396" i="23"/>
  <c r="B395" i="23"/>
  <c r="B394" i="23"/>
  <c r="B393" i="23"/>
  <c r="B392" i="23"/>
  <c r="B391" i="23"/>
  <c r="B390" i="23"/>
  <c r="B389" i="23"/>
  <c r="C389" i="23" s="1"/>
  <c r="B388" i="23"/>
  <c r="B387" i="23"/>
  <c r="B386" i="23"/>
  <c r="B385" i="23"/>
  <c r="B384" i="23"/>
  <c r="B383" i="23"/>
  <c r="C383" i="23" s="1"/>
  <c r="B382" i="23"/>
  <c r="B381" i="23"/>
  <c r="B380" i="23"/>
  <c r="B379" i="23"/>
  <c r="C379" i="23" s="1"/>
  <c r="B378" i="23"/>
  <c r="B377" i="23"/>
  <c r="B376" i="23"/>
  <c r="B375" i="23"/>
  <c r="B374" i="23"/>
  <c r="B373" i="23"/>
  <c r="B372" i="23"/>
  <c r="B371" i="23"/>
  <c r="B370" i="23"/>
  <c r="B369" i="23"/>
  <c r="C369" i="23" s="1"/>
  <c r="B368" i="23"/>
  <c r="B367" i="23"/>
  <c r="C367" i="23" s="1"/>
  <c r="B366" i="23"/>
  <c r="C366" i="23" s="1"/>
  <c r="B365" i="23"/>
  <c r="C365" i="23" s="1"/>
  <c r="B364" i="23"/>
  <c r="B363" i="23"/>
  <c r="B362" i="23"/>
  <c r="B361" i="23"/>
  <c r="B360" i="23"/>
  <c r="B359" i="23"/>
  <c r="B358" i="23"/>
  <c r="B357" i="23"/>
  <c r="B356" i="23"/>
  <c r="B355" i="23"/>
  <c r="B354" i="23"/>
  <c r="C354" i="23" s="1"/>
  <c r="B353" i="23"/>
  <c r="B352" i="23"/>
  <c r="B351" i="23"/>
  <c r="B350" i="23"/>
  <c r="B349" i="23"/>
  <c r="B348" i="23"/>
  <c r="B347" i="23"/>
  <c r="B346" i="23"/>
  <c r="B345" i="23"/>
  <c r="B344" i="23"/>
  <c r="B343" i="23"/>
  <c r="B342" i="23"/>
  <c r="B341" i="23"/>
  <c r="B340" i="23"/>
  <c r="B339" i="23"/>
  <c r="B338" i="23"/>
  <c r="C338" i="23" s="1"/>
  <c r="B337" i="23"/>
  <c r="B336" i="23"/>
  <c r="B335" i="23"/>
  <c r="B334" i="23"/>
  <c r="B333" i="23"/>
  <c r="B332" i="23"/>
  <c r="B331" i="23"/>
  <c r="C331" i="23" s="1"/>
  <c r="B330" i="23"/>
  <c r="B329" i="23"/>
  <c r="B328" i="23"/>
  <c r="B327" i="23"/>
  <c r="B326" i="23"/>
  <c r="B325" i="23"/>
  <c r="C325" i="23" s="1"/>
  <c r="B324" i="23"/>
  <c r="B323" i="23"/>
  <c r="B322" i="23"/>
  <c r="B321" i="23"/>
  <c r="B320" i="23"/>
  <c r="B319" i="23"/>
  <c r="B318" i="23"/>
  <c r="B317" i="23"/>
  <c r="B316" i="23"/>
  <c r="B315" i="23"/>
  <c r="B314" i="23"/>
  <c r="B313" i="23"/>
  <c r="C313" i="23" s="1"/>
  <c r="B312" i="23"/>
  <c r="B311" i="23"/>
  <c r="B310" i="23"/>
  <c r="B309" i="23"/>
  <c r="B308" i="23"/>
  <c r="B307" i="23"/>
  <c r="B306" i="23"/>
  <c r="B305" i="23"/>
  <c r="B304" i="23"/>
  <c r="B303" i="23"/>
  <c r="C303" i="23" s="1"/>
  <c r="B302" i="23"/>
  <c r="B301" i="23"/>
  <c r="B300" i="23"/>
  <c r="B299" i="23"/>
  <c r="B298" i="23"/>
  <c r="C298" i="23" s="1"/>
  <c r="B297" i="23"/>
  <c r="B296" i="23"/>
  <c r="B295" i="23"/>
  <c r="B294" i="23"/>
  <c r="B293" i="23"/>
  <c r="B292" i="23"/>
  <c r="B291" i="23"/>
  <c r="B290" i="23"/>
  <c r="C290" i="23" s="1"/>
  <c r="B289" i="23"/>
  <c r="B288" i="23"/>
  <c r="B287" i="23"/>
  <c r="B286" i="23"/>
  <c r="B285" i="23"/>
  <c r="B284" i="23"/>
  <c r="B283" i="23"/>
  <c r="B282" i="23"/>
  <c r="B281" i="23"/>
  <c r="B280" i="23"/>
  <c r="B279" i="23"/>
  <c r="B278" i="23"/>
  <c r="C278" i="23" s="1"/>
  <c r="B277" i="23"/>
  <c r="B276" i="23"/>
  <c r="B275" i="23"/>
  <c r="B274" i="23"/>
  <c r="B273" i="23"/>
  <c r="B272" i="23"/>
  <c r="B271" i="23"/>
  <c r="B270" i="23"/>
  <c r="B269" i="23"/>
  <c r="B268" i="23"/>
  <c r="B267" i="23"/>
  <c r="B266" i="23"/>
  <c r="B265" i="23"/>
  <c r="C265" i="23" s="1"/>
  <c r="B264" i="23"/>
  <c r="C264" i="23" s="1"/>
  <c r="B263" i="23"/>
  <c r="B262" i="23"/>
  <c r="B261" i="23"/>
  <c r="B260" i="23"/>
  <c r="B259" i="23"/>
  <c r="C259" i="23" s="1"/>
  <c r="B258" i="23"/>
  <c r="B257" i="23"/>
  <c r="B256" i="23"/>
  <c r="C256" i="23" s="1"/>
  <c r="B255" i="23"/>
  <c r="B254" i="23"/>
  <c r="B253" i="23"/>
  <c r="B252" i="23"/>
  <c r="B251" i="23"/>
  <c r="B250" i="23"/>
  <c r="B249" i="23"/>
  <c r="B248" i="23"/>
  <c r="B247" i="23"/>
  <c r="B246" i="23"/>
  <c r="B245" i="23"/>
  <c r="B244" i="23"/>
  <c r="B243" i="23"/>
  <c r="B242" i="23"/>
  <c r="B241" i="23"/>
  <c r="B240" i="23"/>
  <c r="B239" i="23"/>
  <c r="B238" i="23"/>
  <c r="B237" i="23"/>
  <c r="B236" i="23"/>
  <c r="B235" i="23"/>
  <c r="B234" i="23"/>
  <c r="B233" i="23"/>
  <c r="B232" i="23"/>
  <c r="B231" i="23"/>
  <c r="B230" i="23"/>
  <c r="B229" i="23"/>
  <c r="B228" i="23"/>
  <c r="B227" i="23"/>
  <c r="B226" i="23"/>
  <c r="B225" i="23"/>
  <c r="B224" i="23"/>
  <c r="B223" i="23"/>
  <c r="B222" i="23"/>
  <c r="C222" i="23" s="1"/>
  <c r="B221" i="23"/>
  <c r="B220" i="23"/>
  <c r="B219" i="23"/>
  <c r="B218" i="23"/>
  <c r="B217" i="23"/>
  <c r="B216" i="23"/>
  <c r="B215" i="23"/>
  <c r="B214" i="23"/>
  <c r="B213" i="23"/>
  <c r="C213" i="23" s="1"/>
  <c r="B212" i="23"/>
  <c r="B211" i="23"/>
  <c r="B210" i="23"/>
  <c r="B209" i="23"/>
  <c r="B208" i="23"/>
  <c r="B207" i="23"/>
  <c r="B206" i="23"/>
  <c r="B205" i="23"/>
  <c r="B204" i="23"/>
  <c r="B203" i="23"/>
  <c r="B202" i="23"/>
  <c r="B201" i="23"/>
  <c r="B200" i="23"/>
  <c r="B199" i="23"/>
  <c r="B198" i="23"/>
  <c r="B197" i="23"/>
  <c r="B196" i="23"/>
  <c r="B195" i="23"/>
  <c r="B194" i="23"/>
  <c r="B193" i="23"/>
  <c r="B192" i="23"/>
  <c r="B191" i="23"/>
  <c r="B190" i="23"/>
  <c r="B189" i="23"/>
  <c r="B188" i="23"/>
  <c r="B187" i="23"/>
  <c r="B186" i="23"/>
  <c r="B185" i="23"/>
  <c r="B184" i="23"/>
  <c r="B183" i="23"/>
  <c r="B182" i="23"/>
  <c r="B181" i="23"/>
  <c r="B180" i="23"/>
  <c r="B179" i="23"/>
  <c r="B178" i="23"/>
  <c r="B177" i="23"/>
  <c r="B176" i="23"/>
  <c r="B175" i="23"/>
  <c r="B174" i="23"/>
  <c r="B173" i="23"/>
  <c r="B172" i="23"/>
  <c r="B171" i="23"/>
  <c r="B170" i="23"/>
  <c r="B169" i="23"/>
  <c r="B168" i="23"/>
  <c r="B167" i="23"/>
  <c r="B166" i="23"/>
  <c r="C166" i="23" s="1"/>
  <c r="B165" i="23"/>
  <c r="B164" i="23"/>
  <c r="B163" i="23"/>
  <c r="B162" i="23"/>
  <c r="B161" i="23"/>
  <c r="B160" i="23"/>
  <c r="B159" i="23"/>
  <c r="B158" i="23"/>
  <c r="B157" i="23"/>
  <c r="B156" i="23"/>
  <c r="B155" i="23"/>
  <c r="B154" i="23"/>
  <c r="B153" i="23"/>
  <c r="B152" i="23"/>
  <c r="B151" i="23"/>
  <c r="B150" i="23"/>
  <c r="B149" i="23"/>
  <c r="B148" i="23"/>
  <c r="B147" i="23"/>
  <c r="B146" i="23"/>
  <c r="B145" i="23"/>
  <c r="B144" i="23"/>
  <c r="B143" i="23"/>
  <c r="B142" i="23"/>
  <c r="B141" i="23"/>
  <c r="B140" i="23"/>
  <c r="B139" i="23"/>
  <c r="B138" i="23"/>
  <c r="B137" i="23"/>
  <c r="B136" i="23"/>
  <c r="B135" i="23"/>
  <c r="B134" i="23"/>
  <c r="B133" i="23"/>
  <c r="B132" i="23"/>
  <c r="B131" i="23"/>
  <c r="B130" i="23"/>
  <c r="B129" i="23"/>
  <c r="B128" i="23"/>
  <c r="B127" i="23"/>
  <c r="B126" i="23"/>
  <c r="B125" i="23"/>
  <c r="B124" i="23"/>
  <c r="B123" i="23"/>
  <c r="B122" i="23"/>
  <c r="B121" i="23"/>
  <c r="B120" i="23"/>
  <c r="B119" i="23"/>
  <c r="B118" i="23"/>
  <c r="B117" i="23"/>
  <c r="B116" i="23"/>
  <c r="B115" i="23"/>
  <c r="B114" i="23"/>
  <c r="B113" i="23"/>
  <c r="B112" i="23"/>
  <c r="B111" i="23"/>
  <c r="B110" i="23"/>
  <c r="B109" i="23"/>
  <c r="B108" i="23"/>
  <c r="B107" i="23"/>
  <c r="B106" i="23"/>
  <c r="B105" i="23"/>
  <c r="B104" i="23"/>
  <c r="B103" i="23"/>
  <c r="B102" i="23"/>
  <c r="C102" i="23" s="1"/>
  <c r="B101" i="23"/>
  <c r="B100" i="23"/>
  <c r="B99" i="23"/>
  <c r="B98" i="23"/>
  <c r="B97" i="23"/>
  <c r="B96" i="23"/>
  <c r="B95" i="23"/>
  <c r="B94" i="23"/>
  <c r="B93" i="23"/>
  <c r="B92" i="23"/>
  <c r="B91" i="23"/>
  <c r="B90" i="23"/>
  <c r="B89" i="23"/>
  <c r="B88" i="23"/>
  <c r="B87" i="23"/>
  <c r="B86" i="23"/>
  <c r="B85" i="23"/>
  <c r="B84" i="23"/>
  <c r="B83" i="23"/>
  <c r="B82" i="23"/>
  <c r="B81" i="23"/>
  <c r="B80" i="23"/>
  <c r="B79" i="23"/>
  <c r="B78" i="23"/>
  <c r="B77" i="23"/>
  <c r="B76" i="23"/>
  <c r="B75" i="23"/>
  <c r="B74" i="23"/>
  <c r="B73" i="23"/>
  <c r="B72" i="23"/>
  <c r="B71" i="23"/>
  <c r="B70" i="23"/>
  <c r="B69" i="23"/>
  <c r="B68" i="23"/>
  <c r="B67" i="23"/>
  <c r="B66" i="23"/>
  <c r="B65" i="23"/>
  <c r="C65" i="23" s="1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B49" i="23"/>
  <c r="B48" i="23"/>
  <c r="B47" i="23"/>
  <c r="B46" i="23"/>
  <c r="B45" i="23"/>
  <c r="B44" i="23"/>
  <c r="B43" i="23"/>
  <c r="B42" i="23"/>
  <c r="B41" i="23"/>
  <c r="B40" i="23"/>
  <c r="B39" i="23"/>
  <c r="C39" i="23" s="1"/>
  <c r="B38" i="23"/>
  <c r="B37" i="23"/>
  <c r="B36" i="23"/>
  <c r="B35" i="23"/>
  <c r="B34" i="23"/>
  <c r="B33" i="23"/>
  <c r="B32" i="23"/>
  <c r="B31" i="23"/>
  <c r="B30" i="23"/>
  <c r="B29" i="23"/>
  <c r="B28" i="23"/>
  <c r="B27" i="23"/>
  <c r="B26" i="23"/>
  <c r="B25" i="23"/>
  <c r="B24" i="23"/>
  <c r="B23" i="23"/>
  <c r="B22" i="23"/>
  <c r="B21" i="23"/>
  <c r="B20" i="23"/>
  <c r="B19" i="23"/>
  <c r="B18" i="23"/>
  <c r="B17" i="23"/>
  <c r="B16" i="23"/>
  <c r="B15" i="23"/>
  <c r="B14" i="23"/>
  <c r="B13" i="23"/>
  <c r="B12" i="23"/>
  <c r="B11" i="23"/>
  <c r="B10" i="23"/>
  <c r="B9" i="23"/>
  <c r="E7" i="20"/>
  <c r="B524" i="18"/>
  <c r="B473" i="22"/>
  <c r="B474" i="22"/>
  <c r="B475" i="22"/>
  <c r="B476" i="22"/>
  <c r="C476" i="22" s="1"/>
  <c r="B477" i="22"/>
  <c r="C477" i="22" s="1"/>
  <c r="B478" i="22"/>
  <c r="C478" i="22" s="1"/>
  <c r="B479" i="22"/>
  <c r="C479" i="22" s="1"/>
  <c r="B480" i="22"/>
  <c r="B481" i="22"/>
  <c r="G517" i="12"/>
  <c r="G514" i="12"/>
  <c r="C474" i="22"/>
  <c r="C475" i="22"/>
  <c r="B523" i="20"/>
  <c r="D523" i="20" s="1"/>
  <c r="D522" i="20"/>
  <c r="E522" i="20"/>
  <c r="F522" i="20" s="1"/>
  <c r="A523" i="17"/>
  <c r="C522" i="17"/>
  <c r="F494" i="12"/>
  <c r="F513" i="12"/>
  <c r="A473" i="18"/>
  <c r="A474" i="18"/>
  <c r="A475" i="18"/>
  <c r="A476" i="18"/>
  <c r="A477" i="18"/>
  <c r="A478" i="18"/>
  <c r="A479" i="18"/>
  <c r="B479" i="18" s="1"/>
  <c r="A480" i="18"/>
  <c r="A481" i="18"/>
  <c r="B481" i="18" s="1"/>
  <c r="B474" i="18"/>
  <c r="B475" i="18"/>
  <c r="B476" i="18"/>
  <c r="B477" i="18"/>
  <c r="B478" i="18"/>
  <c r="F515" i="12"/>
  <c r="F514" i="12"/>
  <c r="F495" i="12"/>
  <c r="F478" i="12"/>
  <c r="B37" i="20"/>
  <c r="D37" i="20" s="1"/>
  <c r="C521" i="12"/>
  <c r="G515" i="12"/>
  <c r="G516" i="12"/>
  <c r="D521" i="20"/>
  <c r="E514" i="20"/>
  <c r="F514" i="20" s="1"/>
  <c r="E515" i="20"/>
  <c r="F515" i="20" s="1"/>
  <c r="E516" i="20"/>
  <c r="F516" i="20" s="1"/>
  <c r="E517" i="20"/>
  <c r="F517" i="20" s="1"/>
  <c r="E518" i="20"/>
  <c r="F518" i="20" s="1"/>
  <c r="E519" i="20"/>
  <c r="F519" i="20" s="1"/>
  <c r="E520" i="20"/>
  <c r="F520" i="20" s="1"/>
  <c r="E521" i="20"/>
  <c r="F521" i="20" s="1"/>
  <c r="C521" i="17"/>
  <c r="D514" i="17"/>
  <c r="E514" i="17" s="1"/>
  <c r="D515" i="17"/>
  <c r="E515" i="17" s="1"/>
  <c r="D516" i="17"/>
  <c r="E516" i="17" s="1"/>
  <c r="D517" i="17"/>
  <c r="E517" i="17" s="1"/>
  <c r="D518" i="17"/>
  <c r="E518" i="17" s="1"/>
  <c r="D519" i="17"/>
  <c r="E519" i="17" s="1"/>
  <c r="D521" i="17"/>
  <c r="E521" i="17" s="1"/>
  <c r="C523" i="17" l="1"/>
  <c r="D523" i="17"/>
  <c r="E523" i="17" s="1"/>
  <c r="E523" i="20"/>
  <c r="F523" i="20" s="1"/>
  <c r="C481" i="22"/>
  <c r="G520" i="12"/>
  <c r="G519" i="12"/>
  <c r="G518" i="12"/>
  <c r="D522" i="17"/>
  <c r="E522" i="17" s="1"/>
  <c r="F516" i="12"/>
  <c r="F496" i="12"/>
  <c r="F486" i="12"/>
  <c r="F518" i="12"/>
  <c r="F487" i="12"/>
  <c r="F493" i="12"/>
  <c r="F483" i="12"/>
  <c r="F500" i="12"/>
  <c r="F479" i="12"/>
  <c r="F502" i="12"/>
  <c r="F497" i="12"/>
  <c r="F499" i="12"/>
  <c r="F480" i="12"/>
  <c r="F509" i="12"/>
  <c r="F498" i="12"/>
  <c r="F481" i="12"/>
  <c r="F510" i="12"/>
  <c r="F482" i="12"/>
  <c r="F511" i="12"/>
  <c r="F512" i="12"/>
  <c r="F508" i="12"/>
  <c r="F484" i="12"/>
  <c r="F485" i="12"/>
  <c r="F501" i="12"/>
  <c r="F517" i="12"/>
  <c r="F488" i="12"/>
  <c r="F521" i="12"/>
  <c r="F503" i="12"/>
  <c r="F520" i="12"/>
  <c r="F505" i="12"/>
  <c r="F490" i="12"/>
  <c r="F506" i="12"/>
  <c r="F491" i="12"/>
  <c r="F507" i="12"/>
  <c r="F519" i="12"/>
  <c r="F504" i="12"/>
  <c r="F489" i="12"/>
  <c r="F492" i="12"/>
  <c r="E37" i="20"/>
  <c r="D520" i="17"/>
  <c r="E520" i="17" s="1"/>
  <c r="H465" i="10" l="1"/>
  <c r="G508" i="12"/>
  <c r="G509" i="12"/>
  <c r="G510" i="12"/>
  <c r="G511" i="12"/>
  <c r="G512" i="12"/>
  <c r="G513" i="12"/>
  <c r="G501" i="12"/>
  <c r="G502" i="12"/>
  <c r="G503" i="12"/>
  <c r="G504" i="12"/>
  <c r="G505" i="12"/>
  <c r="G506" i="12"/>
  <c r="G507" i="12"/>
  <c r="G483" i="12"/>
  <c r="G484" i="12"/>
  <c r="G485" i="12"/>
  <c r="G486" i="12"/>
  <c r="G487" i="12"/>
  <c r="G488" i="12"/>
  <c r="G489" i="12"/>
  <c r="G490" i="12"/>
  <c r="G491" i="12"/>
  <c r="G492" i="12"/>
  <c r="G493" i="12"/>
  <c r="G494" i="12"/>
  <c r="G495" i="12"/>
  <c r="G496" i="12"/>
  <c r="G497" i="12"/>
  <c r="G498" i="12"/>
  <c r="G499" i="12"/>
  <c r="G500" i="12"/>
  <c r="G480" i="12"/>
  <c r="G481" i="12"/>
  <c r="G482" i="12"/>
  <c r="E511" i="20"/>
  <c r="F511" i="20" s="1"/>
  <c r="E512" i="20"/>
  <c r="F512" i="20" s="1"/>
  <c r="E513" i="20"/>
  <c r="F513" i="20" s="1"/>
  <c r="E495" i="20"/>
  <c r="F495" i="20" s="1"/>
  <c r="E496" i="20"/>
  <c r="F496" i="20" s="1"/>
  <c r="E497" i="20"/>
  <c r="F497" i="20" s="1"/>
  <c r="E498" i="20"/>
  <c r="F498" i="20" s="1"/>
  <c r="E499" i="20"/>
  <c r="F499" i="20" s="1"/>
  <c r="E500" i="20"/>
  <c r="F500" i="20" s="1"/>
  <c r="E501" i="20"/>
  <c r="F501" i="20" s="1"/>
  <c r="E502" i="20"/>
  <c r="F502" i="20" s="1"/>
  <c r="E503" i="20"/>
  <c r="F503" i="20" s="1"/>
  <c r="E504" i="20"/>
  <c r="F504" i="20" s="1"/>
  <c r="E505" i="20"/>
  <c r="F505" i="20" s="1"/>
  <c r="E506" i="20"/>
  <c r="F506" i="20" s="1"/>
  <c r="E507" i="20"/>
  <c r="F507" i="20" s="1"/>
  <c r="E508" i="20"/>
  <c r="F508" i="20" s="1"/>
  <c r="E509" i="20"/>
  <c r="F509" i="20" s="1"/>
  <c r="E510" i="20"/>
  <c r="F510" i="20" s="1"/>
  <c r="E483" i="20"/>
  <c r="F483" i="20" s="1"/>
  <c r="E490" i="20"/>
  <c r="F490" i="20" s="1"/>
  <c r="E492" i="20"/>
  <c r="F492" i="20" s="1"/>
  <c r="E480" i="20"/>
  <c r="F480" i="20" s="1"/>
  <c r="E481" i="20"/>
  <c r="F481" i="20" s="1"/>
  <c r="E482" i="20"/>
  <c r="F482" i="20" s="1"/>
  <c r="E484" i="20"/>
  <c r="F484" i="20" s="1"/>
  <c r="E485" i="20"/>
  <c r="F485" i="20" s="1"/>
  <c r="E486" i="20"/>
  <c r="F486" i="20" s="1"/>
  <c r="E487" i="20"/>
  <c r="F487" i="20" s="1"/>
  <c r="E488" i="20"/>
  <c r="F488" i="20" s="1"/>
  <c r="E489" i="20"/>
  <c r="F489" i="20" s="1"/>
  <c r="E491" i="20"/>
  <c r="F491" i="20" s="1"/>
  <c r="E493" i="20"/>
  <c r="F493" i="20" s="1"/>
  <c r="E494" i="20"/>
  <c r="F494" i="20" s="1"/>
  <c r="D513" i="17"/>
  <c r="E513" i="17" s="1"/>
  <c r="D511" i="17"/>
  <c r="E511" i="17" s="1"/>
  <c r="D512" i="17"/>
  <c r="E512" i="17" s="1"/>
  <c r="D509" i="17"/>
  <c r="E509" i="17" s="1"/>
  <c r="D508" i="17"/>
  <c r="E508" i="17" s="1"/>
  <c r="D501" i="17"/>
  <c r="E501" i="17" s="1"/>
  <c r="D499" i="17"/>
  <c r="E499" i="17" s="1"/>
  <c r="D500" i="17"/>
  <c r="E500" i="17" s="1"/>
  <c r="D502" i="17"/>
  <c r="E502" i="17" s="1"/>
  <c r="D503" i="17"/>
  <c r="E503" i="17" s="1"/>
  <c r="D504" i="17"/>
  <c r="E504" i="17" s="1"/>
  <c r="D493" i="17"/>
  <c r="E493" i="17" s="1"/>
  <c r="D494" i="17"/>
  <c r="E494" i="17" s="1"/>
  <c r="D495" i="17"/>
  <c r="E495" i="17" s="1"/>
  <c r="D496" i="17"/>
  <c r="E496" i="17" s="1"/>
  <c r="D498" i="17"/>
  <c r="E498" i="17" s="1"/>
  <c r="D491" i="17"/>
  <c r="E491" i="17" s="1"/>
  <c r="D492" i="17"/>
  <c r="E492" i="17" s="1"/>
  <c r="D497" i="17"/>
  <c r="E497" i="17" s="1"/>
  <c r="D483" i="17"/>
  <c r="E483" i="17" s="1"/>
  <c r="D484" i="17"/>
  <c r="E484" i="17" s="1"/>
  <c r="D485" i="17"/>
  <c r="E485" i="17" s="1"/>
  <c r="D481" i="17"/>
  <c r="E481" i="17" s="1"/>
  <c r="E482" i="17"/>
  <c r="D486" i="17"/>
  <c r="E486" i="17" s="1"/>
  <c r="D490" i="17"/>
  <c r="E490" i="17" s="1"/>
  <c r="G8" i="12"/>
  <c r="G9" i="12"/>
  <c r="G10" i="12"/>
  <c r="G11" i="12"/>
  <c r="G12" i="12"/>
  <c r="G478" i="12"/>
  <c r="G479" i="12"/>
  <c r="F8" i="12"/>
  <c r="F9" i="12"/>
  <c r="F10" i="12"/>
  <c r="F11" i="12"/>
  <c r="F12" i="12"/>
  <c r="B478" i="20"/>
  <c r="E478" i="20" s="1"/>
  <c r="F478" i="20" s="1"/>
  <c r="E479" i="20"/>
  <c r="B476" i="20"/>
  <c r="D476" i="20" s="1"/>
  <c r="B477" i="20"/>
  <c r="D477" i="20" s="1"/>
  <c r="B469" i="20"/>
  <c r="D469" i="20" s="1"/>
  <c r="B470" i="20"/>
  <c r="D470" i="20" s="1"/>
  <c r="B471" i="20"/>
  <c r="B472" i="20"/>
  <c r="E472" i="20" s="1"/>
  <c r="B473" i="20"/>
  <c r="E473" i="20" s="1"/>
  <c r="B474" i="20"/>
  <c r="E474" i="20" s="1"/>
  <c r="B475" i="20"/>
  <c r="E475" i="20" s="1"/>
  <c r="A475" i="17"/>
  <c r="C475" i="17" s="1"/>
  <c r="A476" i="17"/>
  <c r="C476" i="17" s="1"/>
  <c r="A477" i="17"/>
  <c r="C477" i="17" s="1"/>
  <c r="D477" i="17"/>
  <c r="A478" i="17"/>
  <c r="D478" i="17" s="1"/>
  <c r="E478" i="17" s="1"/>
  <c r="D479" i="17"/>
  <c r="D480" i="17"/>
  <c r="A469" i="17"/>
  <c r="C469" i="17" s="1"/>
  <c r="A470" i="17"/>
  <c r="C470" i="17" s="1"/>
  <c r="A471" i="17"/>
  <c r="A472" i="17"/>
  <c r="C472" i="17" s="1"/>
  <c r="A473" i="17"/>
  <c r="D473" i="17" s="1"/>
  <c r="A474" i="17"/>
  <c r="C474" i="17" s="1"/>
  <c r="B10" i="22"/>
  <c r="B11" i="22"/>
  <c r="B12" i="22"/>
  <c r="B13" i="22"/>
  <c r="B14" i="22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B34" i="22"/>
  <c r="B35" i="22"/>
  <c r="B36" i="22"/>
  <c r="B37" i="22"/>
  <c r="B38" i="22"/>
  <c r="B39" i="22"/>
  <c r="B40" i="22"/>
  <c r="B41" i="22"/>
  <c r="B42" i="22"/>
  <c r="B43" i="22"/>
  <c r="B44" i="22"/>
  <c r="B45" i="22"/>
  <c r="B46" i="22"/>
  <c r="B47" i="22"/>
  <c r="B48" i="22"/>
  <c r="B49" i="22"/>
  <c r="B50" i="22"/>
  <c r="B51" i="22"/>
  <c r="B52" i="22"/>
  <c r="B53" i="22"/>
  <c r="B54" i="22"/>
  <c r="B55" i="22"/>
  <c r="B56" i="22"/>
  <c r="B57" i="22"/>
  <c r="B58" i="22"/>
  <c r="B59" i="22"/>
  <c r="B60" i="22"/>
  <c r="B61" i="22"/>
  <c r="B62" i="22"/>
  <c r="B63" i="22"/>
  <c r="B64" i="22"/>
  <c r="B65" i="22"/>
  <c r="B66" i="22"/>
  <c r="B67" i="22"/>
  <c r="B68" i="22"/>
  <c r="B69" i="22"/>
  <c r="B70" i="22"/>
  <c r="B71" i="22"/>
  <c r="B72" i="22"/>
  <c r="B73" i="22"/>
  <c r="B74" i="22"/>
  <c r="B75" i="22"/>
  <c r="B76" i="22"/>
  <c r="B77" i="22"/>
  <c r="B78" i="22"/>
  <c r="B79" i="22"/>
  <c r="B80" i="22"/>
  <c r="B81" i="22"/>
  <c r="B82" i="22"/>
  <c r="B83" i="22"/>
  <c r="B84" i="22"/>
  <c r="B85" i="22"/>
  <c r="B86" i="22"/>
  <c r="B87" i="22"/>
  <c r="B88" i="22"/>
  <c r="B89" i="22"/>
  <c r="B90" i="22"/>
  <c r="B91" i="22"/>
  <c r="B92" i="22"/>
  <c r="B93" i="22"/>
  <c r="B94" i="22"/>
  <c r="B95" i="22"/>
  <c r="B96" i="22"/>
  <c r="B97" i="22"/>
  <c r="B98" i="22"/>
  <c r="B99" i="22"/>
  <c r="B100" i="22"/>
  <c r="B101" i="22"/>
  <c r="B102" i="22"/>
  <c r="B103" i="22"/>
  <c r="B104" i="22"/>
  <c r="B105" i="22"/>
  <c r="B106" i="22"/>
  <c r="B107" i="22"/>
  <c r="B108" i="22"/>
  <c r="B109" i="22"/>
  <c r="B110" i="22"/>
  <c r="B111" i="22"/>
  <c r="B112" i="22"/>
  <c r="B113" i="22"/>
  <c r="B114" i="22"/>
  <c r="B115" i="22"/>
  <c r="B116" i="22"/>
  <c r="B117" i="22"/>
  <c r="B118" i="22"/>
  <c r="B119" i="22"/>
  <c r="B120" i="22"/>
  <c r="B121" i="22"/>
  <c r="B122" i="22"/>
  <c r="B123" i="22"/>
  <c r="B124" i="22"/>
  <c r="B125" i="22"/>
  <c r="B126" i="22"/>
  <c r="B127" i="22"/>
  <c r="B128" i="22"/>
  <c r="B129" i="22"/>
  <c r="B130" i="22"/>
  <c r="B131" i="22"/>
  <c r="B132" i="22"/>
  <c r="B133" i="22"/>
  <c r="B134" i="22"/>
  <c r="B135" i="22"/>
  <c r="B136" i="22"/>
  <c r="B137" i="22"/>
  <c r="B138" i="22"/>
  <c r="B139" i="22"/>
  <c r="B140" i="22"/>
  <c r="B141" i="22"/>
  <c r="B142" i="22"/>
  <c r="B143" i="22"/>
  <c r="B144" i="22"/>
  <c r="B145" i="22"/>
  <c r="B146" i="22"/>
  <c r="B147" i="22"/>
  <c r="B148" i="22"/>
  <c r="B149" i="22"/>
  <c r="B150" i="22"/>
  <c r="B151" i="22"/>
  <c r="B152" i="22"/>
  <c r="B153" i="22"/>
  <c r="B154" i="22"/>
  <c r="B155" i="22"/>
  <c r="B156" i="22"/>
  <c r="B157" i="22"/>
  <c r="B158" i="22"/>
  <c r="B159" i="22"/>
  <c r="B160" i="22"/>
  <c r="B161" i="22"/>
  <c r="B162" i="22"/>
  <c r="B163" i="22"/>
  <c r="B164" i="22"/>
  <c r="B165" i="22"/>
  <c r="B166" i="22"/>
  <c r="C166" i="22" s="1"/>
  <c r="B167" i="22"/>
  <c r="B168" i="22"/>
  <c r="B169" i="22"/>
  <c r="B170" i="22"/>
  <c r="B171" i="22"/>
  <c r="B172" i="22"/>
  <c r="B173" i="22"/>
  <c r="B174" i="22"/>
  <c r="B175" i="22"/>
  <c r="B176" i="22"/>
  <c r="B177" i="22"/>
  <c r="B178" i="22"/>
  <c r="B179" i="22"/>
  <c r="B180" i="22"/>
  <c r="B181" i="22"/>
  <c r="B182" i="22"/>
  <c r="B183" i="22"/>
  <c r="B184" i="22"/>
  <c r="B185" i="22"/>
  <c r="B186" i="22"/>
  <c r="B187" i="22"/>
  <c r="B188" i="22"/>
  <c r="B189" i="22"/>
  <c r="B190" i="22"/>
  <c r="B191" i="22"/>
  <c r="B192" i="22"/>
  <c r="B193" i="22"/>
  <c r="B194" i="22"/>
  <c r="B195" i="22"/>
  <c r="B196" i="22"/>
  <c r="B197" i="22"/>
  <c r="B198" i="22"/>
  <c r="B199" i="22"/>
  <c r="B200" i="22"/>
  <c r="B201" i="22"/>
  <c r="B202" i="22"/>
  <c r="B203" i="22"/>
  <c r="B204" i="22"/>
  <c r="B205" i="22"/>
  <c r="B206" i="22"/>
  <c r="B207" i="22"/>
  <c r="B208" i="22"/>
  <c r="B209" i="22"/>
  <c r="B210" i="22"/>
  <c r="B211" i="22"/>
  <c r="B212" i="22"/>
  <c r="B213" i="22"/>
  <c r="B214" i="22"/>
  <c r="B215" i="22"/>
  <c r="B216" i="22"/>
  <c r="B217" i="22"/>
  <c r="B218" i="22"/>
  <c r="B219" i="22"/>
  <c r="B220" i="22"/>
  <c r="B221" i="22"/>
  <c r="B222" i="22"/>
  <c r="C222" i="22" s="1"/>
  <c r="B223" i="22"/>
  <c r="B224" i="22"/>
  <c r="B225" i="22"/>
  <c r="B226" i="22"/>
  <c r="B227" i="22"/>
  <c r="B228" i="22"/>
  <c r="B229" i="22"/>
  <c r="B230" i="22"/>
  <c r="B231" i="22"/>
  <c r="B232" i="22"/>
  <c r="B233" i="22"/>
  <c r="B234" i="22"/>
  <c r="B235" i="22"/>
  <c r="B236" i="22"/>
  <c r="B237" i="22"/>
  <c r="B238" i="22"/>
  <c r="B239" i="22"/>
  <c r="B240" i="22"/>
  <c r="B241" i="22"/>
  <c r="B242" i="22"/>
  <c r="B243" i="22"/>
  <c r="B244" i="22"/>
  <c r="B245" i="22"/>
  <c r="B246" i="22"/>
  <c r="B247" i="22"/>
  <c r="B248" i="22"/>
  <c r="B249" i="22"/>
  <c r="B250" i="22"/>
  <c r="B251" i="22"/>
  <c r="B252" i="22"/>
  <c r="B253" i="22"/>
  <c r="B254" i="22"/>
  <c r="B255" i="22"/>
  <c r="B256" i="22"/>
  <c r="C256" i="22" s="1"/>
  <c r="B257" i="22"/>
  <c r="B258" i="22"/>
  <c r="B259" i="22"/>
  <c r="B260" i="22"/>
  <c r="B261" i="22"/>
  <c r="B262" i="22"/>
  <c r="B263" i="22"/>
  <c r="B264" i="22"/>
  <c r="C264" i="22" s="1"/>
  <c r="B265" i="22"/>
  <c r="C265" i="22" s="1"/>
  <c r="B266" i="22"/>
  <c r="B267" i="22"/>
  <c r="B268" i="22"/>
  <c r="B269" i="22"/>
  <c r="B270" i="22"/>
  <c r="B271" i="22"/>
  <c r="B272" i="22"/>
  <c r="B273" i="22"/>
  <c r="B274" i="22"/>
  <c r="B275" i="22"/>
  <c r="B276" i="22"/>
  <c r="B277" i="22"/>
  <c r="B278" i="22"/>
  <c r="C278" i="22" s="1"/>
  <c r="B279" i="22"/>
  <c r="B280" i="22"/>
  <c r="B281" i="22"/>
  <c r="B282" i="22"/>
  <c r="B283" i="22"/>
  <c r="B284" i="22"/>
  <c r="B285" i="22"/>
  <c r="B286" i="22"/>
  <c r="B287" i="22"/>
  <c r="B288" i="22"/>
  <c r="B289" i="22"/>
  <c r="B290" i="22"/>
  <c r="C290" i="22" s="1"/>
  <c r="B291" i="22"/>
  <c r="B292" i="22"/>
  <c r="B293" i="22"/>
  <c r="B294" i="22"/>
  <c r="B295" i="22"/>
  <c r="B296" i="22"/>
  <c r="B297" i="22"/>
  <c r="B298" i="22"/>
  <c r="B299" i="22"/>
  <c r="B300" i="22"/>
  <c r="B301" i="22"/>
  <c r="B302" i="22"/>
  <c r="B303" i="22"/>
  <c r="C303" i="22" s="1"/>
  <c r="B304" i="22"/>
  <c r="B305" i="22"/>
  <c r="B306" i="22"/>
  <c r="B307" i="22"/>
  <c r="B308" i="22"/>
  <c r="B309" i="22"/>
  <c r="B310" i="22"/>
  <c r="B311" i="22"/>
  <c r="B312" i="22"/>
  <c r="B313" i="22"/>
  <c r="C313" i="22" s="1"/>
  <c r="B314" i="22"/>
  <c r="B315" i="22"/>
  <c r="B316" i="22"/>
  <c r="B317" i="22"/>
  <c r="B318" i="22"/>
  <c r="B319" i="22"/>
  <c r="B320" i="22"/>
  <c r="B321" i="22"/>
  <c r="B322" i="22"/>
  <c r="B323" i="22"/>
  <c r="B324" i="22"/>
  <c r="B325" i="22"/>
  <c r="C325" i="22" s="1"/>
  <c r="B326" i="22"/>
  <c r="B327" i="22"/>
  <c r="B328" i="22"/>
  <c r="B329" i="22"/>
  <c r="B330" i="22"/>
  <c r="B331" i="22"/>
  <c r="C331" i="22" s="1"/>
  <c r="B332" i="22"/>
  <c r="B333" i="22"/>
  <c r="B334" i="22"/>
  <c r="B335" i="22"/>
  <c r="B336" i="22"/>
  <c r="B337" i="22"/>
  <c r="B338" i="22"/>
  <c r="B339" i="22"/>
  <c r="B340" i="22"/>
  <c r="B341" i="22"/>
  <c r="B342" i="22"/>
  <c r="B343" i="22"/>
  <c r="B344" i="22"/>
  <c r="B345" i="22"/>
  <c r="B346" i="22"/>
  <c r="B347" i="22"/>
  <c r="B348" i="22"/>
  <c r="B349" i="22"/>
  <c r="B350" i="22"/>
  <c r="B351" i="22"/>
  <c r="B352" i="22"/>
  <c r="B353" i="22"/>
  <c r="B354" i="22"/>
  <c r="B355" i="22"/>
  <c r="B356" i="22"/>
  <c r="B357" i="22"/>
  <c r="B358" i="22"/>
  <c r="B359" i="22"/>
  <c r="B360" i="22"/>
  <c r="B361" i="22"/>
  <c r="B362" i="22"/>
  <c r="B363" i="22"/>
  <c r="B364" i="22"/>
  <c r="B365" i="22"/>
  <c r="C365" i="22" s="1"/>
  <c r="B366" i="22"/>
  <c r="B367" i="22"/>
  <c r="C367" i="22" s="1"/>
  <c r="B368" i="22"/>
  <c r="B369" i="22"/>
  <c r="C369" i="22" s="1"/>
  <c r="B370" i="22"/>
  <c r="B371" i="22"/>
  <c r="B372" i="22"/>
  <c r="B373" i="22"/>
  <c r="B374" i="22"/>
  <c r="B375" i="22"/>
  <c r="B376" i="22"/>
  <c r="B377" i="22"/>
  <c r="B378" i="22"/>
  <c r="B379" i="22"/>
  <c r="C379" i="22" s="1"/>
  <c r="B380" i="22"/>
  <c r="B381" i="22"/>
  <c r="B382" i="22"/>
  <c r="B383" i="22"/>
  <c r="C383" i="22" s="1"/>
  <c r="B384" i="22"/>
  <c r="B385" i="22"/>
  <c r="B386" i="22"/>
  <c r="B387" i="22"/>
  <c r="B388" i="22"/>
  <c r="B389" i="22"/>
  <c r="C389" i="22" s="1"/>
  <c r="B390" i="22"/>
  <c r="B391" i="22"/>
  <c r="B392" i="22"/>
  <c r="B393" i="22"/>
  <c r="B394" i="22"/>
  <c r="B395" i="22"/>
  <c r="B396" i="22"/>
  <c r="B397" i="22"/>
  <c r="B398" i="22"/>
  <c r="B399" i="22"/>
  <c r="B400" i="22"/>
  <c r="B401" i="22"/>
  <c r="B402" i="22"/>
  <c r="B403" i="22"/>
  <c r="B404" i="22"/>
  <c r="B405" i="22"/>
  <c r="B406" i="22"/>
  <c r="B407" i="22"/>
  <c r="B408" i="22"/>
  <c r="B409" i="22"/>
  <c r="B410" i="22"/>
  <c r="B411" i="22"/>
  <c r="B412" i="22"/>
  <c r="B413" i="22"/>
  <c r="B414" i="22"/>
  <c r="B415" i="22"/>
  <c r="B416" i="22"/>
  <c r="B417" i="22"/>
  <c r="B418" i="22"/>
  <c r="B419" i="22"/>
  <c r="B420" i="22"/>
  <c r="B421" i="22"/>
  <c r="B422" i="22"/>
  <c r="B423" i="22"/>
  <c r="B424" i="22"/>
  <c r="B425" i="22"/>
  <c r="B426" i="22"/>
  <c r="B427" i="22"/>
  <c r="B428" i="22"/>
  <c r="B429" i="22"/>
  <c r="B430" i="22"/>
  <c r="B431" i="22"/>
  <c r="B432" i="22"/>
  <c r="B433" i="22"/>
  <c r="B434" i="22"/>
  <c r="B435" i="22"/>
  <c r="B436" i="22"/>
  <c r="B437" i="22"/>
  <c r="B438" i="22"/>
  <c r="B439" i="22"/>
  <c r="B440" i="22"/>
  <c r="B441" i="22"/>
  <c r="B442" i="22"/>
  <c r="B443" i="22"/>
  <c r="B444" i="22"/>
  <c r="B445" i="22"/>
  <c r="B446" i="22"/>
  <c r="B447" i="22"/>
  <c r="B448" i="22"/>
  <c r="B449" i="22"/>
  <c r="B450" i="22"/>
  <c r="B451" i="22"/>
  <c r="B452" i="22"/>
  <c r="B453" i="22"/>
  <c r="B454" i="22"/>
  <c r="B455" i="22"/>
  <c r="C455" i="22" s="1"/>
  <c r="B456" i="22"/>
  <c r="C456" i="22" s="1"/>
  <c r="B457" i="22"/>
  <c r="B458" i="22"/>
  <c r="C458" i="22" s="1"/>
  <c r="B459" i="22"/>
  <c r="B460" i="22"/>
  <c r="B461" i="22"/>
  <c r="C461" i="22" s="1"/>
  <c r="B462" i="22"/>
  <c r="B463" i="22"/>
  <c r="B464" i="22"/>
  <c r="B465" i="22"/>
  <c r="C465" i="22" s="1"/>
  <c r="B466" i="22"/>
  <c r="C466" i="22" s="1"/>
  <c r="B467" i="22"/>
  <c r="C467" i="22" s="1"/>
  <c r="B468" i="22"/>
  <c r="C468" i="22" s="1"/>
  <c r="B469" i="22"/>
  <c r="C469" i="22" s="1"/>
  <c r="B470" i="22"/>
  <c r="C470" i="22" s="1"/>
  <c r="B471" i="22"/>
  <c r="C471" i="22" s="1"/>
  <c r="B472" i="22"/>
  <c r="C472" i="22"/>
  <c r="C464" i="22"/>
  <c r="C459" i="22"/>
  <c r="C435" i="22"/>
  <c r="C432" i="22"/>
  <c r="C366" i="22"/>
  <c r="C354" i="22"/>
  <c r="C338" i="22"/>
  <c r="C298" i="22"/>
  <c r="C259" i="22"/>
  <c r="C213" i="22"/>
  <c r="C102" i="22"/>
  <c r="C65" i="22"/>
  <c r="C39" i="22"/>
  <c r="B9" i="22"/>
  <c r="B8" i="20"/>
  <c r="E8" i="20" s="1"/>
  <c r="F8" i="20" s="1"/>
  <c r="E9" i="12" s="1"/>
  <c r="B9" i="20"/>
  <c r="E9" i="20" s="1"/>
  <c r="F9" i="20" s="1"/>
  <c r="E10" i="12" s="1"/>
  <c r="B10" i="20"/>
  <c r="E10" i="20" s="1"/>
  <c r="F10" i="20" s="1"/>
  <c r="B11" i="20"/>
  <c r="E11" i="20" s="1"/>
  <c r="F11" i="20" s="1"/>
  <c r="E11" i="12" s="1"/>
  <c r="B12" i="20"/>
  <c r="E12" i="20" s="1"/>
  <c r="F12" i="20" s="1"/>
  <c r="B13" i="20"/>
  <c r="B14" i="20"/>
  <c r="E14" i="20" s="1"/>
  <c r="F14" i="20" s="1"/>
  <c r="B15" i="20"/>
  <c r="E15" i="20" s="1"/>
  <c r="F15" i="20" s="1"/>
  <c r="B16" i="20"/>
  <c r="E16" i="20" s="1"/>
  <c r="F16" i="20" s="1"/>
  <c r="B17" i="20"/>
  <c r="E17" i="20" s="1"/>
  <c r="F17" i="20" s="1"/>
  <c r="B18" i="20"/>
  <c r="E18" i="20" s="1"/>
  <c r="F18" i="20" s="1"/>
  <c r="B19" i="20"/>
  <c r="E19" i="20" s="1"/>
  <c r="F19" i="20" s="1"/>
  <c r="B20" i="20"/>
  <c r="E20" i="20" s="1"/>
  <c r="F20" i="20" s="1"/>
  <c r="B21" i="20"/>
  <c r="E21" i="20" s="1"/>
  <c r="F21" i="20" s="1"/>
  <c r="B22" i="20"/>
  <c r="E22" i="20" s="1"/>
  <c r="F22" i="20" s="1"/>
  <c r="B23" i="20"/>
  <c r="E23" i="20" s="1"/>
  <c r="F23" i="20" s="1"/>
  <c r="B24" i="20"/>
  <c r="E24" i="20" s="1"/>
  <c r="F24" i="20" s="1"/>
  <c r="B25" i="20"/>
  <c r="E25" i="20" s="1"/>
  <c r="F25" i="20" s="1"/>
  <c r="B26" i="20"/>
  <c r="E26" i="20" s="1"/>
  <c r="F26" i="20" s="1"/>
  <c r="B27" i="20"/>
  <c r="E27" i="20" s="1"/>
  <c r="F27" i="20" s="1"/>
  <c r="B28" i="20"/>
  <c r="E28" i="20" s="1"/>
  <c r="F28" i="20" s="1"/>
  <c r="B29" i="20"/>
  <c r="E29" i="20" s="1"/>
  <c r="F29" i="20" s="1"/>
  <c r="B30" i="20"/>
  <c r="E30" i="20" s="1"/>
  <c r="F30" i="20" s="1"/>
  <c r="B31" i="20"/>
  <c r="E31" i="20" s="1"/>
  <c r="F31" i="20" s="1"/>
  <c r="B32" i="20"/>
  <c r="E32" i="20" s="1"/>
  <c r="F32" i="20" s="1"/>
  <c r="B33" i="20"/>
  <c r="E33" i="20" s="1"/>
  <c r="F33" i="20" s="1"/>
  <c r="B34" i="20"/>
  <c r="E34" i="20" s="1"/>
  <c r="F34" i="20" s="1"/>
  <c r="B35" i="20"/>
  <c r="E35" i="20" s="1"/>
  <c r="F35" i="20" s="1"/>
  <c r="B36" i="20"/>
  <c r="E36" i="20" s="1"/>
  <c r="F36" i="20" s="1"/>
  <c r="B38" i="20"/>
  <c r="E38" i="20" s="1"/>
  <c r="F38" i="20" s="1"/>
  <c r="B39" i="20"/>
  <c r="E39" i="20" s="1"/>
  <c r="F39" i="20" s="1"/>
  <c r="B40" i="20"/>
  <c r="E40" i="20" s="1"/>
  <c r="F40" i="20" s="1"/>
  <c r="B41" i="20"/>
  <c r="E41" i="20" s="1"/>
  <c r="F41" i="20" s="1"/>
  <c r="B42" i="20"/>
  <c r="E42" i="20" s="1"/>
  <c r="F42" i="20" s="1"/>
  <c r="B43" i="20"/>
  <c r="E43" i="20" s="1"/>
  <c r="F43" i="20" s="1"/>
  <c r="B44" i="20"/>
  <c r="E44" i="20" s="1"/>
  <c r="F44" i="20" s="1"/>
  <c r="B45" i="20"/>
  <c r="E45" i="20" s="1"/>
  <c r="F45" i="20" s="1"/>
  <c r="B46" i="20"/>
  <c r="E46" i="20" s="1"/>
  <c r="F46" i="20" s="1"/>
  <c r="B47" i="20"/>
  <c r="E47" i="20" s="1"/>
  <c r="F47" i="20" s="1"/>
  <c r="B48" i="20"/>
  <c r="E48" i="20" s="1"/>
  <c r="F48" i="20" s="1"/>
  <c r="B49" i="20"/>
  <c r="E49" i="20" s="1"/>
  <c r="F49" i="20" s="1"/>
  <c r="B50" i="20"/>
  <c r="E50" i="20" s="1"/>
  <c r="F50" i="20" s="1"/>
  <c r="B51" i="20"/>
  <c r="E51" i="20" s="1"/>
  <c r="F51" i="20" s="1"/>
  <c r="B52" i="20"/>
  <c r="E52" i="20" s="1"/>
  <c r="F52" i="20" s="1"/>
  <c r="B53" i="20"/>
  <c r="E53" i="20" s="1"/>
  <c r="F53" i="20" s="1"/>
  <c r="B54" i="20"/>
  <c r="E54" i="20" s="1"/>
  <c r="F54" i="20" s="1"/>
  <c r="B55" i="20"/>
  <c r="E55" i="20" s="1"/>
  <c r="F55" i="20" s="1"/>
  <c r="B56" i="20"/>
  <c r="E56" i="20" s="1"/>
  <c r="F56" i="20" s="1"/>
  <c r="B57" i="20"/>
  <c r="E57" i="20" s="1"/>
  <c r="F57" i="20" s="1"/>
  <c r="B58" i="20"/>
  <c r="E58" i="20" s="1"/>
  <c r="F58" i="20" s="1"/>
  <c r="B59" i="20"/>
  <c r="E59" i="20" s="1"/>
  <c r="F59" i="20" s="1"/>
  <c r="B60" i="20"/>
  <c r="E60" i="20" s="1"/>
  <c r="F60" i="20" s="1"/>
  <c r="B61" i="20"/>
  <c r="E61" i="20" s="1"/>
  <c r="F61" i="20" s="1"/>
  <c r="B62" i="20"/>
  <c r="E62" i="20" s="1"/>
  <c r="F62" i="20" s="1"/>
  <c r="B63" i="20"/>
  <c r="E63" i="20" s="1"/>
  <c r="B64" i="20"/>
  <c r="E64" i="20" s="1"/>
  <c r="F64" i="20" s="1"/>
  <c r="B65" i="20"/>
  <c r="E65" i="20" s="1"/>
  <c r="F65" i="20" s="1"/>
  <c r="B66" i="20"/>
  <c r="E66" i="20" s="1"/>
  <c r="F66" i="20" s="1"/>
  <c r="B67" i="20"/>
  <c r="E67" i="20" s="1"/>
  <c r="F67" i="20" s="1"/>
  <c r="B68" i="20"/>
  <c r="E68" i="20" s="1"/>
  <c r="F68" i="20" s="1"/>
  <c r="B69" i="20"/>
  <c r="E69" i="20" s="1"/>
  <c r="F69" i="20" s="1"/>
  <c r="B70" i="20"/>
  <c r="E70" i="20" s="1"/>
  <c r="F70" i="20" s="1"/>
  <c r="B71" i="20"/>
  <c r="E71" i="20" s="1"/>
  <c r="F71" i="20" s="1"/>
  <c r="B72" i="20"/>
  <c r="E72" i="20" s="1"/>
  <c r="F72" i="20" s="1"/>
  <c r="B73" i="20"/>
  <c r="E73" i="20" s="1"/>
  <c r="F73" i="20" s="1"/>
  <c r="B74" i="20"/>
  <c r="E74" i="20" s="1"/>
  <c r="F74" i="20" s="1"/>
  <c r="B75" i="20"/>
  <c r="E75" i="20" s="1"/>
  <c r="F75" i="20" s="1"/>
  <c r="B76" i="20"/>
  <c r="E76" i="20" s="1"/>
  <c r="F76" i="20" s="1"/>
  <c r="B77" i="20"/>
  <c r="E77" i="20" s="1"/>
  <c r="F77" i="20" s="1"/>
  <c r="B78" i="20"/>
  <c r="E78" i="20" s="1"/>
  <c r="F78" i="20" s="1"/>
  <c r="B79" i="20"/>
  <c r="E79" i="20" s="1"/>
  <c r="F79" i="20" s="1"/>
  <c r="B80" i="20"/>
  <c r="E80" i="20" s="1"/>
  <c r="F80" i="20" s="1"/>
  <c r="B81" i="20"/>
  <c r="E81" i="20" s="1"/>
  <c r="F81" i="20" s="1"/>
  <c r="B82" i="20"/>
  <c r="E82" i="20" s="1"/>
  <c r="F82" i="20" s="1"/>
  <c r="B83" i="20"/>
  <c r="E83" i="20" s="1"/>
  <c r="F83" i="20" s="1"/>
  <c r="B84" i="20"/>
  <c r="E84" i="20" s="1"/>
  <c r="F84" i="20" s="1"/>
  <c r="B85" i="20"/>
  <c r="E85" i="20" s="1"/>
  <c r="F85" i="20" s="1"/>
  <c r="B86" i="20"/>
  <c r="E86" i="20" s="1"/>
  <c r="F86" i="20" s="1"/>
  <c r="B87" i="20"/>
  <c r="E87" i="20" s="1"/>
  <c r="F87" i="20" s="1"/>
  <c r="B88" i="20"/>
  <c r="E88" i="20" s="1"/>
  <c r="F88" i="20" s="1"/>
  <c r="B89" i="20"/>
  <c r="E89" i="20" s="1"/>
  <c r="F89" i="20" s="1"/>
  <c r="B90" i="20"/>
  <c r="E90" i="20" s="1"/>
  <c r="F90" i="20" s="1"/>
  <c r="B91" i="20"/>
  <c r="E91" i="20" s="1"/>
  <c r="F91" i="20" s="1"/>
  <c r="B92" i="20"/>
  <c r="E92" i="20" s="1"/>
  <c r="F92" i="20" s="1"/>
  <c r="B93" i="20"/>
  <c r="E93" i="20" s="1"/>
  <c r="F93" i="20" s="1"/>
  <c r="B94" i="20"/>
  <c r="E94" i="20" s="1"/>
  <c r="F94" i="20" s="1"/>
  <c r="B95" i="20"/>
  <c r="E95" i="20" s="1"/>
  <c r="F95" i="20" s="1"/>
  <c r="B96" i="20"/>
  <c r="E96" i="20" s="1"/>
  <c r="F96" i="20" s="1"/>
  <c r="B97" i="20"/>
  <c r="E97" i="20" s="1"/>
  <c r="F97" i="20" s="1"/>
  <c r="B98" i="20"/>
  <c r="E98" i="20" s="1"/>
  <c r="F98" i="20" s="1"/>
  <c r="B99" i="20"/>
  <c r="E99" i="20" s="1"/>
  <c r="F99" i="20" s="1"/>
  <c r="B100" i="20"/>
  <c r="E100" i="20" s="1"/>
  <c r="B101" i="20"/>
  <c r="E101" i="20" s="1"/>
  <c r="F101" i="20" s="1"/>
  <c r="B102" i="20"/>
  <c r="E102" i="20" s="1"/>
  <c r="F102" i="20" s="1"/>
  <c r="B103" i="20"/>
  <c r="E103" i="20" s="1"/>
  <c r="F103" i="20" s="1"/>
  <c r="B104" i="20"/>
  <c r="E104" i="20" s="1"/>
  <c r="F104" i="20" s="1"/>
  <c r="B105" i="20"/>
  <c r="E105" i="20" s="1"/>
  <c r="F105" i="20" s="1"/>
  <c r="B106" i="20"/>
  <c r="E106" i="20" s="1"/>
  <c r="F106" i="20" s="1"/>
  <c r="B107" i="20"/>
  <c r="E107" i="20" s="1"/>
  <c r="F107" i="20" s="1"/>
  <c r="B108" i="20"/>
  <c r="E108" i="20" s="1"/>
  <c r="F108" i="20" s="1"/>
  <c r="B109" i="20"/>
  <c r="E109" i="20" s="1"/>
  <c r="F109" i="20" s="1"/>
  <c r="B110" i="20"/>
  <c r="E110" i="20" s="1"/>
  <c r="F110" i="20" s="1"/>
  <c r="B111" i="20"/>
  <c r="E111" i="20" s="1"/>
  <c r="F111" i="20" s="1"/>
  <c r="B112" i="20"/>
  <c r="E112" i="20" s="1"/>
  <c r="F112" i="20" s="1"/>
  <c r="B113" i="20"/>
  <c r="E113" i="20" s="1"/>
  <c r="F113" i="20" s="1"/>
  <c r="B114" i="20"/>
  <c r="E114" i="20" s="1"/>
  <c r="F114" i="20" s="1"/>
  <c r="B115" i="20"/>
  <c r="E115" i="20" s="1"/>
  <c r="F115" i="20" s="1"/>
  <c r="B116" i="20"/>
  <c r="E116" i="20" s="1"/>
  <c r="F116" i="20" s="1"/>
  <c r="B117" i="20"/>
  <c r="E117" i="20" s="1"/>
  <c r="F117" i="20" s="1"/>
  <c r="B118" i="20"/>
  <c r="E118" i="20" s="1"/>
  <c r="F118" i="20" s="1"/>
  <c r="B119" i="20"/>
  <c r="E119" i="20" s="1"/>
  <c r="F119" i="20" s="1"/>
  <c r="B120" i="20"/>
  <c r="E120" i="20" s="1"/>
  <c r="F120" i="20" s="1"/>
  <c r="B121" i="20"/>
  <c r="E121" i="20" s="1"/>
  <c r="F121" i="20" s="1"/>
  <c r="B122" i="20"/>
  <c r="E122" i="20" s="1"/>
  <c r="F122" i="20" s="1"/>
  <c r="B123" i="20"/>
  <c r="E123" i="20" s="1"/>
  <c r="F123" i="20" s="1"/>
  <c r="B124" i="20"/>
  <c r="E124" i="20" s="1"/>
  <c r="F124" i="20" s="1"/>
  <c r="B125" i="20"/>
  <c r="E125" i="20" s="1"/>
  <c r="F125" i="20" s="1"/>
  <c r="B126" i="20"/>
  <c r="E126" i="20" s="1"/>
  <c r="F126" i="20" s="1"/>
  <c r="B127" i="20"/>
  <c r="E127" i="20" s="1"/>
  <c r="F127" i="20" s="1"/>
  <c r="B128" i="20"/>
  <c r="E128" i="20" s="1"/>
  <c r="F128" i="20" s="1"/>
  <c r="B129" i="20"/>
  <c r="E129" i="20" s="1"/>
  <c r="F129" i="20" s="1"/>
  <c r="B130" i="20"/>
  <c r="E130" i="20" s="1"/>
  <c r="F130" i="20" s="1"/>
  <c r="B131" i="20"/>
  <c r="E131" i="20" s="1"/>
  <c r="F131" i="20" s="1"/>
  <c r="B132" i="20"/>
  <c r="E132" i="20" s="1"/>
  <c r="F132" i="20" s="1"/>
  <c r="B133" i="20"/>
  <c r="E133" i="20" s="1"/>
  <c r="F133" i="20" s="1"/>
  <c r="B134" i="20"/>
  <c r="E134" i="20" s="1"/>
  <c r="F134" i="20" s="1"/>
  <c r="B135" i="20"/>
  <c r="E135" i="20" s="1"/>
  <c r="F135" i="20" s="1"/>
  <c r="B136" i="20"/>
  <c r="E136" i="20" s="1"/>
  <c r="F136" i="20" s="1"/>
  <c r="B137" i="20"/>
  <c r="E137" i="20" s="1"/>
  <c r="F137" i="20" s="1"/>
  <c r="B138" i="20"/>
  <c r="E138" i="20" s="1"/>
  <c r="F138" i="20" s="1"/>
  <c r="B139" i="20"/>
  <c r="E139" i="20" s="1"/>
  <c r="F139" i="20" s="1"/>
  <c r="B140" i="20"/>
  <c r="E140" i="20" s="1"/>
  <c r="F140" i="20" s="1"/>
  <c r="B141" i="20"/>
  <c r="E141" i="20" s="1"/>
  <c r="F141" i="20" s="1"/>
  <c r="B142" i="20"/>
  <c r="E142" i="20" s="1"/>
  <c r="F142" i="20" s="1"/>
  <c r="B143" i="20"/>
  <c r="E143" i="20" s="1"/>
  <c r="F143" i="20" s="1"/>
  <c r="B144" i="20"/>
  <c r="E144" i="20" s="1"/>
  <c r="F144" i="20" s="1"/>
  <c r="B145" i="20"/>
  <c r="E145" i="20" s="1"/>
  <c r="F145" i="20" s="1"/>
  <c r="B146" i="20"/>
  <c r="E146" i="20" s="1"/>
  <c r="F146" i="20" s="1"/>
  <c r="B147" i="20"/>
  <c r="E147" i="20" s="1"/>
  <c r="F147" i="20" s="1"/>
  <c r="B148" i="20"/>
  <c r="E148" i="20" s="1"/>
  <c r="F148" i="20" s="1"/>
  <c r="B149" i="20"/>
  <c r="E149" i="20" s="1"/>
  <c r="F149" i="20" s="1"/>
  <c r="B150" i="20"/>
  <c r="E150" i="20" s="1"/>
  <c r="F150" i="20" s="1"/>
  <c r="B151" i="20"/>
  <c r="E151" i="20" s="1"/>
  <c r="F151" i="20" s="1"/>
  <c r="B152" i="20"/>
  <c r="E152" i="20" s="1"/>
  <c r="F152" i="20" s="1"/>
  <c r="B153" i="20"/>
  <c r="E153" i="20" s="1"/>
  <c r="F153" i="20" s="1"/>
  <c r="B154" i="20"/>
  <c r="E154" i="20" s="1"/>
  <c r="F154" i="20" s="1"/>
  <c r="B155" i="20"/>
  <c r="E155" i="20" s="1"/>
  <c r="F155" i="20" s="1"/>
  <c r="B156" i="20"/>
  <c r="E156" i="20" s="1"/>
  <c r="F156" i="20" s="1"/>
  <c r="B157" i="20"/>
  <c r="E157" i="20" s="1"/>
  <c r="F157" i="20" s="1"/>
  <c r="B158" i="20"/>
  <c r="E158" i="20" s="1"/>
  <c r="F158" i="20" s="1"/>
  <c r="B159" i="20"/>
  <c r="E159" i="20" s="1"/>
  <c r="F159" i="20" s="1"/>
  <c r="B160" i="20"/>
  <c r="E160" i="20" s="1"/>
  <c r="F160" i="20" s="1"/>
  <c r="B161" i="20"/>
  <c r="E161" i="20" s="1"/>
  <c r="F161" i="20" s="1"/>
  <c r="B162" i="20"/>
  <c r="E162" i="20" s="1"/>
  <c r="F162" i="20" s="1"/>
  <c r="B163" i="20"/>
  <c r="E163" i="20" s="1"/>
  <c r="F163" i="20" s="1"/>
  <c r="B164" i="20"/>
  <c r="E164" i="20" s="1"/>
  <c r="B165" i="20"/>
  <c r="E165" i="20" s="1"/>
  <c r="F165" i="20" s="1"/>
  <c r="B166" i="20"/>
  <c r="E166" i="20" s="1"/>
  <c r="F166" i="20" s="1"/>
  <c r="B167" i="20"/>
  <c r="E167" i="20" s="1"/>
  <c r="F167" i="20" s="1"/>
  <c r="B168" i="20"/>
  <c r="E168" i="20" s="1"/>
  <c r="F168" i="20" s="1"/>
  <c r="B169" i="20"/>
  <c r="E169" i="20" s="1"/>
  <c r="F169" i="20" s="1"/>
  <c r="B170" i="20"/>
  <c r="E170" i="20" s="1"/>
  <c r="F170" i="20" s="1"/>
  <c r="B171" i="20"/>
  <c r="E171" i="20" s="1"/>
  <c r="F171" i="20" s="1"/>
  <c r="B172" i="20"/>
  <c r="E172" i="20" s="1"/>
  <c r="F172" i="20" s="1"/>
  <c r="B173" i="20"/>
  <c r="E173" i="20" s="1"/>
  <c r="F173" i="20" s="1"/>
  <c r="B174" i="20"/>
  <c r="E174" i="20" s="1"/>
  <c r="F174" i="20" s="1"/>
  <c r="B175" i="20"/>
  <c r="E175" i="20" s="1"/>
  <c r="F175" i="20" s="1"/>
  <c r="B176" i="20"/>
  <c r="E176" i="20" s="1"/>
  <c r="F176" i="20" s="1"/>
  <c r="B177" i="20"/>
  <c r="E177" i="20" s="1"/>
  <c r="F177" i="20" s="1"/>
  <c r="B178" i="20"/>
  <c r="E178" i="20" s="1"/>
  <c r="F178" i="20" s="1"/>
  <c r="B179" i="20"/>
  <c r="E179" i="20" s="1"/>
  <c r="F179" i="20" s="1"/>
  <c r="B180" i="20"/>
  <c r="E180" i="20" s="1"/>
  <c r="F180" i="20" s="1"/>
  <c r="B181" i="20"/>
  <c r="E181" i="20" s="1"/>
  <c r="F181" i="20" s="1"/>
  <c r="B182" i="20"/>
  <c r="E182" i="20" s="1"/>
  <c r="F182" i="20" s="1"/>
  <c r="B183" i="20"/>
  <c r="E183" i="20" s="1"/>
  <c r="F183" i="20" s="1"/>
  <c r="B184" i="20"/>
  <c r="E184" i="20" s="1"/>
  <c r="F184" i="20" s="1"/>
  <c r="B185" i="20"/>
  <c r="E185" i="20" s="1"/>
  <c r="F185" i="20" s="1"/>
  <c r="B186" i="20"/>
  <c r="E186" i="20" s="1"/>
  <c r="F186" i="20" s="1"/>
  <c r="B187" i="20"/>
  <c r="E187" i="20" s="1"/>
  <c r="F187" i="20" s="1"/>
  <c r="B188" i="20"/>
  <c r="E188" i="20" s="1"/>
  <c r="F188" i="20" s="1"/>
  <c r="B189" i="20"/>
  <c r="E189" i="20" s="1"/>
  <c r="F189" i="20" s="1"/>
  <c r="B190" i="20"/>
  <c r="E190" i="20" s="1"/>
  <c r="F190" i="20" s="1"/>
  <c r="B191" i="20"/>
  <c r="E191" i="20" s="1"/>
  <c r="F191" i="20" s="1"/>
  <c r="B192" i="20"/>
  <c r="E192" i="20" s="1"/>
  <c r="F192" i="20" s="1"/>
  <c r="B193" i="20"/>
  <c r="E193" i="20" s="1"/>
  <c r="F193" i="20" s="1"/>
  <c r="B194" i="20"/>
  <c r="E194" i="20" s="1"/>
  <c r="F194" i="20" s="1"/>
  <c r="B195" i="20"/>
  <c r="E195" i="20" s="1"/>
  <c r="F195" i="20" s="1"/>
  <c r="B196" i="20"/>
  <c r="E196" i="20" s="1"/>
  <c r="F196" i="20" s="1"/>
  <c r="B197" i="20"/>
  <c r="E197" i="20" s="1"/>
  <c r="F197" i="20" s="1"/>
  <c r="B198" i="20"/>
  <c r="E198" i="20" s="1"/>
  <c r="F198" i="20" s="1"/>
  <c r="B199" i="20"/>
  <c r="E199" i="20" s="1"/>
  <c r="F199" i="20" s="1"/>
  <c r="B200" i="20"/>
  <c r="E200" i="20" s="1"/>
  <c r="F200" i="20" s="1"/>
  <c r="B201" i="20"/>
  <c r="E201" i="20" s="1"/>
  <c r="F201" i="20" s="1"/>
  <c r="B202" i="20"/>
  <c r="E202" i="20" s="1"/>
  <c r="F202" i="20" s="1"/>
  <c r="B203" i="20"/>
  <c r="E203" i="20" s="1"/>
  <c r="F203" i="20" s="1"/>
  <c r="B204" i="20"/>
  <c r="F204" i="20" s="1"/>
  <c r="B205" i="20"/>
  <c r="E205" i="20" s="1"/>
  <c r="F205" i="20" s="1"/>
  <c r="B206" i="20"/>
  <c r="E206" i="20" s="1"/>
  <c r="F206" i="20" s="1"/>
  <c r="B207" i="20"/>
  <c r="E207" i="20" s="1"/>
  <c r="F207" i="20" s="1"/>
  <c r="B208" i="20"/>
  <c r="E208" i="20" s="1"/>
  <c r="F208" i="20" s="1"/>
  <c r="B209" i="20"/>
  <c r="E209" i="20" s="1"/>
  <c r="F209" i="20" s="1"/>
  <c r="B210" i="20"/>
  <c r="E210" i="20" s="1"/>
  <c r="F210" i="20" s="1"/>
  <c r="B211" i="20"/>
  <c r="E211" i="20" s="1"/>
  <c r="B212" i="20"/>
  <c r="E212" i="20" s="1"/>
  <c r="F212" i="20" s="1"/>
  <c r="B213" i="20"/>
  <c r="E213" i="20" s="1"/>
  <c r="F213" i="20" s="1"/>
  <c r="B214" i="20"/>
  <c r="E214" i="20" s="1"/>
  <c r="F214" i="20" s="1"/>
  <c r="B215" i="20"/>
  <c r="E215" i="20" s="1"/>
  <c r="F215" i="20" s="1"/>
  <c r="B216" i="20"/>
  <c r="E216" i="20" s="1"/>
  <c r="F216" i="20" s="1"/>
  <c r="B217" i="20"/>
  <c r="E217" i="20" s="1"/>
  <c r="F217" i="20" s="1"/>
  <c r="B218" i="20"/>
  <c r="E218" i="20" s="1"/>
  <c r="F218" i="20" s="1"/>
  <c r="B219" i="20"/>
  <c r="E219" i="20" s="1"/>
  <c r="F219" i="20" s="1"/>
  <c r="B220" i="20"/>
  <c r="E220" i="20" s="1"/>
  <c r="B221" i="20"/>
  <c r="E221" i="20" s="1"/>
  <c r="F221" i="20" s="1"/>
  <c r="B222" i="20"/>
  <c r="E222" i="20" s="1"/>
  <c r="F222" i="20" s="1"/>
  <c r="B223" i="20"/>
  <c r="E223" i="20" s="1"/>
  <c r="F223" i="20" s="1"/>
  <c r="B224" i="20"/>
  <c r="E224" i="20" s="1"/>
  <c r="F224" i="20" s="1"/>
  <c r="B225" i="20"/>
  <c r="E225" i="20" s="1"/>
  <c r="F225" i="20" s="1"/>
  <c r="B226" i="20"/>
  <c r="E226" i="20" s="1"/>
  <c r="F226" i="20" s="1"/>
  <c r="B227" i="20"/>
  <c r="E227" i="20" s="1"/>
  <c r="F227" i="20" s="1"/>
  <c r="B228" i="20"/>
  <c r="E228" i="20" s="1"/>
  <c r="F228" i="20" s="1"/>
  <c r="B229" i="20"/>
  <c r="E229" i="20" s="1"/>
  <c r="F229" i="20" s="1"/>
  <c r="B230" i="20"/>
  <c r="E230" i="20" s="1"/>
  <c r="F230" i="20" s="1"/>
  <c r="B231" i="20"/>
  <c r="E231" i="20" s="1"/>
  <c r="F231" i="20" s="1"/>
  <c r="B232" i="20"/>
  <c r="E232" i="20" s="1"/>
  <c r="F232" i="20" s="1"/>
  <c r="B233" i="20"/>
  <c r="E233" i="20" s="1"/>
  <c r="F233" i="20" s="1"/>
  <c r="B234" i="20"/>
  <c r="E234" i="20" s="1"/>
  <c r="F234" i="20" s="1"/>
  <c r="B235" i="20"/>
  <c r="E235" i="20" s="1"/>
  <c r="F235" i="20" s="1"/>
  <c r="B236" i="20"/>
  <c r="E236" i="20" s="1"/>
  <c r="F236" i="20" s="1"/>
  <c r="B237" i="20"/>
  <c r="E237" i="20" s="1"/>
  <c r="F237" i="20" s="1"/>
  <c r="B238" i="20"/>
  <c r="E238" i="20" s="1"/>
  <c r="F238" i="20" s="1"/>
  <c r="B239" i="20"/>
  <c r="E239" i="20" s="1"/>
  <c r="F239" i="20" s="1"/>
  <c r="B240" i="20"/>
  <c r="E240" i="20" s="1"/>
  <c r="F240" i="20" s="1"/>
  <c r="B241" i="20"/>
  <c r="E241" i="20" s="1"/>
  <c r="F241" i="20" s="1"/>
  <c r="B242" i="20"/>
  <c r="E242" i="20" s="1"/>
  <c r="F242" i="20" s="1"/>
  <c r="B243" i="20"/>
  <c r="E243" i="20" s="1"/>
  <c r="F243" i="20" s="1"/>
  <c r="B244" i="20"/>
  <c r="E244" i="20" s="1"/>
  <c r="F244" i="20" s="1"/>
  <c r="B245" i="20"/>
  <c r="E245" i="20" s="1"/>
  <c r="F245" i="20" s="1"/>
  <c r="B246" i="20"/>
  <c r="E246" i="20" s="1"/>
  <c r="F246" i="20" s="1"/>
  <c r="B247" i="20"/>
  <c r="E247" i="20" s="1"/>
  <c r="F247" i="20" s="1"/>
  <c r="B248" i="20"/>
  <c r="E248" i="20" s="1"/>
  <c r="F248" i="20" s="1"/>
  <c r="B249" i="20"/>
  <c r="E249" i="20" s="1"/>
  <c r="F249" i="20" s="1"/>
  <c r="B250" i="20"/>
  <c r="E250" i="20" s="1"/>
  <c r="F250" i="20" s="1"/>
  <c r="B251" i="20"/>
  <c r="E251" i="20" s="1"/>
  <c r="F251" i="20" s="1"/>
  <c r="B252" i="20"/>
  <c r="E252" i="20" s="1"/>
  <c r="F252" i="20" s="1"/>
  <c r="B253" i="20"/>
  <c r="E253" i="20" s="1"/>
  <c r="F253" i="20" s="1"/>
  <c r="B254" i="20"/>
  <c r="E254" i="20" s="1"/>
  <c r="B255" i="20"/>
  <c r="E255" i="20" s="1"/>
  <c r="F255" i="20" s="1"/>
  <c r="B256" i="20"/>
  <c r="E256" i="20" s="1"/>
  <c r="F256" i="20" s="1"/>
  <c r="B257" i="20"/>
  <c r="E257" i="20" s="1"/>
  <c r="B258" i="20"/>
  <c r="E258" i="20" s="1"/>
  <c r="F258" i="20" s="1"/>
  <c r="B259" i="20"/>
  <c r="E259" i="20" s="1"/>
  <c r="F259" i="20" s="1"/>
  <c r="B260" i="20"/>
  <c r="E260" i="20" s="1"/>
  <c r="F260" i="20" s="1"/>
  <c r="B261" i="20"/>
  <c r="E261" i="20" s="1"/>
  <c r="F261" i="20" s="1"/>
  <c r="B262" i="20"/>
  <c r="E262" i="20" s="1"/>
  <c r="B263" i="20"/>
  <c r="E263" i="20" s="1"/>
  <c r="F263" i="20" s="1"/>
  <c r="B264" i="20"/>
  <c r="E264" i="20" s="1"/>
  <c r="F264" i="20" s="1"/>
  <c r="B265" i="20"/>
  <c r="E265" i="20" s="1"/>
  <c r="F265" i="20" s="1"/>
  <c r="B266" i="20"/>
  <c r="E266" i="20" s="1"/>
  <c r="F266" i="20" s="1"/>
  <c r="B267" i="20"/>
  <c r="E267" i="20" s="1"/>
  <c r="F267" i="20" s="1"/>
  <c r="B268" i="20"/>
  <c r="E268" i="20" s="1"/>
  <c r="F268" i="20" s="1"/>
  <c r="B269" i="20"/>
  <c r="E269" i="20" s="1"/>
  <c r="F269" i="20" s="1"/>
  <c r="B270" i="20"/>
  <c r="E270" i="20" s="1"/>
  <c r="F270" i="20" s="1"/>
  <c r="B271" i="20"/>
  <c r="E271" i="20" s="1"/>
  <c r="F271" i="20" s="1"/>
  <c r="B272" i="20"/>
  <c r="E272" i="20" s="1"/>
  <c r="F272" i="20" s="1"/>
  <c r="B273" i="20"/>
  <c r="E273" i="20" s="1"/>
  <c r="F273" i="20" s="1"/>
  <c r="B274" i="20"/>
  <c r="E274" i="20" s="1"/>
  <c r="F274" i="20" s="1"/>
  <c r="B275" i="20"/>
  <c r="E275" i="20" s="1"/>
  <c r="F275" i="20" s="1"/>
  <c r="B276" i="20"/>
  <c r="E276" i="20" s="1"/>
  <c r="B277" i="20"/>
  <c r="E277" i="20" s="1"/>
  <c r="F277" i="20" s="1"/>
  <c r="B278" i="20"/>
  <c r="E278" i="20" s="1"/>
  <c r="F278" i="20" s="1"/>
  <c r="B279" i="20"/>
  <c r="E279" i="20" s="1"/>
  <c r="F279" i="20" s="1"/>
  <c r="B280" i="20"/>
  <c r="E280" i="20" s="1"/>
  <c r="F280" i="20" s="1"/>
  <c r="B281" i="20"/>
  <c r="E281" i="20" s="1"/>
  <c r="F281" i="20" s="1"/>
  <c r="B282" i="20"/>
  <c r="E282" i="20" s="1"/>
  <c r="F282" i="20" s="1"/>
  <c r="B283" i="20"/>
  <c r="E283" i="20" s="1"/>
  <c r="F283" i="20" s="1"/>
  <c r="B284" i="20"/>
  <c r="E284" i="20" s="1"/>
  <c r="F284" i="20" s="1"/>
  <c r="B285" i="20"/>
  <c r="E285" i="20" s="1"/>
  <c r="F285" i="20" s="1"/>
  <c r="B286" i="20"/>
  <c r="E286" i="20" s="1"/>
  <c r="F286" i="20" s="1"/>
  <c r="B287" i="20"/>
  <c r="E287" i="20" s="1"/>
  <c r="F287" i="20" s="1"/>
  <c r="B288" i="20"/>
  <c r="E288" i="20" s="1"/>
  <c r="B289" i="20"/>
  <c r="E289" i="20" s="1"/>
  <c r="F289" i="20" s="1"/>
  <c r="B290" i="20"/>
  <c r="E290" i="20" s="1"/>
  <c r="F290" i="20" s="1"/>
  <c r="B291" i="20"/>
  <c r="E291" i="20" s="1"/>
  <c r="F291" i="20" s="1"/>
  <c r="B292" i="20"/>
  <c r="E292" i="20" s="1"/>
  <c r="F292" i="20" s="1"/>
  <c r="B293" i="20"/>
  <c r="E293" i="20" s="1"/>
  <c r="F293" i="20" s="1"/>
  <c r="B294" i="20"/>
  <c r="E294" i="20" s="1"/>
  <c r="F294" i="20" s="1"/>
  <c r="B295" i="20"/>
  <c r="E295" i="20" s="1"/>
  <c r="F295" i="20" s="1"/>
  <c r="B296" i="20"/>
  <c r="E296" i="20" s="1"/>
  <c r="B297" i="20"/>
  <c r="E297" i="20" s="1"/>
  <c r="F297" i="20" s="1"/>
  <c r="B298" i="20"/>
  <c r="E298" i="20" s="1"/>
  <c r="F298" i="20" s="1"/>
  <c r="B299" i="20"/>
  <c r="E299" i="20" s="1"/>
  <c r="F299" i="20" s="1"/>
  <c r="B300" i="20"/>
  <c r="E300" i="20" s="1"/>
  <c r="F300" i="20" s="1"/>
  <c r="B301" i="20"/>
  <c r="D301" i="20" s="1"/>
  <c r="B302" i="20"/>
  <c r="E302" i="20" s="1"/>
  <c r="F302" i="20" s="1"/>
  <c r="B303" i="20"/>
  <c r="E303" i="20" s="1"/>
  <c r="F303" i="20" s="1"/>
  <c r="B304" i="20"/>
  <c r="E304" i="20" s="1"/>
  <c r="F304" i="20" s="1"/>
  <c r="B305" i="20"/>
  <c r="E305" i="20" s="1"/>
  <c r="F305" i="20" s="1"/>
  <c r="B306" i="20"/>
  <c r="E306" i="20" s="1"/>
  <c r="F306" i="20" s="1"/>
  <c r="B307" i="20"/>
  <c r="E307" i="20" s="1"/>
  <c r="F307" i="20" s="1"/>
  <c r="B308" i="20"/>
  <c r="E308" i="20" s="1"/>
  <c r="F308" i="20" s="1"/>
  <c r="B309" i="20"/>
  <c r="E309" i="20" s="1"/>
  <c r="F309" i="20" s="1"/>
  <c r="B310" i="20"/>
  <c r="E310" i="20" s="1"/>
  <c r="F310" i="20" s="1"/>
  <c r="B311" i="20"/>
  <c r="E311" i="20" s="1"/>
  <c r="B312" i="20"/>
  <c r="E312" i="20" s="1"/>
  <c r="F312" i="20" s="1"/>
  <c r="B313" i="20"/>
  <c r="E313" i="20" s="1"/>
  <c r="F313" i="20" s="1"/>
  <c r="B314" i="20"/>
  <c r="E314" i="20" s="1"/>
  <c r="F314" i="20" s="1"/>
  <c r="B315" i="20"/>
  <c r="E315" i="20" s="1"/>
  <c r="F315" i="20" s="1"/>
  <c r="B316" i="20"/>
  <c r="E316" i="20" s="1"/>
  <c r="F316" i="20" s="1"/>
  <c r="B317" i="20"/>
  <c r="E317" i="20" s="1"/>
  <c r="F317" i="20" s="1"/>
  <c r="B318" i="20"/>
  <c r="E318" i="20" s="1"/>
  <c r="F318" i="20" s="1"/>
  <c r="B319" i="20"/>
  <c r="E319" i="20" s="1"/>
  <c r="F319" i="20" s="1"/>
  <c r="B320" i="20"/>
  <c r="E320" i="20" s="1"/>
  <c r="F320" i="20" s="1"/>
  <c r="B321" i="20"/>
  <c r="E321" i="20" s="1"/>
  <c r="F321" i="20" s="1"/>
  <c r="B322" i="20"/>
  <c r="E322" i="20" s="1"/>
  <c r="F322" i="20" s="1"/>
  <c r="B323" i="20"/>
  <c r="E323" i="20" s="1"/>
  <c r="B324" i="20"/>
  <c r="E324" i="20" s="1"/>
  <c r="F324" i="20" s="1"/>
  <c r="B325" i="20"/>
  <c r="E325" i="20" s="1"/>
  <c r="F325" i="20" s="1"/>
  <c r="B326" i="20"/>
  <c r="E326" i="20" s="1"/>
  <c r="F326" i="20" s="1"/>
  <c r="B327" i="20"/>
  <c r="E327" i="20" s="1"/>
  <c r="F327" i="20" s="1"/>
  <c r="B328" i="20"/>
  <c r="E328" i="20" s="1"/>
  <c r="F328" i="20" s="1"/>
  <c r="B329" i="20"/>
  <c r="E329" i="20" s="1"/>
  <c r="B330" i="20"/>
  <c r="E330" i="20" s="1"/>
  <c r="F330" i="20" s="1"/>
  <c r="B331" i="20"/>
  <c r="E331" i="20" s="1"/>
  <c r="F331" i="20" s="1"/>
  <c r="B332" i="20"/>
  <c r="E332" i="20" s="1"/>
  <c r="F332" i="20" s="1"/>
  <c r="B333" i="20"/>
  <c r="E333" i="20" s="1"/>
  <c r="F333" i="20" s="1"/>
  <c r="B334" i="20"/>
  <c r="E334" i="20" s="1"/>
  <c r="F334" i="20" s="1"/>
  <c r="B335" i="20"/>
  <c r="E335" i="20" s="1"/>
  <c r="F335" i="20" s="1"/>
  <c r="B336" i="20"/>
  <c r="E336" i="20" s="1"/>
  <c r="B337" i="20"/>
  <c r="E337" i="20" s="1"/>
  <c r="F337" i="20" s="1"/>
  <c r="B338" i="20"/>
  <c r="E338" i="20" s="1"/>
  <c r="F338" i="20" s="1"/>
  <c r="B339" i="20"/>
  <c r="E339" i="20" s="1"/>
  <c r="F339" i="20" s="1"/>
  <c r="B340" i="20"/>
  <c r="E340" i="20" s="1"/>
  <c r="F340" i="20" s="1"/>
  <c r="B341" i="20"/>
  <c r="E341" i="20" s="1"/>
  <c r="F341" i="20" s="1"/>
  <c r="B342" i="20"/>
  <c r="E342" i="20" s="1"/>
  <c r="F342" i="20" s="1"/>
  <c r="B343" i="20"/>
  <c r="E343" i="20" s="1"/>
  <c r="F343" i="20" s="1"/>
  <c r="B344" i="20"/>
  <c r="E344" i="20" s="1"/>
  <c r="F344" i="20" s="1"/>
  <c r="B345" i="20"/>
  <c r="E345" i="20" s="1"/>
  <c r="F345" i="20" s="1"/>
  <c r="B346" i="20"/>
  <c r="E346" i="20" s="1"/>
  <c r="F346" i="20" s="1"/>
  <c r="B347" i="20"/>
  <c r="E347" i="20" s="1"/>
  <c r="F347" i="20" s="1"/>
  <c r="B348" i="20"/>
  <c r="E348" i="20" s="1"/>
  <c r="F348" i="20" s="1"/>
  <c r="B349" i="20"/>
  <c r="E349" i="20" s="1"/>
  <c r="F349" i="20" s="1"/>
  <c r="B350" i="20"/>
  <c r="E350" i="20" s="1"/>
  <c r="F350" i="20" s="1"/>
  <c r="B351" i="20"/>
  <c r="E351" i="20" s="1"/>
  <c r="F351" i="20" s="1"/>
  <c r="B352" i="20"/>
  <c r="E352" i="20" s="1"/>
  <c r="B353" i="20"/>
  <c r="E353" i="20" s="1"/>
  <c r="F353" i="20" s="1"/>
  <c r="B354" i="20"/>
  <c r="E354" i="20" s="1"/>
  <c r="F354" i="20" s="1"/>
  <c r="B355" i="20"/>
  <c r="E355" i="20" s="1"/>
  <c r="F355" i="20" s="1"/>
  <c r="B356" i="20"/>
  <c r="E356" i="20" s="1"/>
  <c r="F356" i="20" s="1"/>
  <c r="B357" i="20"/>
  <c r="E357" i="20" s="1"/>
  <c r="F357" i="20" s="1"/>
  <c r="B358" i="20"/>
  <c r="E358" i="20" s="1"/>
  <c r="F358" i="20" s="1"/>
  <c r="B359" i="20"/>
  <c r="E359" i="20" s="1"/>
  <c r="F359" i="20" s="1"/>
  <c r="B360" i="20"/>
  <c r="E360" i="20" s="1"/>
  <c r="F360" i="20" s="1"/>
  <c r="B361" i="20"/>
  <c r="E361" i="20" s="1"/>
  <c r="F361" i="20" s="1"/>
  <c r="B362" i="20"/>
  <c r="E362" i="20" s="1"/>
  <c r="F362" i="20" s="1"/>
  <c r="B363" i="20"/>
  <c r="E363" i="20" s="1"/>
  <c r="B364" i="20"/>
  <c r="E364" i="20" s="1"/>
  <c r="F364" i="20" s="1"/>
  <c r="B365" i="20"/>
  <c r="E365" i="20" s="1"/>
  <c r="B366" i="20"/>
  <c r="E366" i="20" s="1"/>
  <c r="F366" i="20" s="1"/>
  <c r="B367" i="20"/>
  <c r="E367" i="20" s="1"/>
  <c r="B368" i="20"/>
  <c r="E368" i="20" s="1"/>
  <c r="F368" i="20" s="1"/>
  <c r="B369" i="20"/>
  <c r="E369" i="20" s="1"/>
  <c r="F369" i="20" s="1"/>
  <c r="B370" i="20"/>
  <c r="E370" i="20" s="1"/>
  <c r="F370" i="20" s="1"/>
  <c r="B371" i="20"/>
  <c r="E371" i="20" s="1"/>
  <c r="F371" i="20" s="1"/>
  <c r="B372" i="20"/>
  <c r="E372" i="20" s="1"/>
  <c r="F372" i="20" s="1"/>
  <c r="B373" i="20"/>
  <c r="E373" i="20" s="1"/>
  <c r="F373" i="20" s="1"/>
  <c r="B374" i="20"/>
  <c r="E374" i="20" s="1"/>
  <c r="F374" i="20" s="1"/>
  <c r="B375" i="20"/>
  <c r="E375" i="20" s="1"/>
  <c r="F375" i="20" s="1"/>
  <c r="B376" i="20"/>
  <c r="E376" i="20" s="1"/>
  <c r="F376" i="20" s="1"/>
  <c r="B377" i="20"/>
  <c r="E377" i="20" s="1"/>
  <c r="B378" i="20"/>
  <c r="E378" i="20" s="1"/>
  <c r="F378" i="20" s="1"/>
  <c r="B379" i="20"/>
  <c r="E379" i="20" s="1"/>
  <c r="F379" i="20" s="1"/>
  <c r="B380" i="20"/>
  <c r="E380" i="20" s="1"/>
  <c r="F380" i="20" s="1"/>
  <c r="B381" i="20"/>
  <c r="E381" i="20" s="1"/>
  <c r="B382" i="20"/>
  <c r="E382" i="20" s="1"/>
  <c r="F382" i="20" s="1"/>
  <c r="B383" i="20"/>
  <c r="E383" i="20" s="1"/>
  <c r="F383" i="20" s="1"/>
  <c r="B384" i="20"/>
  <c r="E384" i="20" s="1"/>
  <c r="F384" i="20" s="1"/>
  <c r="B385" i="20"/>
  <c r="E385" i="20" s="1"/>
  <c r="F385" i="20" s="1"/>
  <c r="B386" i="20"/>
  <c r="E386" i="20" s="1"/>
  <c r="F386" i="20" s="1"/>
  <c r="B387" i="20"/>
  <c r="E387" i="20" s="1"/>
  <c r="B388" i="20"/>
  <c r="E388" i="20" s="1"/>
  <c r="F388" i="20" s="1"/>
  <c r="B389" i="20"/>
  <c r="E389" i="20" s="1"/>
  <c r="F389" i="20" s="1"/>
  <c r="B390" i="20"/>
  <c r="E390" i="20" s="1"/>
  <c r="F390" i="20" s="1"/>
  <c r="B391" i="20"/>
  <c r="E391" i="20" s="1"/>
  <c r="F391" i="20" s="1"/>
  <c r="B392" i="20"/>
  <c r="E392" i="20" s="1"/>
  <c r="F392" i="20" s="1"/>
  <c r="B393" i="20"/>
  <c r="E393" i="20" s="1"/>
  <c r="F393" i="20" s="1"/>
  <c r="B394" i="20"/>
  <c r="E394" i="20" s="1"/>
  <c r="F394" i="20" s="1"/>
  <c r="B395" i="20"/>
  <c r="E395" i="20" s="1"/>
  <c r="F395" i="20" s="1"/>
  <c r="B396" i="20"/>
  <c r="E396" i="20" s="1"/>
  <c r="F396" i="20" s="1"/>
  <c r="B397" i="20"/>
  <c r="E397" i="20" s="1"/>
  <c r="F397" i="20" s="1"/>
  <c r="B398" i="20"/>
  <c r="E398" i="20" s="1"/>
  <c r="F398" i="20" s="1"/>
  <c r="B399" i="20"/>
  <c r="E399" i="20" s="1"/>
  <c r="F399" i="20" s="1"/>
  <c r="B400" i="20"/>
  <c r="E400" i="20" s="1"/>
  <c r="F400" i="20" s="1"/>
  <c r="B401" i="20"/>
  <c r="E401" i="20" s="1"/>
  <c r="F401" i="20" s="1"/>
  <c r="B402" i="20"/>
  <c r="E402" i="20" s="1"/>
  <c r="F402" i="20" s="1"/>
  <c r="B403" i="20"/>
  <c r="E403" i="20" s="1"/>
  <c r="F403" i="20" s="1"/>
  <c r="B404" i="20"/>
  <c r="F404" i="20" s="1"/>
  <c r="B405" i="20"/>
  <c r="E405" i="20" s="1"/>
  <c r="F405" i="20" s="1"/>
  <c r="B406" i="20"/>
  <c r="E406" i="20" s="1"/>
  <c r="F406" i="20" s="1"/>
  <c r="B407" i="20"/>
  <c r="E407" i="20" s="1"/>
  <c r="F407" i="20" s="1"/>
  <c r="B408" i="20"/>
  <c r="E408" i="20" s="1"/>
  <c r="F408" i="20" s="1"/>
  <c r="B409" i="20"/>
  <c r="E409" i="20" s="1"/>
  <c r="F409" i="20" s="1"/>
  <c r="B410" i="20"/>
  <c r="E410" i="20" s="1"/>
  <c r="F410" i="20" s="1"/>
  <c r="B411" i="20"/>
  <c r="E411" i="20" s="1"/>
  <c r="F411" i="20" s="1"/>
  <c r="B412" i="20"/>
  <c r="E412" i="20" s="1"/>
  <c r="F412" i="20" s="1"/>
  <c r="B413" i="20"/>
  <c r="E413" i="20" s="1"/>
  <c r="F413" i="20" s="1"/>
  <c r="B414" i="20"/>
  <c r="E414" i="20" s="1"/>
  <c r="F414" i="20" s="1"/>
  <c r="B415" i="20"/>
  <c r="E415" i="20" s="1"/>
  <c r="F415" i="20" s="1"/>
  <c r="B416" i="20"/>
  <c r="E416" i="20" s="1"/>
  <c r="F416" i="20" s="1"/>
  <c r="B417" i="20"/>
  <c r="E417" i="20" s="1"/>
  <c r="F417" i="20" s="1"/>
  <c r="B418" i="20"/>
  <c r="E418" i="20" s="1"/>
  <c r="F418" i="20" s="1"/>
  <c r="B419" i="20"/>
  <c r="E419" i="20" s="1"/>
  <c r="F419" i="20" s="1"/>
  <c r="B420" i="20"/>
  <c r="E420" i="20" s="1"/>
  <c r="F420" i="20" s="1"/>
  <c r="B421" i="20"/>
  <c r="E421" i="20" s="1"/>
  <c r="F421" i="20" s="1"/>
  <c r="B422" i="20"/>
  <c r="E422" i="20" s="1"/>
  <c r="F422" i="20" s="1"/>
  <c r="B423" i="20"/>
  <c r="E423" i="20" s="1"/>
  <c r="F423" i="20" s="1"/>
  <c r="B424" i="20"/>
  <c r="E424" i="20" s="1"/>
  <c r="F424" i="20" s="1"/>
  <c r="B425" i="20"/>
  <c r="E425" i="20" s="1"/>
  <c r="F425" i="20" s="1"/>
  <c r="B426" i="20"/>
  <c r="E426" i="20" s="1"/>
  <c r="F426" i="20" s="1"/>
  <c r="B427" i="20"/>
  <c r="E427" i="20" s="1"/>
  <c r="F427" i="20" s="1"/>
  <c r="B428" i="20"/>
  <c r="E428" i="20" s="1"/>
  <c r="F428" i="20" s="1"/>
  <c r="B429" i="20"/>
  <c r="E429" i="20" s="1"/>
  <c r="F429" i="20" s="1"/>
  <c r="B430" i="20"/>
  <c r="E430" i="20" s="1"/>
  <c r="B431" i="20"/>
  <c r="E431" i="20" s="1"/>
  <c r="F431" i="20" s="1"/>
  <c r="B432" i="20"/>
  <c r="E432" i="20" s="1"/>
  <c r="F432" i="20" s="1"/>
  <c r="B433" i="20"/>
  <c r="E433" i="20" s="1"/>
  <c r="B434" i="20"/>
  <c r="E434" i="20" s="1"/>
  <c r="F434" i="20" s="1"/>
  <c r="B435" i="20"/>
  <c r="E435" i="20" s="1"/>
  <c r="F435" i="20" s="1"/>
  <c r="B436" i="20"/>
  <c r="E436" i="20" s="1"/>
  <c r="F436" i="20" s="1"/>
  <c r="B437" i="20"/>
  <c r="E437" i="20" s="1"/>
  <c r="F437" i="20" s="1"/>
  <c r="B438" i="20"/>
  <c r="E438" i="20" s="1"/>
  <c r="F438" i="20" s="1"/>
  <c r="B439" i="20"/>
  <c r="E439" i="20" s="1"/>
  <c r="F439" i="20" s="1"/>
  <c r="B440" i="20"/>
  <c r="E440" i="20" s="1"/>
  <c r="F440" i="20" s="1"/>
  <c r="B441" i="20"/>
  <c r="E441" i="20" s="1"/>
  <c r="F441" i="20" s="1"/>
  <c r="B442" i="20"/>
  <c r="E442" i="20" s="1"/>
  <c r="F442" i="20" s="1"/>
  <c r="B443" i="20"/>
  <c r="E443" i="20" s="1"/>
  <c r="F443" i="20" s="1"/>
  <c r="B444" i="20"/>
  <c r="E444" i="20" s="1"/>
  <c r="F444" i="20" s="1"/>
  <c r="B445" i="20"/>
  <c r="E445" i="20" s="1"/>
  <c r="F445" i="20" s="1"/>
  <c r="B446" i="20"/>
  <c r="E446" i="20" s="1"/>
  <c r="F446" i="20" s="1"/>
  <c r="B447" i="20"/>
  <c r="E447" i="20" s="1"/>
  <c r="F447" i="20" s="1"/>
  <c r="B448" i="20"/>
  <c r="E448" i="20" s="1"/>
  <c r="F448" i="20" s="1"/>
  <c r="B449" i="20"/>
  <c r="E449" i="20" s="1"/>
  <c r="F449" i="20" s="1"/>
  <c r="B450" i="20"/>
  <c r="E450" i="20" s="1"/>
  <c r="F450" i="20" s="1"/>
  <c r="B451" i="20"/>
  <c r="E451" i="20" s="1"/>
  <c r="F451" i="20" s="1"/>
  <c r="B452" i="20"/>
  <c r="E452" i="20" s="1"/>
  <c r="F452" i="20" s="1"/>
  <c r="B453" i="20"/>
  <c r="E453" i="20" s="1"/>
  <c r="B454" i="20"/>
  <c r="E454" i="20" s="1"/>
  <c r="B455" i="20"/>
  <c r="E455" i="20" s="1"/>
  <c r="F455" i="20" s="1"/>
  <c r="B456" i="20"/>
  <c r="E456" i="20" s="1"/>
  <c r="B457" i="20"/>
  <c r="E457" i="20" s="1"/>
  <c r="B458" i="20"/>
  <c r="E458" i="20" s="1"/>
  <c r="F458" i="20" s="1"/>
  <c r="B459" i="20"/>
  <c r="E459" i="20" s="1"/>
  <c r="B460" i="20"/>
  <c r="E460" i="20" s="1"/>
  <c r="F460" i="20" s="1"/>
  <c r="B461" i="20"/>
  <c r="E461" i="20" s="1"/>
  <c r="F461" i="20" s="1"/>
  <c r="B462" i="20"/>
  <c r="E462" i="20" s="1"/>
  <c r="B463" i="20"/>
  <c r="E463" i="20" s="1"/>
  <c r="B464" i="20"/>
  <c r="E464" i="20" s="1"/>
  <c r="B465" i="20"/>
  <c r="B466" i="20"/>
  <c r="E466" i="20" s="1"/>
  <c r="B467" i="20"/>
  <c r="E467" i="20" s="1"/>
  <c r="B468" i="20"/>
  <c r="E468" i="20" s="1"/>
  <c r="D164" i="20"/>
  <c r="B7" i="20"/>
  <c r="A465" i="18"/>
  <c r="A466" i="18"/>
  <c r="A467" i="18"/>
  <c r="A468" i="18"/>
  <c r="B468" i="18" s="1"/>
  <c r="A469" i="18"/>
  <c r="A470" i="18"/>
  <c r="A471" i="18"/>
  <c r="B471" i="18" s="1"/>
  <c r="A472" i="18"/>
  <c r="B465" i="18"/>
  <c r="B466" i="18"/>
  <c r="B467" i="18"/>
  <c r="B469" i="18"/>
  <c r="B470" i="18"/>
  <c r="B472" i="18"/>
  <c r="A458" i="18"/>
  <c r="A459" i="18"/>
  <c r="A460" i="18"/>
  <c r="A461" i="18"/>
  <c r="A462" i="18"/>
  <c r="A463" i="18"/>
  <c r="A464" i="18"/>
  <c r="B458" i="18"/>
  <c r="B459" i="18"/>
  <c r="B461" i="18"/>
  <c r="B464" i="18"/>
  <c r="A447" i="18"/>
  <c r="A448" i="18"/>
  <c r="A449" i="18"/>
  <c r="A450" i="18"/>
  <c r="A451" i="18"/>
  <c r="A452" i="18"/>
  <c r="A453" i="18"/>
  <c r="A454" i="18"/>
  <c r="A455" i="18"/>
  <c r="A456" i="18"/>
  <c r="B456" i="18" s="1"/>
  <c r="A457" i="18"/>
  <c r="B455" i="18"/>
  <c r="A435" i="18"/>
  <c r="A436" i="18"/>
  <c r="A437" i="18"/>
  <c r="A438" i="18"/>
  <c r="A439" i="18"/>
  <c r="A440" i="18"/>
  <c r="A441" i="18"/>
  <c r="A442" i="18"/>
  <c r="A443" i="18"/>
  <c r="A444" i="18"/>
  <c r="A445" i="18"/>
  <c r="A446" i="18"/>
  <c r="B435" i="18"/>
  <c r="A427" i="18"/>
  <c r="A428" i="18"/>
  <c r="A429" i="18"/>
  <c r="A430" i="18"/>
  <c r="A431" i="18"/>
  <c r="A432" i="18"/>
  <c r="A433" i="18"/>
  <c r="A434" i="18"/>
  <c r="B432" i="18"/>
  <c r="A409" i="18"/>
  <c r="A410" i="18"/>
  <c r="A411" i="18"/>
  <c r="A412" i="18"/>
  <c r="A413" i="18"/>
  <c r="A414" i="18"/>
  <c r="A415" i="18"/>
  <c r="A416" i="18"/>
  <c r="A417" i="18"/>
  <c r="A418" i="18"/>
  <c r="A419" i="18"/>
  <c r="A420" i="18"/>
  <c r="A421" i="18"/>
  <c r="A422" i="18"/>
  <c r="A423" i="18"/>
  <c r="A424" i="18"/>
  <c r="A425" i="18"/>
  <c r="A426" i="18"/>
  <c r="A30" i="18"/>
  <c r="A31" i="18"/>
  <c r="A32" i="18"/>
  <c r="A33" i="18"/>
  <c r="A34" i="18"/>
  <c r="A35" i="18"/>
  <c r="A36" i="18"/>
  <c r="A37" i="18"/>
  <c r="A38" i="18"/>
  <c r="A39" i="18"/>
  <c r="A40" i="18"/>
  <c r="A41" i="18"/>
  <c r="A42" i="18"/>
  <c r="A43" i="18"/>
  <c r="A44" i="18"/>
  <c r="A45" i="18"/>
  <c r="A46" i="18"/>
  <c r="A47" i="18"/>
  <c r="A48" i="18"/>
  <c r="A49" i="18"/>
  <c r="A50" i="18"/>
  <c r="A51" i="18"/>
  <c r="A52" i="18"/>
  <c r="A53" i="18"/>
  <c r="A54" i="18"/>
  <c r="A55" i="18"/>
  <c r="A56" i="18"/>
  <c r="A57" i="18"/>
  <c r="A58" i="18"/>
  <c r="A59" i="18"/>
  <c r="A60" i="18"/>
  <c r="A61" i="18"/>
  <c r="A62" i="18"/>
  <c r="A63" i="18"/>
  <c r="A64" i="18"/>
  <c r="A65" i="18"/>
  <c r="B65" i="18" s="1"/>
  <c r="A66" i="18"/>
  <c r="A67" i="18"/>
  <c r="A68" i="18"/>
  <c r="A69" i="18"/>
  <c r="A70" i="18"/>
  <c r="A71" i="18"/>
  <c r="A72" i="18"/>
  <c r="A73" i="18"/>
  <c r="A74" i="18"/>
  <c r="A75" i="18"/>
  <c r="A76" i="18"/>
  <c r="A77" i="18"/>
  <c r="A78" i="18"/>
  <c r="A79" i="18"/>
  <c r="A80" i="18"/>
  <c r="A81" i="18"/>
  <c r="A82" i="18"/>
  <c r="A83" i="18"/>
  <c r="A84" i="18"/>
  <c r="A85" i="18"/>
  <c r="A86" i="18"/>
  <c r="A87" i="18"/>
  <c r="A88" i="18"/>
  <c r="A89" i="18"/>
  <c r="A90" i="18"/>
  <c r="A91" i="18"/>
  <c r="A92" i="18"/>
  <c r="A93" i="18"/>
  <c r="A94" i="18"/>
  <c r="A95" i="18"/>
  <c r="A96" i="18"/>
  <c r="A97" i="18"/>
  <c r="A98" i="18"/>
  <c r="A99" i="18"/>
  <c r="A100" i="18"/>
  <c r="A101" i="18"/>
  <c r="A102" i="18"/>
  <c r="A103" i="18"/>
  <c r="A104" i="18"/>
  <c r="A105" i="18"/>
  <c r="A106" i="18"/>
  <c r="A107" i="18"/>
  <c r="A108" i="18"/>
  <c r="A109" i="18"/>
  <c r="A110" i="18"/>
  <c r="A111" i="18"/>
  <c r="A112" i="18"/>
  <c r="A113" i="18"/>
  <c r="A114" i="18"/>
  <c r="A115" i="18"/>
  <c r="A116" i="18"/>
  <c r="A117" i="18"/>
  <c r="A118" i="18"/>
  <c r="A119" i="18"/>
  <c r="A120" i="18"/>
  <c r="A121" i="18"/>
  <c r="A122" i="18"/>
  <c r="A123" i="18"/>
  <c r="A124" i="18"/>
  <c r="A125" i="18"/>
  <c r="A126" i="18"/>
  <c r="A127" i="18"/>
  <c r="A128" i="18"/>
  <c r="A129" i="18"/>
  <c r="A130" i="18"/>
  <c r="A131" i="18"/>
  <c r="A132" i="18"/>
  <c r="A133" i="18"/>
  <c r="A134" i="18"/>
  <c r="A135" i="18"/>
  <c r="A136" i="18"/>
  <c r="A137" i="18"/>
  <c r="A138" i="18"/>
  <c r="A139" i="18"/>
  <c r="A140" i="18"/>
  <c r="A141" i="18"/>
  <c r="A142" i="18"/>
  <c r="A143" i="18"/>
  <c r="A144" i="18"/>
  <c r="A145" i="18"/>
  <c r="A146" i="18"/>
  <c r="A147" i="18"/>
  <c r="A148" i="18"/>
  <c r="A149" i="18"/>
  <c r="A150" i="18"/>
  <c r="A151" i="18"/>
  <c r="A152" i="18"/>
  <c r="A153" i="18"/>
  <c r="A154" i="18"/>
  <c r="A155" i="18"/>
  <c r="A156" i="18"/>
  <c r="A157" i="18"/>
  <c r="A158" i="18"/>
  <c r="A159" i="18"/>
  <c r="A160" i="18"/>
  <c r="A161" i="18"/>
  <c r="A162" i="18"/>
  <c r="A163" i="18"/>
  <c r="A164" i="18"/>
  <c r="A165" i="18"/>
  <c r="A166" i="18"/>
  <c r="A167" i="18"/>
  <c r="A168" i="18"/>
  <c r="A169" i="18"/>
  <c r="A170" i="18"/>
  <c r="A171" i="18"/>
  <c r="A172" i="18"/>
  <c r="A173" i="18"/>
  <c r="A174" i="18"/>
  <c r="A175" i="18"/>
  <c r="A176" i="18"/>
  <c r="A177" i="18"/>
  <c r="A178" i="18"/>
  <c r="A179" i="18"/>
  <c r="A180" i="18"/>
  <c r="A181" i="18"/>
  <c r="A182" i="18"/>
  <c r="A183" i="18"/>
  <c r="A184" i="18"/>
  <c r="A185" i="18"/>
  <c r="A186" i="18"/>
  <c r="A187" i="18"/>
  <c r="A188" i="18"/>
  <c r="A189" i="18"/>
  <c r="A190" i="18"/>
  <c r="A191" i="18"/>
  <c r="A192" i="18"/>
  <c r="A193" i="18"/>
  <c r="A194" i="18"/>
  <c r="A195" i="18"/>
  <c r="A196" i="18"/>
  <c r="A197" i="18"/>
  <c r="A198" i="18"/>
  <c r="A199" i="18"/>
  <c r="A200" i="18"/>
  <c r="A201" i="18"/>
  <c r="A202" i="18"/>
  <c r="A203" i="18"/>
  <c r="A204" i="18"/>
  <c r="A205" i="18"/>
  <c r="A206" i="18"/>
  <c r="A207" i="18"/>
  <c r="A208" i="18"/>
  <c r="A209" i="18"/>
  <c r="A210" i="18"/>
  <c r="A211" i="18"/>
  <c r="A212" i="18"/>
  <c r="A213" i="18"/>
  <c r="A214" i="18"/>
  <c r="A215" i="18"/>
  <c r="A216" i="18"/>
  <c r="A217" i="18"/>
  <c r="A218" i="18"/>
  <c r="A219" i="18"/>
  <c r="A220" i="18"/>
  <c r="A221" i="18"/>
  <c r="A222" i="18"/>
  <c r="A223" i="18"/>
  <c r="A224" i="18"/>
  <c r="A225" i="18"/>
  <c r="A226" i="18"/>
  <c r="A227" i="18"/>
  <c r="A228" i="18"/>
  <c r="A229" i="18"/>
  <c r="A230" i="18"/>
  <c r="A231" i="18"/>
  <c r="A232" i="18"/>
  <c r="A233" i="18"/>
  <c r="A234" i="18"/>
  <c r="A235" i="18"/>
  <c r="A236" i="18"/>
  <c r="A237" i="18"/>
  <c r="A238" i="18"/>
  <c r="A239" i="18"/>
  <c r="A240" i="18"/>
  <c r="A241" i="18"/>
  <c r="A242" i="18"/>
  <c r="A243" i="18"/>
  <c r="A244" i="18"/>
  <c r="A245" i="18"/>
  <c r="A246" i="18"/>
  <c r="A247" i="18"/>
  <c r="A248" i="18"/>
  <c r="A249" i="18"/>
  <c r="A250" i="18"/>
  <c r="A251" i="18"/>
  <c r="A252" i="18"/>
  <c r="A253" i="18"/>
  <c r="A254" i="18"/>
  <c r="A255" i="18"/>
  <c r="A256" i="18"/>
  <c r="B256" i="18" s="1"/>
  <c r="A257" i="18"/>
  <c r="A258" i="18"/>
  <c r="A259" i="18"/>
  <c r="A260" i="18"/>
  <c r="A261" i="18"/>
  <c r="A262" i="18"/>
  <c r="A263" i="18"/>
  <c r="A264" i="18"/>
  <c r="B264" i="18" s="1"/>
  <c r="A265" i="18"/>
  <c r="B265" i="18" s="1"/>
  <c r="A266" i="18"/>
  <c r="A267" i="18"/>
  <c r="A268" i="18"/>
  <c r="A269" i="18"/>
  <c r="A270" i="18"/>
  <c r="A271" i="18"/>
  <c r="A272" i="18"/>
  <c r="A273" i="18"/>
  <c r="A274" i="18"/>
  <c r="A275" i="18"/>
  <c r="A276" i="18"/>
  <c r="A277" i="18"/>
  <c r="A278" i="18"/>
  <c r="A279" i="18"/>
  <c r="A280" i="18"/>
  <c r="A281" i="18"/>
  <c r="A282" i="18"/>
  <c r="A283" i="18"/>
  <c r="A284" i="18"/>
  <c r="A285" i="18"/>
  <c r="A286" i="18"/>
  <c r="A287" i="18"/>
  <c r="A288" i="18"/>
  <c r="A289" i="18"/>
  <c r="A290" i="18"/>
  <c r="B290" i="18" s="1"/>
  <c r="A291" i="18"/>
  <c r="A292" i="18"/>
  <c r="A293" i="18"/>
  <c r="A294" i="18"/>
  <c r="A295" i="18"/>
  <c r="A296" i="18"/>
  <c r="A297" i="18"/>
  <c r="A298" i="18"/>
  <c r="B298" i="18" s="1"/>
  <c r="A299" i="18"/>
  <c r="A300" i="18"/>
  <c r="A301" i="18"/>
  <c r="A302" i="18"/>
  <c r="A303" i="18"/>
  <c r="A304" i="18"/>
  <c r="A305" i="18"/>
  <c r="A306" i="18"/>
  <c r="A307" i="18"/>
  <c r="A308" i="18"/>
  <c r="A309" i="18"/>
  <c r="A310" i="18"/>
  <c r="A311" i="18"/>
  <c r="A312" i="18"/>
  <c r="A313" i="18"/>
  <c r="B313" i="18" s="1"/>
  <c r="A314" i="18"/>
  <c r="A315" i="18"/>
  <c r="A316" i="18"/>
  <c r="A317" i="18"/>
  <c r="A318" i="18"/>
  <c r="A319" i="18"/>
  <c r="A320" i="18"/>
  <c r="A321" i="18"/>
  <c r="A322" i="18"/>
  <c r="A323" i="18"/>
  <c r="A324" i="18"/>
  <c r="A325" i="18"/>
  <c r="A326" i="18"/>
  <c r="A327" i="18"/>
  <c r="A328" i="18"/>
  <c r="A329" i="18"/>
  <c r="A330" i="18"/>
  <c r="A331" i="18"/>
  <c r="A332" i="18"/>
  <c r="A333" i="18"/>
  <c r="A334" i="18"/>
  <c r="A335" i="18"/>
  <c r="A336" i="18"/>
  <c r="A337" i="18"/>
  <c r="A338" i="18"/>
  <c r="B338" i="18" s="1"/>
  <c r="A339" i="18"/>
  <c r="A340" i="18"/>
  <c r="A341" i="18"/>
  <c r="A342" i="18"/>
  <c r="A343" i="18"/>
  <c r="A344" i="18"/>
  <c r="A345" i="18"/>
  <c r="A346" i="18"/>
  <c r="A347" i="18"/>
  <c r="A348" i="18"/>
  <c r="A349" i="18"/>
  <c r="A350" i="18"/>
  <c r="A351" i="18"/>
  <c r="A352" i="18"/>
  <c r="A353" i="18"/>
  <c r="A354" i="18"/>
  <c r="B354" i="18" s="1"/>
  <c r="A355" i="18"/>
  <c r="A356" i="18"/>
  <c r="A357" i="18"/>
  <c r="A358" i="18"/>
  <c r="A359" i="18"/>
  <c r="A360" i="18"/>
  <c r="A361" i="18"/>
  <c r="A362" i="18"/>
  <c r="A363" i="18"/>
  <c r="A364" i="18"/>
  <c r="A365" i="18"/>
  <c r="A366" i="18"/>
  <c r="A367" i="18"/>
  <c r="A368" i="18"/>
  <c r="A369" i="18"/>
  <c r="B369" i="18" s="1"/>
  <c r="A370" i="18"/>
  <c r="A371" i="18"/>
  <c r="A372" i="18"/>
  <c r="A373" i="18"/>
  <c r="A374" i="18"/>
  <c r="A375" i="18"/>
  <c r="A376" i="18"/>
  <c r="A377" i="18"/>
  <c r="A378" i="18"/>
  <c r="A379" i="18"/>
  <c r="A380" i="18"/>
  <c r="A381" i="18"/>
  <c r="A382" i="18"/>
  <c r="A383" i="18"/>
  <c r="A384" i="18"/>
  <c r="A385" i="18"/>
  <c r="A386" i="18"/>
  <c r="A387" i="18"/>
  <c r="A388" i="18"/>
  <c r="A389" i="18"/>
  <c r="A390" i="18"/>
  <c r="A391" i="18"/>
  <c r="A392" i="18"/>
  <c r="A393" i="18"/>
  <c r="A394" i="18"/>
  <c r="A395" i="18"/>
  <c r="A396" i="18"/>
  <c r="A397" i="18"/>
  <c r="A398" i="18"/>
  <c r="A399" i="18"/>
  <c r="A400" i="18"/>
  <c r="A401" i="18"/>
  <c r="A402" i="18"/>
  <c r="A403" i="18"/>
  <c r="A404" i="18"/>
  <c r="A405" i="18"/>
  <c r="A406" i="18"/>
  <c r="A407" i="18"/>
  <c r="A408" i="18"/>
  <c r="B39" i="18"/>
  <c r="B102" i="18"/>
  <c r="B166" i="18"/>
  <c r="B213" i="18"/>
  <c r="B222" i="18"/>
  <c r="B259" i="18"/>
  <c r="B278" i="18"/>
  <c r="B303" i="18"/>
  <c r="B325" i="18"/>
  <c r="B331" i="18"/>
  <c r="B365" i="18"/>
  <c r="B366" i="18"/>
  <c r="B367" i="18"/>
  <c r="B379" i="18"/>
  <c r="B383" i="18"/>
  <c r="B389" i="18"/>
  <c r="A19" i="18"/>
  <c r="A20" i="18"/>
  <c r="A21" i="18"/>
  <c r="A22" i="18"/>
  <c r="A23" i="18"/>
  <c r="A24" i="18"/>
  <c r="A25" i="18"/>
  <c r="A26" i="18"/>
  <c r="A27" i="18"/>
  <c r="A28" i="18"/>
  <c r="A29" i="18"/>
  <c r="A10" i="18"/>
  <c r="A11" i="18"/>
  <c r="A12" i="18"/>
  <c r="A13" i="18"/>
  <c r="A14" i="18"/>
  <c r="A15" i="18"/>
  <c r="A16" i="18"/>
  <c r="A17" i="18"/>
  <c r="A18" i="18"/>
  <c r="A9" i="18"/>
  <c r="A459" i="17"/>
  <c r="A460" i="17"/>
  <c r="A461" i="17"/>
  <c r="A462" i="17"/>
  <c r="A463" i="17"/>
  <c r="A464" i="17"/>
  <c r="A465" i="17"/>
  <c r="A466" i="17"/>
  <c r="A467" i="17"/>
  <c r="C467" i="17" s="1"/>
  <c r="A468" i="17"/>
  <c r="C468" i="17" s="1"/>
  <c r="A448" i="17"/>
  <c r="A449" i="17"/>
  <c r="A450" i="17"/>
  <c r="A451" i="17"/>
  <c r="A452" i="17"/>
  <c r="A453" i="17"/>
  <c r="A454" i="17"/>
  <c r="A455" i="17"/>
  <c r="A456" i="17"/>
  <c r="C456" i="17" s="1"/>
  <c r="A457" i="17"/>
  <c r="C457" i="17" s="1"/>
  <c r="A458" i="17"/>
  <c r="A438" i="17"/>
  <c r="A439" i="17"/>
  <c r="D439" i="17" s="1"/>
  <c r="E439" i="17" s="1"/>
  <c r="A440" i="17"/>
  <c r="A441" i="17"/>
  <c r="A442" i="17"/>
  <c r="A443" i="17"/>
  <c r="A444" i="17"/>
  <c r="A445" i="17"/>
  <c r="A446" i="17"/>
  <c r="A447" i="17"/>
  <c r="A425" i="17"/>
  <c r="D425" i="17" s="1"/>
  <c r="E425" i="17" s="1"/>
  <c r="A426" i="17"/>
  <c r="D426" i="17" s="1"/>
  <c r="E426" i="17" s="1"/>
  <c r="A427" i="17"/>
  <c r="A428" i="17"/>
  <c r="A429" i="17"/>
  <c r="A430" i="17"/>
  <c r="A431" i="17"/>
  <c r="A432" i="17"/>
  <c r="A433" i="17"/>
  <c r="C433" i="17" s="1"/>
  <c r="A434" i="17"/>
  <c r="A435" i="17"/>
  <c r="A436" i="17"/>
  <c r="A437" i="17"/>
  <c r="A410" i="17"/>
  <c r="D410" i="17" s="1"/>
  <c r="E410" i="17" s="1"/>
  <c r="A411" i="17"/>
  <c r="A412" i="17"/>
  <c r="A413" i="17"/>
  <c r="A414" i="17"/>
  <c r="D414" i="17" s="1"/>
  <c r="E414" i="17" s="1"/>
  <c r="A415" i="17"/>
  <c r="A416" i="17"/>
  <c r="A417" i="17"/>
  <c r="A418" i="17"/>
  <c r="A419" i="17"/>
  <c r="A420" i="17"/>
  <c r="A421" i="17"/>
  <c r="A422" i="17"/>
  <c r="A423" i="17"/>
  <c r="A424" i="17"/>
  <c r="A394" i="17"/>
  <c r="D394" i="17" s="1"/>
  <c r="E394" i="17" s="1"/>
  <c r="A395" i="17"/>
  <c r="A396" i="17"/>
  <c r="A397" i="17"/>
  <c r="A398" i="17"/>
  <c r="D398" i="17" s="1"/>
  <c r="E398" i="17" s="1"/>
  <c r="A399" i="17"/>
  <c r="A400" i="17"/>
  <c r="A401" i="17"/>
  <c r="A402" i="17"/>
  <c r="A403" i="17"/>
  <c r="A404" i="17"/>
  <c r="A405" i="17"/>
  <c r="A406" i="17"/>
  <c r="A407" i="17"/>
  <c r="D407" i="17" s="1"/>
  <c r="E407" i="17" s="1"/>
  <c r="A408" i="17"/>
  <c r="D408" i="17" s="1"/>
  <c r="E408" i="17" s="1"/>
  <c r="A409" i="17"/>
  <c r="D409" i="17" s="1"/>
  <c r="E409" i="17" s="1"/>
  <c r="A380" i="17"/>
  <c r="A381" i="17"/>
  <c r="A382" i="17"/>
  <c r="A383" i="17"/>
  <c r="A384" i="17"/>
  <c r="A385" i="17"/>
  <c r="A386" i="17"/>
  <c r="A387" i="17"/>
  <c r="C387" i="17" s="1"/>
  <c r="A388" i="17"/>
  <c r="A389" i="17"/>
  <c r="A390" i="17"/>
  <c r="A391" i="17"/>
  <c r="A392" i="17"/>
  <c r="A393" i="17"/>
  <c r="A368" i="17"/>
  <c r="A369" i="17"/>
  <c r="A370" i="17"/>
  <c r="A371" i="17"/>
  <c r="A372" i="17"/>
  <c r="A373" i="17"/>
  <c r="A374" i="17"/>
  <c r="A375" i="17"/>
  <c r="A376" i="17"/>
  <c r="A377" i="17"/>
  <c r="C377" i="17" s="1"/>
  <c r="A378" i="17"/>
  <c r="A379" i="17"/>
  <c r="A350" i="17"/>
  <c r="A351" i="17"/>
  <c r="A352" i="17"/>
  <c r="A353" i="17"/>
  <c r="A354" i="17"/>
  <c r="A355" i="17"/>
  <c r="A356" i="17"/>
  <c r="A357" i="17"/>
  <c r="A358" i="17"/>
  <c r="A359" i="17"/>
  <c r="D359" i="17" s="1"/>
  <c r="E359" i="17" s="1"/>
  <c r="A360" i="17"/>
  <c r="D360" i="17" s="1"/>
  <c r="E360" i="17" s="1"/>
  <c r="A361" i="17"/>
  <c r="D361" i="17" s="1"/>
  <c r="E361" i="17" s="1"/>
  <c r="A362" i="17"/>
  <c r="A363" i="17"/>
  <c r="A364" i="17"/>
  <c r="C364" i="17" s="1"/>
  <c r="A365" i="17"/>
  <c r="C365" i="17" s="1"/>
  <c r="A366" i="17"/>
  <c r="D366" i="17" s="1"/>
  <c r="E366" i="17" s="1"/>
  <c r="A367" i="17"/>
  <c r="C367" i="17" s="1"/>
  <c r="A331" i="17"/>
  <c r="A332" i="17"/>
  <c r="A333" i="17"/>
  <c r="A334" i="17"/>
  <c r="D334" i="17" s="1"/>
  <c r="E334" i="17" s="1"/>
  <c r="A335" i="17"/>
  <c r="A336" i="17"/>
  <c r="A337" i="17"/>
  <c r="A338" i="17"/>
  <c r="A339" i="17"/>
  <c r="A340" i="17"/>
  <c r="A341" i="17"/>
  <c r="D341" i="17" s="1"/>
  <c r="E341" i="17" s="1"/>
  <c r="A342" i="17"/>
  <c r="D342" i="17" s="1"/>
  <c r="E342" i="17" s="1"/>
  <c r="A343" i="17"/>
  <c r="D343" i="17" s="1"/>
  <c r="E343" i="17" s="1"/>
  <c r="A344" i="17"/>
  <c r="A345" i="17"/>
  <c r="A346" i="17"/>
  <c r="A347" i="17"/>
  <c r="A348" i="17"/>
  <c r="A349" i="17"/>
  <c r="A314" i="17"/>
  <c r="D314" i="17" s="1"/>
  <c r="E314" i="17" s="1"/>
  <c r="A315" i="17"/>
  <c r="A316" i="17"/>
  <c r="A317" i="17"/>
  <c r="A318" i="17"/>
  <c r="D318" i="17" s="1"/>
  <c r="E318" i="17" s="1"/>
  <c r="A319" i="17"/>
  <c r="A320" i="17"/>
  <c r="A321" i="17"/>
  <c r="A322" i="17"/>
  <c r="A323" i="17"/>
  <c r="C323" i="17" s="1"/>
  <c r="A324" i="17"/>
  <c r="A325" i="17"/>
  <c r="A326" i="17"/>
  <c r="A327" i="17"/>
  <c r="D327" i="17" s="1"/>
  <c r="E327" i="17" s="1"/>
  <c r="A328" i="17"/>
  <c r="D328" i="17" s="1"/>
  <c r="E328" i="17" s="1"/>
  <c r="A329" i="17"/>
  <c r="C329" i="17" s="1"/>
  <c r="A330" i="17"/>
  <c r="D330" i="17" s="1"/>
  <c r="E330" i="17" s="1"/>
  <c r="A292" i="17"/>
  <c r="A293" i="17"/>
  <c r="A294" i="17"/>
  <c r="D294" i="17" s="1"/>
  <c r="E294" i="17" s="1"/>
  <c r="A295" i="17"/>
  <c r="D295" i="17" s="1"/>
  <c r="E295" i="17" s="1"/>
  <c r="A296" i="17"/>
  <c r="D296" i="17" s="1"/>
  <c r="A297" i="17"/>
  <c r="A298" i="17"/>
  <c r="A299" i="17"/>
  <c r="A300" i="17"/>
  <c r="A301" i="17"/>
  <c r="A302" i="17"/>
  <c r="A303" i="17"/>
  <c r="A304" i="17"/>
  <c r="A305" i="17"/>
  <c r="A306" i="17"/>
  <c r="A307" i="17"/>
  <c r="A308" i="17"/>
  <c r="A309" i="17"/>
  <c r="A310" i="17"/>
  <c r="D310" i="17" s="1"/>
  <c r="E310" i="17" s="1"/>
  <c r="A311" i="17"/>
  <c r="D311" i="17" s="1"/>
  <c r="A312" i="17"/>
  <c r="D312" i="17" s="1"/>
  <c r="E312" i="17" s="1"/>
  <c r="A313" i="17"/>
  <c r="D313" i="17" s="1"/>
  <c r="E313" i="17" s="1"/>
  <c r="A281" i="17"/>
  <c r="A282" i="17"/>
  <c r="A283" i="17"/>
  <c r="A284" i="17"/>
  <c r="A285" i="17"/>
  <c r="A286" i="17"/>
  <c r="A287" i="17"/>
  <c r="A288" i="17"/>
  <c r="C288" i="17" s="1"/>
  <c r="A289" i="17"/>
  <c r="A290" i="17"/>
  <c r="A291" i="17"/>
  <c r="A272" i="17"/>
  <c r="A273" i="17"/>
  <c r="A274" i="17"/>
  <c r="A275" i="17"/>
  <c r="A276" i="17"/>
  <c r="A277" i="17"/>
  <c r="A278" i="17"/>
  <c r="A279" i="17"/>
  <c r="D279" i="17" s="1"/>
  <c r="E279" i="17" s="1"/>
  <c r="A280" i="17"/>
  <c r="D280" i="17" s="1"/>
  <c r="E280" i="17" s="1"/>
  <c r="A256" i="17"/>
  <c r="A257" i="17"/>
  <c r="A258" i="17"/>
  <c r="A259" i="17"/>
  <c r="A260" i="17"/>
  <c r="A261" i="17"/>
  <c r="A262" i="17"/>
  <c r="A263" i="17"/>
  <c r="D263" i="17" s="1"/>
  <c r="E263" i="17" s="1"/>
  <c r="A264" i="17"/>
  <c r="D264" i="17" s="1"/>
  <c r="E264" i="17" s="1"/>
  <c r="A265" i="17"/>
  <c r="D265" i="17" s="1"/>
  <c r="E265" i="17" s="1"/>
  <c r="A266" i="17"/>
  <c r="A267" i="17"/>
  <c r="A268" i="17"/>
  <c r="A269" i="17"/>
  <c r="A270" i="17"/>
  <c r="A271" i="17"/>
  <c r="A209" i="17"/>
  <c r="A210" i="17"/>
  <c r="A211" i="17"/>
  <c r="C211" i="17" s="1"/>
  <c r="A212" i="17"/>
  <c r="A213" i="17"/>
  <c r="A214" i="17"/>
  <c r="A215" i="17"/>
  <c r="A216" i="17"/>
  <c r="A217" i="17"/>
  <c r="D217" i="17" s="1"/>
  <c r="E217" i="17" s="1"/>
  <c r="A218" i="17"/>
  <c r="A219" i="17"/>
  <c r="A220" i="17"/>
  <c r="C220" i="17" s="1"/>
  <c r="A221" i="17"/>
  <c r="A222" i="17"/>
  <c r="A223" i="17"/>
  <c r="A224" i="17"/>
  <c r="A225" i="17"/>
  <c r="A226" i="17"/>
  <c r="A227" i="17"/>
  <c r="A228" i="17"/>
  <c r="D228" i="17" s="1"/>
  <c r="E228" i="17" s="1"/>
  <c r="A229" i="17"/>
  <c r="A230" i="17"/>
  <c r="A231" i="17"/>
  <c r="A232" i="17"/>
  <c r="A233" i="17"/>
  <c r="D233" i="17" s="1"/>
  <c r="E233" i="17" s="1"/>
  <c r="A234" i="17"/>
  <c r="A235" i="17"/>
  <c r="A236" i="17"/>
  <c r="A237" i="17"/>
  <c r="A238" i="17"/>
  <c r="A239" i="17"/>
  <c r="A240" i="17"/>
  <c r="A241" i="17"/>
  <c r="A242" i="17"/>
  <c r="A243" i="17"/>
  <c r="A244" i="17"/>
  <c r="A245" i="17"/>
  <c r="A246" i="17"/>
  <c r="A247" i="17"/>
  <c r="A248" i="17"/>
  <c r="A249" i="17"/>
  <c r="D249" i="17" s="1"/>
  <c r="E249" i="17" s="1"/>
  <c r="A250" i="17"/>
  <c r="A251" i="17"/>
  <c r="A252" i="17"/>
  <c r="A253" i="17"/>
  <c r="A254" i="17"/>
  <c r="A255" i="17"/>
  <c r="A191" i="17"/>
  <c r="A192" i="17"/>
  <c r="A193" i="17"/>
  <c r="A194" i="17"/>
  <c r="A195" i="17"/>
  <c r="A196" i="17"/>
  <c r="A197" i="17"/>
  <c r="A198" i="17"/>
  <c r="A199" i="17"/>
  <c r="D199" i="17" s="1"/>
  <c r="E199" i="17" s="1"/>
  <c r="A200" i="17"/>
  <c r="D200" i="17" s="1"/>
  <c r="E200" i="17" s="1"/>
  <c r="A201" i="17"/>
  <c r="D201" i="17" s="1"/>
  <c r="E201" i="17" s="1"/>
  <c r="A202" i="17"/>
  <c r="A203" i="17"/>
  <c r="A204" i="17"/>
  <c r="A205" i="17"/>
  <c r="A206" i="17"/>
  <c r="A207" i="17"/>
  <c r="A208" i="17"/>
  <c r="A172" i="17"/>
  <c r="A173" i="17"/>
  <c r="A174" i="17"/>
  <c r="D174" i="17" s="1"/>
  <c r="E174" i="17" s="1"/>
  <c r="A175" i="17"/>
  <c r="A176" i="17"/>
  <c r="A177" i="17"/>
  <c r="A178" i="17"/>
  <c r="A179" i="17"/>
  <c r="A180" i="17"/>
  <c r="A181" i="17"/>
  <c r="A182" i="17"/>
  <c r="A183" i="17"/>
  <c r="D183" i="17" s="1"/>
  <c r="E183" i="17" s="1"/>
  <c r="A184" i="17"/>
  <c r="D184" i="17" s="1"/>
  <c r="E184" i="17" s="1"/>
  <c r="A185" i="17"/>
  <c r="A186" i="17"/>
  <c r="A187" i="17"/>
  <c r="A188" i="17"/>
  <c r="A189" i="17"/>
  <c r="A190" i="17"/>
  <c r="D190" i="17" s="1"/>
  <c r="E190" i="17" s="1"/>
  <c r="A160" i="17"/>
  <c r="A161" i="17"/>
  <c r="A162" i="17"/>
  <c r="A163" i="17"/>
  <c r="A164" i="17"/>
  <c r="D164" i="17" s="1"/>
  <c r="A165" i="17"/>
  <c r="D165" i="17" s="1"/>
  <c r="E165" i="17" s="1"/>
  <c r="A166" i="17"/>
  <c r="A167" i="17"/>
  <c r="A168" i="17"/>
  <c r="A169" i="17"/>
  <c r="A170" i="17"/>
  <c r="A171" i="17"/>
  <c r="A136" i="17"/>
  <c r="D136" i="17" s="1"/>
  <c r="E136" i="17" s="1"/>
  <c r="A137" i="17"/>
  <c r="D137" i="17" s="1"/>
  <c r="E137" i="17" s="1"/>
  <c r="A138" i="17"/>
  <c r="A139" i="17"/>
  <c r="A140" i="17"/>
  <c r="A141" i="17"/>
  <c r="A142" i="17"/>
  <c r="A143" i="17"/>
  <c r="A144" i="17"/>
  <c r="A145" i="17"/>
  <c r="A146" i="17"/>
  <c r="A147" i="17"/>
  <c r="A148" i="17"/>
  <c r="A149" i="17"/>
  <c r="A150" i="17"/>
  <c r="A151" i="17"/>
  <c r="A152" i="17"/>
  <c r="D152" i="17" s="1"/>
  <c r="E152" i="17" s="1"/>
  <c r="A153" i="17"/>
  <c r="D153" i="17" s="1"/>
  <c r="E153" i="17" s="1"/>
  <c r="A154" i="17"/>
  <c r="A155" i="17"/>
  <c r="A156" i="17"/>
  <c r="A157" i="17"/>
  <c r="A158" i="17"/>
  <c r="A159" i="17"/>
  <c r="A116" i="17"/>
  <c r="A117" i="17"/>
  <c r="D117" i="17" s="1"/>
  <c r="E117" i="17" s="1"/>
  <c r="A118" i="17"/>
  <c r="A119" i="17"/>
  <c r="D119" i="17" s="1"/>
  <c r="E119" i="17" s="1"/>
  <c r="A120" i="17"/>
  <c r="D120" i="17" s="1"/>
  <c r="E120" i="17" s="1"/>
  <c r="A121" i="17"/>
  <c r="D121" i="17" s="1"/>
  <c r="E121" i="17" s="1"/>
  <c r="A122" i="17"/>
  <c r="A123" i="17"/>
  <c r="A124" i="17"/>
  <c r="A125" i="17"/>
  <c r="A126" i="17"/>
  <c r="A127" i="17"/>
  <c r="A128" i="17"/>
  <c r="A129" i="17"/>
  <c r="A130" i="17"/>
  <c r="A131" i="17"/>
  <c r="A132" i="17"/>
  <c r="A133" i="17"/>
  <c r="A134" i="17"/>
  <c r="A135" i="17"/>
  <c r="D135" i="17" s="1"/>
  <c r="E135" i="17" s="1"/>
  <c r="A101" i="17"/>
  <c r="A102" i="17"/>
  <c r="A103" i="17"/>
  <c r="D103" i="17" s="1"/>
  <c r="E103" i="17" s="1"/>
  <c r="A104" i="17"/>
  <c r="A105" i="17"/>
  <c r="D105" i="17" s="1"/>
  <c r="E105" i="17" s="1"/>
  <c r="A106" i="17"/>
  <c r="A107" i="17"/>
  <c r="A108" i="17"/>
  <c r="A109" i="17"/>
  <c r="A110" i="17"/>
  <c r="A111" i="17"/>
  <c r="A112" i="17"/>
  <c r="A113" i="17"/>
  <c r="A114" i="17"/>
  <c r="A115" i="17"/>
  <c r="A52" i="17"/>
  <c r="A53" i="17"/>
  <c r="A54" i="17"/>
  <c r="A55" i="17"/>
  <c r="D55" i="17" s="1"/>
  <c r="E55" i="17" s="1"/>
  <c r="A56" i="17"/>
  <c r="D56" i="17" s="1"/>
  <c r="E56" i="17" s="1"/>
  <c r="A57" i="17"/>
  <c r="D57" i="17" s="1"/>
  <c r="E57" i="17" s="1"/>
  <c r="A58" i="17"/>
  <c r="A59" i="17"/>
  <c r="A60" i="17"/>
  <c r="A61" i="17"/>
  <c r="A62" i="17"/>
  <c r="A63" i="17"/>
  <c r="A64" i="17"/>
  <c r="A65" i="17"/>
  <c r="D65" i="17" s="1"/>
  <c r="A66" i="17"/>
  <c r="A67" i="17"/>
  <c r="A68" i="17"/>
  <c r="A69" i="17"/>
  <c r="A70" i="17"/>
  <c r="A71" i="17"/>
  <c r="D71" i="17" s="1"/>
  <c r="E71" i="17" s="1"/>
  <c r="A72" i="17"/>
  <c r="D72" i="17" s="1"/>
  <c r="E72" i="17" s="1"/>
  <c r="A73" i="17"/>
  <c r="D73" i="17" s="1"/>
  <c r="E73" i="17" s="1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D87" i="17" s="1"/>
  <c r="E87" i="17" s="1"/>
  <c r="A88" i="17"/>
  <c r="D88" i="17" s="1"/>
  <c r="E88" i="17" s="1"/>
  <c r="A89" i="17"/>
  <c r="D89" i="17" s="1"/>
  <c r="E89" i="17" s="1"/>
  <c r="A90" i="17"/>
  <c r="A91" i="17"/>
  <c r="A92" i="17"/>
  <c r="A93" i="17"/>
  <c r="A94" i="17"/>
  <c r="A95" i="17"/>
  <c r="A96" i="17"/>
  <c r="A97" i="17"/>
  <c r="A98" i="17"/>
  <c r="A99" i="17"/>
  <c r="A100" i="17"/>
  <c r="D100" i="17" s="1"/>
  <c r="A37" i="17"/>
  <c r="A38" i="17"/>
  <c r="A39" i="17"/>
  <c r="A40" i="17"/>
  <c r="D40" i="17" s="1"/>
  <c r="E40" i="17" s="1"/>
  <c r="A41" i="17"/>
  <c r="D41" i="17" s="1"/>
  <c r="E41" i="17" s="1"/>
  <c r="A42" i="17"/>
  <c r="A43" i="17"/>
  <c r="A44" i="17"/>
  <c r="A45" i="17"/>
  <c r="A46" i="17"/>
  <c r="A47" i="17"/>
  <c r="A48" i="17"/>
  <c r="A49" i="17"/>
  <c r="A50" i="17"/>
  <c r="A51" i="17"/>
  <c r="A28" i="17"/>
  <c r="A29" i="17"/>
  <c r="A30" i="17"/>
  <c r="A31" i="17"/>
  <c r="A32" i="17"/>
  <c r="A33" i="17"/>
  <c r="A34" i="17"/>
  <c r="A35" i="17"/>
  <c r="A36" i="17"/>
  <c r="A22" i="17"/>
  <c r="A23" i="17"/>
  <c r="D23" i="17" s="1"/>
  <c r="E23" i="17" s="1"/>
  <c r="A24" i="17"/>
  <c r="A25" i="17"/>
  <c r="A26" i="17"/>
  <c r="A27" i="17"/>
  <c r="A14" i="17"/>
  <c r="A15" i="17"/>
  <c r="A16" i="17"/>
  <c r="A17" i="17"/>
  <c r="A18" i="17"/>
  <c r="A19" i="17"/>
  <c r="A20" i="17"/>
  <c r="A21" i="17"/>
  <c r="A7" i="17"/>
  <c r="A8" i="17"/>
  <c r="D8" i="17" s="1"/>
  <c r="E8" i="17" s="1"/>
  <c r="D9" i="12" s="1"/>
  <c r="A9" i="17"/>
  <c r="D9" i="17" s="1"/>
  <c r="E9" i="17" s="1"/>
  <c r="D10" i="12" s="1"/>
  <c r="A10" i="17"/>
  <c r="A11" i="17"/>
  <c r="A12" i="17"/>
  <c r="A13" i="17"/>
  <c r="B7" i="14"/>
  <c r="A10" i="14" s="1" a="1"/>
  <c r="A10" i="14" s="1"/>
  <c r="H10" i="14" a="1"/>
  <c r="H10" i="14" s="1"/>
  <c r="C514" i="23" l="1"/>
  <c r="B514" i="18"/>
  <c r="C514" i="22"/>
  <c r="D474" i="17"/>
  <c r="E471" i="20"/>
  <c r="E470" i="20"/>
  <c r="E13" i="20"/>
  <c r="F13" i="20" s="1"/>
  <c r="E12" i="12" s="1"/>
  <c r="E490" i="12"/>
  <c r="E506" i="12"/>
  <c r="E495" i="12"/>
  <c r="E480" i="12"/>
  <c r="E512" i="12"/>
  <c r="E481" i="12"/>
  <c r="E513" i="12"/>
  <c r="E486" i="12"/>
  <c r="E491" i="12"/>
  <c r="E507" i="12"/>
  <c r="E497" i="12"/>
  <c r="E482" i="12"/>
  <c r="E498" i="12"/>
  <c r="E501" i="12"/>
  <c r="E502" i="12"/>
  <c r="E518" i="12"/>
  <c r="E487" i="12"/>
  <c r="E519" i="12"/>
  <c r="E521" i="12"/>
  <c r="E492" i="12"/>
  <c r="E508" i="12"/>
  <c r="E514" i="12"/>
  <c r="E483" i="12"/>
  <c r="E515" i="12"/>
  <c r="E484" i="12"/>
  <c r="E500" i="12"/>
  <c r="E488" i="12"/>
  <c r="E504" i="12"/>
  <c r="E520" i="12"/>
  <c r="E505" i="12"/>
  <c r="E493" i="12"/>
  <c r="E509" i="12"/>
  <c r="E511" i="12"/>
  <c r="E496" i="12"/>
  <c r="E516" i="12"/>
  <c r="E485" i="12"/>
  <c r="E517" i="12"/>
  <c r="E489" i="12"/>
  <c r="E478" i="12"/>
  <c r="E494" i="12"/>
  <c r="E510" i="12"/>
  <c r="E479" i="12"/>
  <c r="E499" i="12"/>
  <c r="E503" i="12"/>
  <c r="C473" i="17"/>
  <c r="D472" i="17"/>
  <c r="D475" i="17"/>
  <c r="D504" i="12"/>
  <c r="D520" i="12"/>
  <c r="D483" i="12"/>
  <c r="D521" i="12"/>
  <c r="D493" i="12"/>
  <c r="J493" i="12" s="1"/>
  <c r="D509" i="12"/>
  <c r="D478" i="12"/>
  <c r="D484" i="12"/>
  <c r="D501" i="12"/>
  <c r="D490" i="12"/>
  <c r="D499" i="12"/>
  <c r="D491" i="12"/>
  <c r="D496" i="12"/>
  <c r="D481" i="12"/>
  <c r="D513" i="12"/>
  <c r="D482" i="12"/>
  <c r="D498" i="12"/>
  <c r="D514" i="12"/>
  <c r="D492" i="12"/>
  <c r="D508" i="12"/>
  <c r="D494" i="12"/>
  <c r="D516" i="12"/>
  <c r="D517" i="12"/>
  <c r="D502" i="12"/>
  <c r="D518" i="12"/>
  <c r="D503" i="12"/>
  <c r="D479" i="12"/>
  <c r="D495" i="12"/>
  <c r="D511" i="12"/>
  <c r="D480" i="12"/>
  <c r="D512" i="12"/>
  <c r="D497" i="12"/>
  <c r="D515" i="12"/>
  <c r="D500" i="12"/>
  <c r="D485" i="12"/>
  <c r="D486" i="12"/>
  <c r="D519" i="12"/>
  <c r="D469" i="17"/>
  <c r="E476" i="20"/>
  <c r="D472" i="20"/>
  <c r="F7" i="20"/>
  <c r="E8" i="12" s="1"/>
  <c r="D471" i="17"/>
  <c r="D476" i="17"/>
  <c r="D470" i="17"/>
  <c r="E477" i="20"/>
  <c r="E469" i="20"/>
  <c r="D474" i="20"/>
  <c r="D473" i="20"/>
  <c r="E301" i="20"/>
  <c r="D507" i="17"/>
  <c r="E507" i="17" s="1"/>
  <c r="D507" i="12" s="1"/>
  <c r="D506" i="17"/>
  <c r="E506" i="17" s="1"/>
  <c r="D506" i="12" s="1"/>
  <c r="D505" i="17"/>
  <c r="E505" i="17" s="1"/>
  <c r="D505" i="12" s="1"/>
  <c r="D510" i="17"/>
  <c r="E510" i="17" s="1"/>
  <c r="D510" i="12" s="1"/>
  <c r="D489" i="17"/>
  <c r="E489" i="17" s="1"/>
  <c r="D489" i="12" s="1"/>
  <c r="D488" i="17"/>
  <c r="E488" i="17" s="1"/>
  <c r="D488" i="12" s="1"/>
  <c r="D487" i="17"/>
  <c r="E487" i="17" s="1"/>
  <c r="D487" i="12" s="1"/>
  <c r="D475" i="20"/>
  <c r="D465" i="20"/>
  <c r="E465" i="20"/>
  <c r="D257" i="20"/>
  <c r="D453" i="20"/>
  <c r="D220" i="20"/>
  <c r="D263" i="20"/>
  <c r="D100" i="20"/>
  <c r="D466" i="20"/>
  <c r="D63" i="20"/>
  <c r="D364" i="20"/>
  <c r="D377" i="20"/>
  <c r="D462" i="20"/>
  <c r="D329" i="20"/>
  <c r="D276" i="20"/>
  <c r="D352" i="20"/>
  <c r="D433" i="20"/>
  <c r="D311" i="20"/>
  <c r="D296" i="20"/>
  <c r="D454" i="20"/>
  <c r="D363" i="20"/>
  <c r="D323" i="20"/>
  <c r="D336" i="20"/>
  <c r="D456" i="20"/>
  <c r="D463" i="20"/>
  <c r="D457" i="20"/>
  <c r="D464" i="20"/>
  <c r="D365" i="20"/>
  <c r="D254" i="20"/>
  <c r="D387" i="20"/>
  <c r="D430" i="20"/>
  <c r="D381" i="20"/>
  <c r="D459" i="20"/>
  <c r="D262" i="20"/>
  <c r="D211" i="20"/>
  <c r="D288" i="20"/>
  <c r="D367" i="20"/>
  <c r="D467" i="20"/>
  <c r="D468" i="20"/>
  <c r="C63" i="17"/>
  <c r="C336" i="17"/>
  <c r="D459" i="17"/>
  <c r="D422" i="17"/>
  <c r="E422" i="17" s="1"/>
  <c r="D420" i="17"/>
  <c r="E420" i="17" s="1"/>
  <c r="D309" i="17"/>
  <c r="E309" i="17" s="1"/>
  <c r="D36" i="17"/>
  <c r="E36" i="17" s="1"/>
  <c r="D421" i="17"/>
  <c r="E421" i="17" s="1"/>
  <c r="D308" i="17"/>
  <c r="E308" i="17" s="1"/>
  <c r="D404" i="17"/>
  <c r="E404" i="17" s="1"/>
  <c r="D293" i="17"/>
  <c r="E293" i="17" s="1"/>
  <c r="D390" i="17"/>
  <c r="E390" i="17" s="1"/>
  <c r="D292" i="17"/>
  <c r="E292" i="17" s="1"/>
  <c r="D389" i="17"/>
  <c r="E389" i="17" s="1"/>
  <c r="D276" i="17"/>
  <c r="C311" i="17"/>
  <c r="D388" i="17"/>
  <c r="E388" i="17" s="1"/>
  <c r="D262" i="17"/>
  <c r="D374" i="17"/>
  <c r="E374" i="17" s="1"/>
  <c r="D196" i="17"/>
  <c r="E196" i="17" s="1"/>
  <c r="C263" i="17"/>
  <c r="D468" i="17"/>
  <c r="D373" i="17"/>
  <c r="E373" i="17" s="1"/>
  <c r="D182" i="17"/>
  <c r="E182" i="17" s="1"/>
  <c r="C262" i="17"/>
  <c r="C381" i="17"/>
  <c r="D467" i="17"/>
  <c r="D372" i="17"/>
  <c r="E372" i="17" s="1"/>
  <c r="D181" i="17"/>
  <c r="E181" i="17" s="1"/>
  <c r="D357" i="17"/>
  <c r="E357" i="17" s="1"/>
  <c r="D150" i="17"/>
  <c r="E150" i="17" s="1"/>
  <c r="C296" i="17"/>
  <c r="D455" i="17"/>
  <c r="E455" i="17" s="1"/>
  <c r="D356" i="17"/>
  <c r="E356" i="17" s="1"/>
  <c r="D149" i="17"/>
  <c r="E149" i="17" s="1"/>
  <c r="D438" i="17"/>
  <c r="E438" i="17" s="1"/>
  <c r="D148" i="17"/>
  <c r="E148" i="17" s="1"/>
  <c r="D437" i="17"/>
  <c r="E437" i="17" s="1"/>
  <c r="D326" i="17"/>
  <c r="E326" i="17" s="1"/>
  <c r="D102" i="17"/>
  <c r="E102" i="17" s="1"/>
  <c r="D436" i="17"/>
  <c r="E436" i="17" s="1"/>
  <c r="D325" i="17"/>
  <c r="E325" i="17" s="1"/>
  <c r="D101" i="17"/>
  <c r="E101" i="17" s="1"/>
  <c r="D423" i="17"/>
  <c r="E423" i="17" s="1"/>
  <c r="D261" i="17"/>
  <c r="E261" i="17" s="1"/>
  <c r="D180" i="17"/>
  <c r="E180" i="17" s="1"/>
  <c r="D86" i="17"/>
  <c r="E86" i="17" s="1"/>
  <c r="D33" i="17"/>
  <c r="E33" i="17" s="1"/>
  <c r="D300" i="17"/>
  <c r="E300" i="17" s="1"/>
  <c r="D27" i="17"/>
  <c r="E27" i="17" s="1"/>
  <c r="D46" i="17"/>
  <c r="E46" i="17" s="1"/>
  <c r="D45" i="17"/>
  <c r="E45" i="17" s="1"/>
  <c r="D44" i="17"/>
  <c r="E44" i="17" s="1"/>
  <c r="D283" i="17"/>
  <c r="E283" i="17" s="1"/>
  <c r="D297" i="17"/>
  <c r="E297" i="17" s="1"/>
  <c r="D413" i="17"/>
  <c r="E413" i="17" s="1"/>
  <c r="C454" i="17"/>
  <c r="D260" i="17"/>
  <c r="E260" i="17" s="1"/>
  <c r="D166" i="17"/>
  <c r="E166" i="17" s="1"/>
  <c r="D85" i="17"/>
  <c r="E85" i="17" s="1"/>
  <c r="D170" i="17"/>
  <c r="E170" i="17" s="1"/>
  <c r="C462" i="17"/>
  <c r="D462" i="17"/>
  <c r="D282" i="17"/>
  <c r="E282" i="17" s="1"/>
  <c r="C363" i="17"/>
  <c r="D363" i="17"/>
  <c r="D412" i="17"/>
  <c r="E412" i="17" s="1"/>
  <c r="C453" i="17"/>
  <c r="D340" i="17"/>
  <c r="E340" i="17" s="1"/>
  <c r="D246" i="17"/>
  <c r="E246" i="17" s="1"/>
  <c r="D84" i="17"/>
  <c r="E84" i="17" s="1"/>
  <c r="D284" i="17"/>
  <c r="E284" i="17" s="1"/>
  <c r="D346" i="17"/>
  <c r="E346" i="17" s="1"/>
  <c r="D362" i="17"/>
  <c r="E362" i="17" s="1"/>
  <c r="D393" i="17"/>
  <c r="E393" i="17" s="1"/>
  <c r="D411" i="17"/>
  <c r="E411" i="17" s="1"/>
  <c r="D245" i="17"/>
  <c r="E245" i="17" s="1"/>
  <c r="D70" i="17"/>
  <c r="E70" i="17" s="1"/>
  <c r="D406" i="17"/>
  <c r="E406" i="17" s="1"/>
  <c r="D244" i="17"/>
  <c r="E244" i="17" s="1"/>
  <c r="D69" i="17"/>
  <c r="E69" i="17" s="1"/>
  <c r="D415" i="17"/>
  <c r="E415" i="17" s="1"/>
  <c r="C100" i="17"/>
  <c r="D25" i="17"/>
  <c r="E25" i="17" s="1"/>
  <c r="D24" i="17"/>
  <c r="E24" i="17" s="1"/>
  <c r="D29" i="17"/>
  <c r="E29" i="17" s="1"/>
  <c r="D158" i="17"/>
  <c r="E158" i="17" s="1"/>
  <c r="D451" i="17"/>
  <c r="E451" i="17" s="1"/>
  <c r="D19" i="17"/>
  <c r="E19" i="17" s="1"/>
  <c r="D114" i="17"/>
  <c r="E114" i="17" s="1"/>
  <c r="D130" i="17"/>
  <c r="E130" i="17" s="1"/>
  <c r="D155" i="17"/>
  <c r="E155" i="17" s="1"/>
  <c r="D139" i="17"/>
  <c r="E139" i="17" s="1"/>
  <c r="D163" i="17"/>
  <c r="E163" i="17" s="1"/>
  <c r="D273" i="17"/>
  <c r="E273" i="17" s="1"/>
  <c r="D379" i="17"/>
  <c r="E379" i="17" s="1"/>
  <c r="D391" i="17"/>
  <c r="E391" i="17" s="1"/>
  <c r="D450" i="17"/>
  <c r="E450" i="17" s="1"/>
  <c r="D405" i="17"/>
  <c r="E405" i="17" s="1"/>
  <c r="D324" i="17"/>
  <c r="E324" i="17" s="1"/>
  <c r="D230" i="17"/>
  <c r="E230" i="17" s="1"/>
  <c r="D68" i="17"/>
  <c r="E68" i="17" s="1"/>
  <c r="D370" i="17"/>
  <c r="E370" i="17" s="1"/>
  <c r="D157" i="17"/>
  <c r="E157" i="17" s="1"/>
  <c r="D178" i="17"/>
  <c r="E178" i="17" s="1"/>
  <c r="D247" i="17"/>
  <c r="E247" i="17" s="1"/>
  <c r="D281" i="17"/>
  <c r="E281" i="17" s="1"/>
  <c r="D229" i="17"/>
  <c r="E229" i="17" s="1"/>
  <c r="D54" i="17"/>
  <c r="E54" i="17" s="1"/>
  <c r="D428" i="17"/>
  <c r="E428" i="17" s="1"/>
  <c r="D32" i="17"/>
  <c r="E32" i="17" s="1"/>
  <c r="D299" i="17"/>
  <c r="E299" i="17" s="1"/>
  <c r="D320" i="17"/>
  <c r="E320" i="17" s="1"/>
  <c r="D427" i="17"/>
  <c r="E427" i="17" s="1"/>
  <c r="D43" i="17"/>
  <c r="E43" i="17" s="1"/>
  <c r="D42" i="17"/>
  <c r="E42" i="17" s="1"/>
  <c r="D275" i="17"/>
  <c r="E275" i="17" s="1"/>
  <c r="D140" i="17"/>
  <c r="E140" i="17" s="1"/>
  <c r="C164" i="17"/>
  <c r="D177" i="17"/>
  <c r="E177" i="17" s="1"/>
  <c r="D78" i="17"/>
  <c r="E78" i="17" s="1"/>
  <c r="D129" i="17"/>
  <c r="E129" i="17" s="1"/>
  <c r="D154" i="17"/>
  <c r="E154" i="17" s="1"/>
  <c r="D162" i="17"/>
  <c r="E162" i="17" s="1"/>
  <c r="D272" i="17"/>
  <c r="E272" i="17" s="1"/>
  <c r="D378" i="17"/>
  <c r="E378" i="17" s="1"/>
  <c r="D12" i="17"/>
  <c r="E12" i="17" s="1"/>
  <c r="D17" i="17"/>
  <c r="E17" i="17" s="1"/>
  <c r="D93" i="17"/>
  <c r="E93" i="17" s="1"/>
  <c r="D77" i="17"/>
  <c r="E77" i="17" s="1"/>
  <c r="D61" i="17"/>
  <c r="E61" i="17" s="1"/>
  <c r="D112" i="17"/>
  <c r="E112" i="17" s="1"/>
  <c r="D128" i="17"/>
  <c r="E128" i="17" s="1"/>
  <c r="D208" i="17"/>
  <c r="E208" i="17" s="1"/>
  <c r="D192" i="17"/>
  <c r="E192" i="17" s="1"/>
  <c r="D243" i="17"/>
  <c r="E243" i="17" s="1"/>
  <c r="D227" i="17"/>
  <c r="E227" i="17" s="1"/>
  <c r="D211" i="17"/>
  <c r="D435" i="17"/>
  <c r="E435" i="17" s="1"/>
  <c r="D443" i="17"/>
  <c r="E443" i="17" s="1"/>
  <c r="D134" i="17"/>
  <c r="E134" i="17" s="1"/>
  <c r="D53" i="17"/>
  <c r="E53" i="17" s="1"/>
  <c r="D252" i="17"/>
  <c r="E252" i="17" s="1"/>
  <c r="D111" i="17"/>
  <c r="E111" i="17" s="1"/>
  <c r="D442" i="17"/>
  <c r="E442" i="17" s="1"/>
  <c r="D214" i="17"/>
  <c r="E214" i="17" s="1"/>
  <c r="D133" i="17"/>
  <c r="E133" i="17" s="1"/>
  <c r="D52" i="17"/>
  <c r="E52" i="17" s="1"/>
  <c r="D104" i="17"/>
  <c r="E104" i="17" s="1"/>
  <c r="D26" i="17"/>
  <c r="E26" i="17" s="1"/>
  <c r="D298" i="17"/>
  <c r="E298" i="17" s="1"/>
  <c r="D30" i="17"/>
  <c r="E30" i="17" s="1"/>
  <c r="D99" i="17"/>
  <c r="E99" i="17" s="1"/>
  <c r="D67" i="17"/>
  <c r="E67" i="17" s="1"/>
  <c r="D143" i="17"/>
  <c r="E143" i="17" s="1"/>
  <c r="D142" i="17"/>
  <c r="E142" i="17" s="1"/>
  <c r="D141" i="17"/>
  <c r="E141" i="17" s="1"/>
  <c r="D231" i="17"/>
  <c r="E231" i="17" s="1"/>
  <c r="D92" i="17"/>
  <c r="E92" i="17" s="1"/>
  <c r="D60" i="17"/>
  <c r="E60" i="17" s="1"/>
  <c r="D10" i="17"/>
  <c r="E10" i="17" s="1"/>
  <c r="D15" i="17"/>
  <c r="E15" i="17" s="1"/>
  <c r="C37" i="17"/>
  <c r="D91" i="17"/>
  <c r="E91" i="17" s="1"/>
  <c r="D75" i="17"/>
  <c r="E75" i="17" s="1"/>
  <c r="D59" i="17"/>
  <c r="E59" i="17" s="1"/>
  <c r="D110" i="17"/>
  <c r="E110" i="17" s="1"/>
  <c r="D126" i="17"/>
  <c r="E126" i="17" s="1"/>
  <c r="D151" i="17"/>
  <c r="E151" i="17" s="1"/>
  <c r="D188" i="17"/>
  <c r="E188" i="17" s="1"/>
  <c r="D172" i="17"/>
  <c r="E172" i="17" s="1"/>
  <c r="D206" i="17"/>
  <c r="E206" i="17" s="1"/>
  <c r="D241" i="17"/>
  <c r="E241" i="17" s="1"/>
  <c r="D225" i="17"/>
  <c r="E225" i="17" s="1"/>
  <c r="D209" i="17"/>
  <c r="E209" i="17" s="1"/>
  <c r="D256" i="17"/>
  <c r="E256" i="17" s="1"/>
  <c r="D441" i="17"/>
  <c r="E441" i="17" s="1"/>
  <c r="D213" i="17"/>
  <c r="E213" i="17" s="1"/>
  <c r="D132" i="17"/>
  <c r="E132" i="17" s="1"/>
  <c r="D38" i="17"/>
  <c r="E38" i="17" s="1"/>
  <c r="D146" i="17"/>
  <c r="E146" i="17" s="1"/>
  <c r="D236" i="17"/>
  <c r="E236" i="17" s="1"/>
  <c r="D367" i="17"/>
  <c r="D31" i="17"/>
  <c r="E31" i="17" s="1"/>
  <c r="D144" i="17"/>
  <c r="E144" i="17" s="1"/>
  <c r="D28" i="17"/>
  <c r="E28" i="17" s="1"/>
  <c r="D39" i="17"/>
  <c r="E39" i="17" s="1"/>
  <c r="D113" i="17"/>
  <c r="E113" i="17" s="1"/>
  <c r="D193" i="17"/>
  <c r="E193" i="17" s="1"/>
  <c r="D259" i="17"/>
  <c r="E259" i="17" s="1"/>
  <c r="D444" i="17"/>
  <c r="E444" i="17" s="1"/>
  <c r="D11" i="17"/>
  <c r="E11" i="17" s="1"/>
  <c r="D11" i="12" s="1"/>
  <c r="D16" i="17"/>
  <c r="E16" i="17" s="1"/>
  <c r="D189" i="17"/>
  <c r="E189" i="17" s="1"/>
  <c r="D257" i="17"/>
  <c r="D90" i="17"/>
  <c r="E90" i="17" s="1"/>
  <c r="D74" i="17"/>
  <c r="E74" i="17" s="1"/>
  <c r="D58" i="17"/>
  <c r="E58" i="17" s="1"/>
  <c r="D109" i="17"/>
  <c r="E109" i="17" s="1"/>
  <c r="D125" i="17"/>
  <c r="E125" i="17" s="1"/>
  <c r="D187" i="17"/>
  <c r="E187" i="17" s="1"/>
  <c r="D205" i="17"/>
  <c r="E205" i="17" s="1"/>
  <c r="D240" i="17"/>
  <c r="E240" i="17" s="1"/>
  <c r="D224" i="17"/>
  <c r="E224" i="17" s="1"/>
  <c r="D271" i="17"/>
  <c r="E271" i="17" s="1"/>
  <c r="D304" i="17"/>
  <c r="E304" i="17" s="1"/>
  <c r="D339" i="17"/>
  <c r="E339" i="17" s="1"/>
  <c r="D440" i="17"/>
  <c r="E440" i="17" s="1"/>
  <c r="D454" i="17"/>
  <c r="D212" i="17"/>
  <c r="E212" i="17" s="1"/>
  <c r="D118" i="17"/>
  <c r="E118" i="17" s="1"/>
  <c r="D37" i="17"/>
  <c r="D47" i="17"/>
  <c r="E47" i="17" s="1"/>
  <c r="D321" i="17"/>
  <c r="E321" i="17" s="1"/>
  <c r="D351" i="17"/>
  <c r="E351" i="17" s="1"/>
  <c r="C463" i="17"/>
  <c r="D463" i="17"/>
  <c r="D319" i="17"/>
  <c r="E319" i="17" s="1"/>
  <c r="D167" i="17"/>
  <c r="E167" i="17" s="1"/>
  <c r="D392" i="17"/>
  <c r="E392" i="17" s="1"/>
  <c r="D13" i="17"/>
  <c r="E13" i="17" s="1"/>
  <c r="D12" i="12" s="1"/>
  <c r="D62" i="17"/>
  <c r="E62" i="17" s="1"/>
  <c r="D138" i="17"/>
  <c r="E138" i="17" s="1"/>
  <c r="D127" i="17"/>
  <c r="E127" i="17" s="1"/>
  <c r="D173" i="17"/>
  <c r="E173" i="17" s="1"/>
  <c r="D207" i="17"/>
  <c r="E207" i="17" s="1"/>
  <c r="D191" i="17"/>
  <c r="E191" i="17" s="1"/>
  <c r="D242" i="17"/>
  <c r="E242" i="17" s="1"/>
  <c r="D210" i="17"/>
  <c r="E210" i="17" s="1"/>
  <c r="D186" i="17"/>
  <c r="E186" i="17" s="1"/>
  <c r="D204" i="17"/>
  <c r="E204" i="17" s="1"/>
  <c r="D255" i="17"/>
  <c r="E255" i="17" s="1"/>
  <c r="D239" i="17"/>
  <c r="E239" i="17" s="1"/>
  <c r="D270" i="17"/>
  <c r="E270" i="17" s="1"/>
  <c r="D289" i="17"/>
  <c r="E289" i="17" s="1"/>
  <c r="D338" i="17"/>
  <c r="E338" i="17" s="1"/>
  <c r="D419" i="17"/>
  <c r="E419" i="17" s="1"/>
  <c r="D431" i="17"/>
  <c r="E431" i="17" s="1"/>
  <c r="C466" i="17"/>
  <c r="D466" i="17"/>
  <c r="D453" i="17"/>
  <c r="D198" i="17"/>
  <c r="E198" i="17" s="1"/>
  <c r="D285" i="17"/>
  <c r="E285" i="17" s="1"/>
  <c r="D168" i="17"/>
  <c r="E168" i="17" s="1"/>
  <c r="D83" i="17"/>
  <c r="E83" i="17" s="1"/>
  <c r="D159" i="17"/>
  <c r="E159" i="17" s="1"/>
  <c r="D21" i="17"/>
  <c r="E21" i="17" s="1"/>
  <c r="D156" i="17"/>
  <c r="E156" i="17" s="1"/>
  <c r="D18" i="17"/>
  <c r="E18" i="17" s="1"/>
  <c r="D94" i="17"/>
  <c r="E94" i="17" s="1"/>
  <c r="D76" i="17"/>
  <c r="E76" i="17" s="1"/>
  <c r="D226" i="17"/>
  <c r="E226" i="17" s="1"/>
  <c r="C257" i="17"/>
  <c r="D306" i="17"/>
  <c r="E306" i="17" s="1"/>
  <c r="D14" i="17"/>
  <c r="E14" i="17" s="1"/>
  <c r="D108" i="17"/>
  <c r="E108" i="17" s="1"/>
  <c r="D124" i="17"/>
  <c r="E124" i="17" s="1"/>
  <c r="D223" i="17"/>
  <c r="E223" i="17" s="1"/>
  <c r="D7" i="17"/>
  <c r="E7" i="17" s="1"/>
  <c r="D8" i="12" s="1"/>
  <c r="D35" i="17"/>
  <c r="E35" i="17" s="1"/>
  <c r="D49" i="17"/>
  <c r="E49" i="17" s="1"/>
  <c r="D107" i="17"/>
  <c r="E107" i="17" s="1"/>
  <c r="D123" i="17"/>
  <c r="E123" i="17" s="1"/>
  <c r="D185" i="17"/>
  <c r="E185" i="17" s="1"/>
  <c r="D203" i="17"/>
  <c r="E203" i="17" s="1"/>
  <c r="C254" i="17"/>
  <c r="D254" i="17"/>
  <c r="D238" i="17"/>
  <c r="E238" i="17" s="1"/>
  <c r="D222" i="17"/>
  <c r="E222" i="17" s="1"/>
  <c r="D269" i="17"/>
  <c r="E269" i="17" s="1"/>
  <c r="D302" i="17"/>
  <c r="E302" i="17" s="1"/>
  <c r="D323" i="17"/>
  <c r="D337" i="17"/>
  <c r="E337" i="17" s="1"/>
  <c r="D430" i="17"/>
  <c r="C430" i="17"/>
  <c r="C465" i="17"/>
  <c r="D465" i="17"/>
  <c r="D452" i="17"/>
  <c r="E452" i="17" s="1"/>
  <c r="D278" i="17"/>
  <c r="E278" i="17" s="1"/>
  <c r="D197" i="17"/>
  <c r="E197" i="17" s="1"/>
  <c r="D116" i="17"/>
  <c r="E116" i="17" s="1"/>
  <c r="D22" i="17"/>
  <c r="E22" i="17" s="1"/>
  <c r="D145" i="17"/>
  <c r="E145" i="17" s="1"/>
  <c r="D169" i="17"/>
  <c r="E169" i="17" s="1"/>
  <c r="D98" i="17"/>
  <c r="E98" i="17" s="1"/>
  <c r="D82" i="17"/>
  <c r="E82" i="17" s="1"/>
  <c r="D66" i="17"/>
  <c r="E66" i="17" s="1"/>
  <c r="D179" i="17"/>
  <c r="E179" i="17" s="1"/>
  <c r="D215" i="17"/>
  <c r="E215" i="17" s="1"/>
  <c r="D115" i="17"/>
  <c r="E115" i="17" s="1"/>
  <c r="D131" i="17"/>
  <c r="E131" i="17" s="1"/>
  <c r="D274" i="17"/>
  <c r="E274" i="17" s="1"/>
  <c r="D34" i="17"/>
  <c r="E34" i="17" s="1"/>
  <c r="D48" i="17"/>
  <c r="E48" i="17" s="1"/>
  <c r="D106" i="17"/>
  <c r="E106" i="17" s="1"/>
  <c r="D147" i="17"/>
  <c r="E147" i="17" s="1"/>
  <c r="D171" i="17"/>
  <c r="E171" i="17" s="1"/>
  <c r="D202" i="17"/>
  <c r="E202" i="17" s="1"/>
  <c r="D253" i="17"/>
  <c r="E253" i="17" s="1"/>
  <c r="D237" i="17"/>
  <c r="E237" i="17" s="1"/>
  <c r="D221" i="17"/>
  <c r="E221" i="17" s="1"/>
  <c r="D268" i="17"/>
  <c r="E268" i="17" s="1"/>
  <c r="D287" i="17"/>
  <c r="E287" i="17" s="1"/>
  <c r="C301" i="17"/>
  <c r="D301" i="17"/>
  <c r="D322" i="17"/>
  <c r="E322" i="17" s="1"/>
  <c r="D383" i="17"/>
  <c r="E383" i="17" s="1"/>
  <c r="D397" i="17"/>
  <c r="E397" i="17" s="1"/>
  <c r="D429" i="17"/>
  <c r="E429" i="17" s="1"/>
  <c r="D458" i="17"/>
  <c r="E458" i="17" s="1"/>
  <c r="C464" i="17"/>
  <c r="D464" i="17"/>
  <c r="D358" i="17"/>
  <c r="E358" i="17" s="1"/>
  <c r="D277" i="17"/>
  <c r="E277" i="17" s="1"/>
  <c r="D20" i="17"/>
  <c r="E20" i="17" s="1"/>
  <c r="D403" i="17"/>
  <c r="E403" i="17" s="1"/>
  <c r="D387" i="17"/>
  <c r="D371" i="17"/>
  <c r="E371" i="17" s="1"/>
  <c r="D355" i="17"/>
  <c r="E355" i="17" s="1"/>
  <c r="D307" i="17"/>
  <c r="E307" i="17" s="1"/>
  <c r="D291" i="17"/>
  <c r="E291" i="17" s="1"/>
  <c r="D195" i="17"/>
  <c r="E195" i="17" s="1"/>
  <c r="D51" i="17"/>
  <c r="E51" i="17" s="1"/>
  <c r="D434" i="17"/>
  <c r="E434" i="17" s="1"/>
  <c r="D418" i="17"/>
  <c r="E418" i="17" s="1"/>
  <c r="D402" i="17"/>
  <c r="E402" i="17" s="1"/>
  <c r="D386" i="17"/>
  <c r="E386" i="17" s="1"/>
  <c r="D354" i="17"/>
  <c r="E354" i="17" s="1"/>
  <c r="D290" i="17"/>
  <c r="E290" i="17" s="1"/>
  <c r="D258" i="17"/>
  <c r="E258" i="17" s="1"/>
  <c r="D194" i="17"/>
  <c r="E194" i="17" s="1"/>
  <c r="D50" i="17"/>
  <c r="E50" i="17" s="1"/>
  <c r="C276" i="17"/>
  <c r="D449" i="17"/>
  <c r="E449" i="17" s="1"/>
  <c r="D433" i="17"/>
  <c r="D417" i="17"/>
  <c r="E417" i="17" s="1"/>
  <c r="D401" i="17"/>
  <c r="E401" i="17" s="1"/>
  <c r="D385" i="17"/>
  <c r="E385" i="17" s="1"/>
  <c r="D369" i="17"/>
  <c r="E369" i="17" s="1"/>
  <c r="D353" i="17"/>
  <c r="E353" i="17" s="1"/>
  <c r="D305" i="17"/>
  <c r="E305" i="17" s="1"/>
  <c r="D161" i="17"/>
  <c r="E161" i="17" s="1"/>
  <c r="D97" i="17"/>
  <c r="E97" i="17" s="1"/>
  <c r="D81" i="17"/>
  <c r="E81" i="17" s="1"/>
  <c r="E65" i="17"/>
  <c r="D448" i="17"/>
  <c r="E448" i="17" s="1"/>
  <c r="D432" i="17"/>
  <c r="E432" i="17" s="1"/>
  <c r="D416" i="17"/>
  <c r="E416" i="17" s="1"/>
  <c r="D400" i="17"/>
  <c r="E400" i="17" s="1"/>
  <c r="D384" i="17"/>
  <c r="E384" i="17" s="1"/>
  <c r="D368" i="17"/>
  <c r="E368" i="17" s="1"/>
  <c r="D352" i="17"/>
  <c r="D336" i="17"/>
  <c r="D288" i="17"/>
  <c r="D176" i="17"/>
  <c r="E176" i="17" s="1"/>
  <c r="D160" i="17"/>
  <c r="E160" i="17" s="1"/>
  <c r="D96" i="17"/>
  <c r="E96" i="17" s="1"/>
  <c r="D80" i="17"/>
  <c r="E80" i="17" s="1"/>
  <c r="D64" i="17"/>
  <c r="E64" i="17" s="1"/>
  <c r="D447" i="17"/>
  <c r="E447" i="17" s="1"/>
  <c r="D399" i="17"/>
  <c r="E399" i="17" s="1"/>
  <c r="D335" i="17"/>
  <c r="E335" i="17" s="1"/>
  <c r="D303" i="17"/>
  <c r="E303" i="17" s="1"/>
  <c r="D175" i="17"/>
  <c r="E175" i="17" s="1"/>
  <c r="D95" i="17"/>
  <c r="E95" i="17" s="1"/>
  <c r="D79" i="17"/>
  <c r="E79" i="17" s="1"/>
  <c r="D63" i="17"/>
  <c r="C352" i="17"/>
  <c r="D446" i="17"/>
  <c r="E446" i="17" s="1"/>
  <c r="D382" i="17"/>
  <c r="E382" i="17" s="1"/>
  <c r="D350" i="17"/>
  <c r="E350" i="17" s="1"/>
  <c r="D286" i="17"/>
  <c r="E286" i="17" s="1"/>
  <c r="D461" i="17"/>
  <c r="E461" i="17" s="1"/>
  <c r="D445" i="17"/>
  <c r="E445" i="17" s="1"/>
  <c r="D381" i="17"/>
  <c r="D365" i="17"/>
  <c r="D349" i="17"/>
  <c r="E349" i="17" s="1"/>
  <c r="D333" i="17"/>
  <c r="E333" i="17" s="1"/>
  <c r="D317" i="17"/>
  <c r="E317" i="17" s="1"/>
  <c r="D460" i="17"/>
  <c r="E460" i="17" s="1"/>
  <c r="D396" i="17"/>
  <c r="E396" i="17" s="1"/>
  <c r="D380" i="17"/>
  <c r="E380" i="17" s="1"/>
  <c r="D364" i="17"/>
  <c r="E364" i="17" s="1"/>
  <c r="D348" i="17"/>
  <c r="E348" i="17" s="1"/>
  <c r="D332" i="17"/>
  <c r="E332" i="17" s="1"/>
  <c r="D316" i="17"/>
  <c r="E316" i="17" s="1"/>
  <c r="D220" i="17"/>
  <c r="D395" i="17"/>
  <c r="E395" i="17" s="1"/>
  <c r="D347" i="17"/>
  <c r="E347" i="17" s="1"/>
  <c r="D331" i="17"/>
  <c r="E331" i="17" s="1"/>
  <c r="D315" i="17"/>
  <c r="E315" i="17" s="1"/>
  <c r="D267" i="17"/>
  <c r="E267" i="17" s="1"/>
  <c r="D251" i="17"/>
  <c r="E251" i="17" s="1"/>
  <c r="D235" i="17"/>
  <c r="E235" i="17" s="1"/>
  <c r="D219" i="17"/>
  <c r="E219" i="17" s="1"/>
  <c r="C459" i="17"/>
  <c r="D266" i="17"/>
  <c r="E266" i="17" s="1"/>
  <c r="D250" i="17"/>
  <c r="E250" i="17" s="1"/>
  <c r="D234" i="17"/>
  <c r="E234" i="17" s="1"/>
  <c r="D218" i="17"/>
  <c r="E218" i="17" s="1"/>
  <c r="D122" i="17"/>
  <c r="E122" i="17" s="1"/>
  <c r="D457" i="17"/>
  <c r="D377" i="17"/>
  <c r="D345" i="17"/>
  <c r="E345" i="17" s="1"/>
  <c r="D329" i="17"/>
  <c r="D456" i="17"/>
  <c r="D424" i="17"/>
  <c r="E424" i="17" s="1"/>
  <c r="D376" i="17"/>
  <c r="E376" i="17" s="1"/>
  <c r="D344" i="17"/>
  <c r="E344" i="17" s="1"/>
  <c r="D248" i="17"/>
  <c r="E248" i="17" s="1"/>
  <c r="D232" i="17"/>
  <c r="E232" i="17" s="1"/>
  <c r="D216" i="17"/>
  <c r="E216" i="17" s="1"/>
  <c r="D375" i="17"/>
  <c r="E375" i="17" s="1"/>
  <c r="H7" i="10"/>
  <c r="H8" i="10"/>
  <c r="H9" i="10"/>
  <c r="H10" i="10"/>
  <c r="H11" i="10"/>
  <c r="H12" i="10"/>
  <c r="H13" i="10"/>
  <c r="H14" i="10"/>
  <c r="H15" i="10"/>
  <c r="H16" i="10"/>
  <c r="C18" i="23" s="1"/>
  <c r="H17" i="10"/>
  <c r="C19" i="23" s="1"/>
  <c r="H18" i="10"/>
  <c r="H19" i="10"/>
  <c r="H20" i="10"/>
  <c r="H21" i="10"/>
  <c r="H22" i="10"/>
  <c r="H23" i="10"/>
  <c r="H24" i="10"/>
  <c r="H25" i="10"/>
  <c r="C27" i="23" s="1"/>
  <c r="H26" i="10"/>
  <c r="H27" i="10"/>
  <c r="H28" i="10"/>
  <c r="C30" i="23" s="1"/>
  <c r="H29" i="10"/>
  <c r="H30" i="10"/>
  <c r="C31" i="23" s="1"/>
  <c r="H31" i="10"/>
  <c r="H32" i="10"/>
  <c r="H33" i="10"/>
  <c r="C34" i="23" s="1"/>
  <c r="H34" i="10"/>
  <c r="H35" i="10"/>
  <c r="H36" i="10"/>
  <c r="H37" i="10"/>
  <c r="C38" i="23" s="1"/>
  <c r="H38" i="10"/>
  <c r="C40" i="23" s="1"/>
  <c r="H39" i="10"/>
  <c r="H40" i="10"/>
  <c r="H41" i="10"/>
  <c r="H42" i="10"/>
  <c r="H43" i="10"/>
  <c r="C45" i="23" s="1"/>
  <c r="H44" i="10"/>
  <c r="H45" i="10"/>
  <c r="H46" i="10"/>
  <c r="C48" i="23" s="1"/>
  <c r="H47" i="10"/>
  <c r="C49" i="23" s="1"/>
  <c r="H48" i="10"/>
  <c r="H49" i="10"/>
  <c r="H50" i="10"/>
  <c r="H51" i="10"/>
  <c r="H52" i="10"/>
  <c r="C54" i="23" s="1"/>
  <c r="H53" i="10"/>
  <c r="C55" i="23" s="1"/>
  <c r="H54" i="10"/>
  <c r="C56" i="23" s="1"/>
  <c r="H55" i="10"/>
  <c r="H56" i="10"/>
  <c r="C58" i="23" s="1"/>
  <c r="H57" i="10"/>
  <c r="H58" i="10"/>
  <c r="H59" i="10"/>
  <c r="H60" i="10"/>
  <c r="H61" i="10"/>
  <c r="H62" i="10"/>
  <c r="H63" i="10"/>
  <c r="C66" i="23" s="1"/>
  <c r="H64" i="10"/>
  <c r="H65" i="10"/>
  <c r="C68" i="23" s="1"/>
  <c r="H66" i="10"/>
  <c r="H67" i="10"/>
  <c r="C69" i="23" s="1"/>
  <c r="H68" i="10"/>
  <c r="H69" i="10"/>
  <c r="H70" i="10"/>
  <c r="C71" i="23" s="1"/>
  <c r="H71" i="10"/>
  <c r="C72" i="23" s="1"/>
  <c r="H72" i="10"/>
  <c r="C73" i="23" s="1"/>
  <c r="H73" i="10"/>
  <c r="H74" i="10"/>
  <c r="H75" i="10"/>
  <c r="C76" i="23" s="1"/>
  <c r="H76" i="10"/>
  <c r="C77" i="23" s="1"/>
  <c r="H77" i="10"/>
  <c r="H78" i="10"/>
  <c r="H79" i="10"/>
  <c r="H80" i="10"/>
  <c r="H81" i="10"/>
  <c r="C81" i="23" s="1"/>
  <c r="H82" i="10"/>
  <c r="H83" i="10"/>
  <c r="H84" i="10"/>
  <c r="H85" i="10"/>
  <c r="C85" i="23" s="1"/>
  <c r="H86" i="10"/>
  <c r="H87" i="10"/>
  <c r="H88" i="10"/>
  <c r="H89" i="10"/>
  <c r="H90" i="10"/>
  <c r="H91" i="10"/>
  <c r="H92" i="10"/>
  <c r="H93" i="10"/>
  <c r="H94" i="10"/>
  <c r="H95" i="10"/>
  <c r="H96" i="10"/>
  <c r="H97" i="10"/>
  <c r="C97" i="23" s="1"/>
  <c r="H98" i="10"/>
  <c r="H99" i="10"/>
  <c r="H100" i="10"/>
  <c r="C100" i="23" s="1"/>
  <c r="H101" i="10"/>
  <c r="H102" i="10"/>
  <c r="H103" i="10"/>
  <c r="H104" i="10"/>
  <c r="C105" i="23" s="1"/>
  <c r="H105" i="10"/>
  <c r="H106" i="10"/>
  <c r="C107" i="23" s="1"/>
  <c r="H107" i="10"/>
  <c r="H108" i="10"/>
  <c r="H109" i="10"/>
  <c r="H110" i="10"/>
  <c r="C111" i="23" s="1"/>
  <c r="H111" i="10"/>
  <c r="C112" i="23" s="1"/>
  <c r="H112" i="10"/>
  <c r="H113" i="10"/>
  <c r="C114" i="23" s="1"/>
  <c r="H114" i="10"/>
  <c r="C115" i="23" s="1"/>
  <c r="H115" i="10"/>
  <c r="H116" i="10"/>
  <c r="H117" i="10"/>
  <c r="H118" i="10"/>
  <c r="H119" i="10"/>
  <c r="H120" i="10"/>
  <c r="H121" i="10"/>
  <c r="H122" i="10"/>
  <c r="H123" i="10"/>
  <c r="H124" i="10"/>
  <c r="H125" i="10"/>
  <c r="H126" i="10"/>
  <c r="H127" i="10"/>
  <c r="H128" i="10"/>
  <c r="H129" i="10"/>
  <c r="C130" i="23" s="1"/>
  <c r="H130" i="10"/>
  <c r="C131" i="23" s="1"/>
  <c r="H131" i="10"/>
  <c r="H132" i="10"/>
  <c r="H133" i="10"/>
  <c r="H134" i="10"/>
  <c r="H135" i="10"/>
  <c r="H136" i="10"/>
  <c r="H137" i="10"/>
  <c r="H138" i="10"/>
  <c r="H139" i="10"/>
  <c r="H140" i="10"/>
  <c r="H141" i="10"/>
  <c r="H142" i="10"/>
  <c r="H143" i="10"/>
  <c r="H144" i="10"/>
  <c r="C145" i="23" s="1"/>
  <c r="H145" i="10"/>
  <c r="C146" i="23" s="1"/>
  <c r="H146" i="10"/>
  <c r="C147" i="23" s="1"/>
  <c r="H147" i="10"/>
  <c r="H148" i="10"/>
  <c r="H149" i="10"/>
  <c r="C150" i="23" s="1"/>
  <c r="H150" i="10"/>
  <c r="C151" i="23" s="1"/>
  <c r="H151" i="10"/>
  <c r="H152" i="10"/>
  <c r="H153" i="10"/>
  <c r="H154" i="10"/>
  <c r="H155" i="10"/>
  <c r="H156" i="10"/>
  <c r="H157" i="10"/>
  <c r="H158" i="10"/>
  <c r="H159" i="10"/>
  <c r="C159" i="23" s="1"/>
  <c r="H160" i="10"/>
  <c r="H161" i="10"/>
  <c r="H162" i="10"/>
  <c r="H163" i="10"/>
  <c r="H164" i="10"/>
  <c r="C164" i="23" s="1"/>
  <c r="H165" i="10"/>
  <c r="H166" i="10"/>
  <c r="H167" i="10"/>
  <c r="H168" i="10"/>
  <c r="C169" i="23" s="1"/>
  <c r="H169" i="10"/>
  <c r="H170" i="10"/>
  <c r="H171" i="10"/>
  <c r="H172" i="10"/>
  <c r="H173" i="10"/>
  <c r="C174" i="23" s="1"/>
  <c r="H174" i="10"/>
  <c r="H175" i="10"/>
  <c r="H176" i="10"/>
  <c r="H177" i="10"/>
  <c r="C178" i="23" s="1"/>
  <c r="H178" i="10"/>
  <c r="H179" i="10"/>
  <c r="H180" i="10"/>
  <c r="H181" i="10"/>
  <c r="H182" i="10"/>
  <c r="H183" i="10"/>
  <c r="C184" i="23" s="1"/>
  <c r="H184" i="10"/>
  <c r="H185" i="10"/>
  <c r="H186" i="10"/>
  <c r="H187" i="10"/>
  <c r="H188" i="10"/>
  <c r="H189" i="10"/>
  <c r="H190" i="10"/>
  <c r="H191" i="10"/>
  <c r="H192" i="10"/>
  <c r="H193" i="10"/>
  <c r="C194" i="23" s="1"/>
  <c r="H194" i="10"/>
  <c r="H195" i="10"/>
  <c r="C196" i="23" s="1"/>
  <c r="H196" i="10"/>
  <c r="H197" i="10"/>
  <c r="H198" i="10"/>
  <c r="H199" i="10"/>
  <c r="H200" i="10"/>
  <c r="H201" i="10"/>
  <c r="H202" i="10"/>
  <c r="H203" i="10"/>
  <c r="H204" i="10"/>
  <c r="C205" i="23" s="1"/>
  <c r="H205" i="10"/>
  <c r="H206" i="10"/>
  <c r="H207" i="10"/>
  <c r="H208" i="10"/>
  <c r="H209" i="10"/>
  <c r="C210" i="23" s="1"/>
  <c r="H210" i="10"/>
  <c r="H211" i="10"/>
  <c r="C212" i="23" s="1"/>
  <c r="H212" i="10"/>
  <c r="C214" i="23" s="1"/>
  <c r="H213" i="10"/>
  <c r="C215" i="23" s="1"/>
  <c r="H214" i="10"/>
  <c r="H215" i="10"/>
  <c r="H216" i="10"/>
  <c r="H217" i="10"/>
  <c r="H218" i="10"/>
  <c r="H219" i="10"/>
  <c r="H220" i="10"/>
  <c r="H221" i="10"/>
  <c r="H222" i="10"/>
  <c r="C225" i="23" s="1"/>
  <c r="H223" i="10"/>
  <c r="H224" i="10"/>
  <c r="H225" i="10"/>
  <c r="C228" i="23" s="1"/>
  <c r="H226" i="10"/>
  <c r="H227" i="10"/>
  <c r="H228" i="10"/>
  <c r="C231" i="23" s="1"/>
  <c r="H229" i="10"/>
  <c r="C232" i="23" s="1"/>
  <c r="H230" i="10"/>
  <c r="H231" i="10"/>
  <c r="C234" i="23" s="1"/>
  <c r="H232" i="10"/>
  <c r="C235" i="23" s="1"/>
  <c r="H233" i="10"/>
  <c r="H234" i="10"/>
  <c r="H235" i="10"/>
  <c r="H236" i="10"/>
  <c r="D237" i="20" s="1"/>
  <c r="H237" i="10"/>
  <c r="C241" i="23" s="1"/>
  <c r="H238" i="10"/>
  <c r="C242" i="23" s="1"/>
  <c r="H239" i="10"/>
  <c r="H240" i="10"/>
  <c r="C244" i="23" s="1"/>
  <c r="H241" i="10"/>
  <c r="H242" i="10"/>
  <c r="C246" i="23" s="1"/>
  <c r="H243" i="10"/>
  <c r="H244" i="10"/>
  <c r="H245" i="10"/>
  <c r="H246" i="10"/>
  <c r="H247" i="10"/>
  <c r="H248" i="10"/>
  <c r="C252" i="23" s="1"/>
  <c r="H249" i="10"/>
  <c r="H250" i="10"/>
  <c r="H251" i="10"/>
  <c r="H252" i="10"/>
  <c r="H253" i="10"/>
  <c r="H254" i="10"/>
  <c r="C260" i="23" s="1"/>
  <c r="H255" i="10"/>
  <c r="H256" i="10"/>
  <c r="H257" i="10"/>
  <c r="H259" i="10"/>
  <c r="H260" i="10"/>
  <c r="C267" i="23" s="1"/>
  <c r="H261" i="10"/>
  <c r="H262" i="10"/>
  <c r="C269" i="23" s="1"/>
  <c r="H263" i="10"/>
  <c r="H264" i="10"/>
  <c r="H265" i="10"/>
  <c r="H266" i="10"/>
  <c r="H267" i="10"/>
  <c r="H268" i="10"/>
  <c r="H269" i="10"/>
  <c r="H270" i="10"/>
  <c r="C277" i="23" s="1"/>
  <c r="H271" i="10"/>
  <c r="C279" i="23" s="1"/>
  <c r="H272" i="10"/>
  <c r="H273" i="10"/>
  <c r="H274" i="10"/>
  <c r="H277" i="10"/>
  <c r="H278" i="10"/>
  <c r="H279" i="10"/>
  <c r="H280" i="10"/>
  <c r="H281" i="10"/>
  <c r="H282" i="10"/>
  <c r="C289" i="23" s="1"/>
  <c r="H283" i="10"/>
  <c r="H284" i="10"/>
  <c r="H285" i="10"/>
  <c r="H286" i="10"/>
  <c r="C294" i="23" s="1"/>
  <c r="H287" i="10"/>
  <c r="H288" i="10"/>
  <c r="H289" i="10"/>
  <c r="H290" i="10"/>
  <c r="H291" i="10"/>
  <c r="H292" i="10"/>
  <c r="C301" i="23" s="1"/>
  <c r="H293" i="10"/>
  <c r="H294" i="10"/>
  <c r="H296" i="10"/>
  <c r="H297" i="10"/>
  <c r="H298" i="10"/>
  <c r="H299" i="10"/>
  <c r="H300" i="10"/>
  <c r="H301" i="10"/>
  <c r="H302" i="10"/>
  <c r="H303" i="10"/>
  <c r="C314" i="23" s="1"/>
  <c r="H304" i="10"/>
  <c r="C315" i="23" s="1"/>
  <c r="H305" i="10"/>
  <c r="H306" i="10"/>
  <c r="H307" i="10"/>
  <c r="H308" i="10"/>
  <c r="H309" i="10"/>
  <c r="H310" i="10"/>
  <c r="C321" i="23" s="1"/>
  <c r="H311" i="10"/>
  <c r="H312" i="10"/>
  <c r="C323" i="23" s="1"/>
  <c r="H313" i="10"/>
  <c r="H314" i="10"/>
  <c r="H315" i="10"/>
  <c r="C327" i="23" s="1"/>
  <c r="H316" i="10"/>
  <c r="C328" i="23" s="1"/>
  <c r="H469" i="10"/>
  <c r="H317" i="10"/>
  <c r="H318" i="10"/>
  <c r="H319" i="10"/>
  <c r="C332" i="23" s="1"/>
  <c r="H320" i="10"/>
  <c r="C333" i="23" s="1"/>
  <c r="H321" i="10"/>
  <c r="H322" i="10"/>
  <c r="H324" i="10"/>
  <c r="H325" i="10"/>
  <c r="C337" i="23" s="1"/>
  <c r="H326" i="10"/>
  <c r="H328" i="10"/>
  <c r="H329" i="10"/>
  <c r="C342" i="23" s="1"/>
  <c r="H330" i="10"/>
  <c r="C343" i="23" s="1"/>
  <c r="H331" i="10"/>
  <c r="H332" i="10"/>
  <c r="H333" i="10"/>
  <c r="C346" i="23" s="1"/>
  <c r="H334" i="10"/>
  <c r="H335" i="10"/>
  <c r="H336" i="10"/>
  <c r="H337" i="10"/>
  <c r="H338" i="10"/>
  <c r="H339" i="10"/>
  <c r="C352" i="23" s="1"/>
  <c r="H340" i="10"/>
  <c r="C353" i="23" s="1"/>
  <c r="H470" i="10"/>
  <c r="H341" i="10"/>
  <c r="H342" i="10"/>
  <c r="H343" i="10"/>
  <c r="H344" i="10"/>
  <c r="H345" i="10"/>
  <c r="C359" i="23" s="1"/>
  <c r="H346" i="10"/>
  <c r="H347" i="10"/>
  <c r="H348" i="10"/>
  <c r="H349" i="10"/>
  <c r="C363" i="23" s="1"/>
  <c r="H350" i="10"/>
  <c r="C364" i="23" s="1"/>
  <c r="H438" i="10"/>
  <c r="H352" i="10"/>
  <c r="C368" i="23" s="1"/>
  <c r="H353" i="10"/>
  <c r="C370" i="23" s="1"/>
  <c r="H472" i="10"/>
  <c r="H354" i="10"/>
  <c r="C371" i="23" s="1"/>
  <c r="H355" i="10"/>
  <c r="H356" i="10"/>
  <c r="C373" i="23" s="1"/>
  <c r="H357" i="10"/>
  <c r="H358" i="10"/>
  <c r="H359" i="10"/>
  <c r="H360" i="10"/>
  <c r="H361" i="10"/>
  <c r="C378" i="23" s="1"/>
  <c r="H362" i="10"/>
  <c r="H363" i="10"/>
  <c r="H364" i="10"/>
  <c r="H365" i="10"/>
  <c r="H366" i="10"/>
  <c r="H367" i="10"/>
  <c r="H368" i="10"/>
  <c r="C387" i="23" s="1"/>
  <c r="H369" i="10"/>
  <c r="H370" i="10"/>
  <c r="H371" i="10"/>
  <c r="H372" i="10"/>
  <c r="H373" i="10"/>
  <c r="C393" i="23" s="1"/>
  <c r="H374" i="10"/>
  <c r="H375" i="10"/>
  <c r="H376" i="10"/>
  <c r="C396" i="23" s="1"/>
  <c r="H377" i="10"/>
  <c r="H378" i="10"/>
  <c r="H379" i="10"/>
  <c r="H380" i="10"/>
  <c r="H381" i="10"/>
  <c r="H382" i="10"/>
  <c r="H383" i="10"/>
  <c r="H384" i="10"/>
  <c r="H385" i="10"/>
  <c r="C405" i="23" s="1"/>
  <c r="H386" i="10"/>
  <c r="H387" i="10"/>
  <c r="C407" i="23" s="1"/>
  <c r="H388" i="10"/>
  <c r="H389" i="10"/>
  <c r="H390" i="10"/>
  <c r="H391" i="10"/>
  <c r="C411" i="23" s="1"/>
  <c r="H392" i="10"/>
  <c r="H393" i="10"/>
  <c r="H394" i="10"/>
  <c r="H395" i="10"/>
  <c r="H396" i="10"/>
  <c r="H397" i="10"/>
  <c r="H398" i="10"/>
  <c r="H399" i="10"/>
  <c r="H400" i="10"/>
  <c r="H401" i="10"/>
  <c r="H402" i="10"/>
  <c r="C422" i="23" s="1"/>
  <c r="H403" i="10"/>
  <c r="H404" i="10"/>
  <c r="C424" i="23" s="1"/>
  <c r="H405" i="10"/>
  <c r="H406" i="10"/>
  <c r="H407" i="10"/>
  <c r="H408" i="10"/>
  <c r="H409" i="10"/>
  <c r="H410" i="10"/>
  <c r="H411" i="10"/>
  <c r="H474" i="10"/>
  <c r="H412" i="10"/>
  <c r="H413" i="10"/>
  <c r="C434" i="23" s="1"/>
  <c r="H414" i="10"/>
  <c r="H415" i="10"/>
  <c r="H416" i="10"/>
  <c r="C438" i="23" s="1"/>
  <c r="H417" i="10"/>
  <c r="C439" i="23" s="1"/>
  <c r="H473" i="10"/>
  <c r="H418" i="10"/>
  <c r="H419" i="10"/>
  <c r="H420" i="10"/>
  <c r="H421" i="10"/>
  <c r="H422" i="10"/>
  <c r="H423" i="10"/>
  <c r="C445" i="23" s="1"/>
  <c r="H424" i="10"/>
  <c r="H425" i="10"/>
  <c r="H426" i="10"/>
  <c r="H427" i="10"/>
  <c r="H428" i="10"/>
  <c r="C450" i="23" s="1"/>
  <c r="H429" i="10"/>
  <c r="C451" i="23" s="1"/>
  <c r="H430" i="10"/>
  <c r="C452" i="23" s="1"/>
  <c r="H431" i="10"/>
  <c r="H432" i="10"/>
  <c r="C454" i="23" s="1"/>
  <c r="H468" i="10"/>
  <c r="H433" i="10"/>
  <c r="H434" i="10"/>
  <c r="C460" i="23" s="1"/>
  <c r="H435" i="10"/>
  <c r="H436" i="10"/>
  <c r="H437" i="10"/>
  <c r="H464" i="10"/>
  <c r="H439" i="10"/>
  <c r="H476" i="10"/>
  <c r="H455" i="10"/>
  <c r="H276" i="10"/>
  <c r="H445" i="10"/>
  <c r="H459" i="10"/>
  <c r="H460" i="10"/>
  <c r="H479" i="10"/>
  <c r="H477" i="10"/>
  <c r="H458" i="10"/>
  <c r="H449" i="10"/>
  <c r="H478" i="10"/>
  <c r="H441" i="10"/>
  <c r="H448" i="10"/>
  <c r="H440" i="10"/>
  <c r="H443" i="10"/>
  <c r="H462" i="10"/>
  <c r="H475" i="10"/>
  <c r="H466" i="10"/>
  <c r="H323" i="10"/>
  <c r="H446" i="10"/>
  <c r="H295" i="10"/>
  <c r="H471" i="10"/>
  <c r="H447" i="10"/>
  <c r="H444" i="10"/>
  <c r="H453" i="10"/>
  <c r="H327" i="10"/>
  <c r="H456" i="10"/>
  <c r="H454" i="10"/>
  <c r="H463" i="10"/>
  <c r="H457" i="10"/>
  <c r="H450" i="10"/>
  <c r="H451" i="10"/>
  <c r="H442" i="10"/>
  <c r="H452" i="10"/>
  <c r="H467" i="10"/>
  <c r="H275" i="10"/>
  <c r="H480" i="10"/>
  <c r="H481" i="10"/>
  <c r="H482" i="10"/>
  <c r="B389" i="12"/>
  <c r="B390" i="12"/>
  <c r="B391" i="12"/>
  <c r="B392" i="12"/>
  <c r="B393" i="12"/>
  <c r="B394" i="12"/>
  <c r="B395" i="12"/>
  <c r="B396" i="12"/>
  <c r="B397" i="12"/>
  <c r="B398" i="12"/>
  <c r="B399" i="12"/>
  <c r="B400" i="12"/>
  <c r="B401" i="12"/>
  <c r="B402" i="12"/>
  <c r="B403" i="12"/>
  <c r="B404" i="12"/>
  <c r="B405" i="12"/>
  <c r="B406" i="12"/>
  <c r="B407" i="12"/>
  <c r="B408" i="12"/>
  <c r="B409" i="12"/>
  <c r="B410" i="12"/>
  <c r="B411" i="12"/>
  <c r="B412" i="12"/>
  <c r="B413" i="12"/>
  <c r="B414" i="12"/>
  <c r="B415" i="12"/>
  <c r="B416" i="12"/>
  <c r="B417" i="12"/>
  <c r="B418" i="12"/>
  <c r="B419" i="12"/>
  <c r="B420" i="12"/>
  <c r="B421" i="12"/>
  <c r="B422" i="12"/>
  <c r="B423" i="12"/>
  <c r="B424" i="12"/>
  <c r="B425" i="12"/>
  <c r="B426" i="12"/>
  <c r="B427" i="12"/>
  <c r="B428" i="12"/>
  <c r="B429" i="12"/>
  <c r="B430" i="12"/>
  <c r="B431" i="12"/>
  <c r="B432" i="12"/>
  <c r="B433" i="12"/>
  <c r="B434" i="12"/>
  <c r="B435" i="12"/>
  <c r="B436" i="12"/>
  <c r="B437" i="12"/>
  <c r="B438" i="12"/>
  <c r="B439" i="12"/>
  <c r="B440" i="12"/>
  <c r="B441" i="12"/>
  <c r="B442" i="12"/>
  <c r="B443" i="12"/>
  <c r="B444" i="12"/>
  <c r="B445" i="12"/>
  <c r="B446" i="12"/>
  <c r="B447" i="12"/>
  <c r="B448" i="12"/>
  <c r="B449" i="12"/>
  <c r="B450" i="12"/>
  <c r="B451" i="12"/>
  <c r="B452" i="12"/>
  <c r="B453" i="12"/>
  <c r="B454" i="12"/>
  <c r="B455" i="12"/>
  <c r="B456" i="12"/>
  <c r="B457" i="12"/>
  <c r="B458" i="12"/>
  <c r="B459" i="12"/>
  <c r="B460" i="12"/>
  <c r="B461" i="12"/>
  <c r="B462" i="12"/>
  <c r="B463" i="12"/>
  <c r="B464" i="12"/>
  <c r="B465" i="12"/>
  <c r="B466" i="12"/>
  <c r="B467" i="12"/>
  <c r="B468" i="12"/>
  <c r="B469" i="12"/>
  <c r="B470" i="12"/>
  <c r="B471" i="12"/>
  <c r="B472" i="12"/>
  <c r="B473" i="12"/>
  <c r="B474" i="12"/>
  <c r="B475" i="12"/>
  <c r="B476" i="12"/>
  <c r="B477" i="12"/>
  <c r="B351" i="12"/>
  <c r="B352" i="12"/>
  <c r="B353" i="12"/>
  <c r="B354" i="12"/>
  <c r="B355" i="12"/>
  <c r="B356" i="12"/>
  <c r="B357" i="12"/>
  <c r="B358" i="12"/>
  <c r="B359" i="12"/>
  <c r="B360" i="12"/>
  <c r="B361" i="12"/>
  <c r="B362" i="12"/>
  <c r="B363" i="12"/>
  <c r="B364" i="12"/>
  <c r="B365" i="12"/>
  <c r="B366" i="12"/>
  <c r="B367" i="12"/>
  <c r="B368" i="12"/>
  <c r="B369" i="12"/>
  <c r="B370" i="12"/>
  <c r="B371" i="12"/>
  <c r="B372" i="12"/>
  <c r="B373" i="12"/>
  <c r="B374" i="12"/>
  <c r="B375" i="12"/>
  <c r="B376" i="12"/>
  <c r="B377" i="12"/>
  <c r="B378" i="12"/>
  <c r="B379" i="12"/>
  <c r="B380" i="12"/>
  <c r="B381" i="12"/>
  <c r="B382" i="12"/>
  <c r="B383" i="12"/>
  <c r="B384" i="12"/>
  <c r="B385" i="12"/>
  <c r="B386" i="12"/>
  <c r="B387" i="12"/>
  <c r="B388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97" i="12"/>
  <c r="B98" i="12"/>
  <c r="B99" i="12"/>
  <c r="B100" i="12"/>
  <c r="B101" i="12"/>
  <c r="B102" i="12"/>
  <c r="B103" i="12"/>
  <c r="B104" i="12"/>
  <c r="B105" i="12"/>
  <c r="B106" i="12"/>
  <c r="B107" i="12"/>
  <c r="B108" i="12"/>
  <c r="B109" i="12"/>
  <c r="B110" i="12"/>
  <c r="B111" i="12"/>
  <c r="B112" i="12"/>
  <c r="B113" i="12"/>
  <c r="B114" i="12"/>
  <c r="B115" i="12"/>
  <c r="B116" i="12"/>
  <c r="B117" i="12"/>
  <c r="B118" i="12"/>
  <c r="B119" i="12"/>
  <c r="B120" i="12"/>
  <c r="B121" i="12"/>
  <c r="B122" i="12"/>
  <c r="B123" i="12"/>
  <c r="B124" i="12"/>
  <c r="B125" i="12"/>
  <c r="B126" i="12"/>
  <c r="B127" i="12"/>
  <c r="B128" i="12"/>
  <c r="B129" i="12"/>
  <c r="B130" i="12"/>
  <c r="B131" i="12"/>
  <c r="B132" i="12"/>
  <c r="B133" i="12"/>
  <c r="B134" i="12"/>
  <c r="B135" i="12"/>
  <c r="B136" i="12"/>
  <c r="B137" i="12"/>
  <c r="B138" i="12"/>
  <c r="B139" i="12"/>
  <c r="B140" i="12"/>
  <c r="B141" i="12"/>
  <c r="B142" i="12"/>
  <c r="B143" i="12"/>
  <c r="B144" i="12"/>
  <c r="B145" i="12"/>
  <c r="B146" i="12"/>
  <c r="B147" i="12"/>
  <c r="B148" i="12"/>
  <c r="B149" i="12"/>
  <c r="B150" i="12"/>
  <c r="B151" i="12"/>
  <c r="B152" i="12"/>
  <c r="B153" i="12"/>
  <c r="B154" i="12"/>
  <c r="B155" i="12"/>
  <c r="B156" i="12"/>
  <c r="B157" i="12"/>
  <c r="B158" i="12"/>
  <c r="B159" i="12"/>
  <c r="B160" i="12"/>
  <c r="B161" i="12"/>
  <c r="B162" i="12"/>
  <c r="B163" i="12"/>
  <c r="B164" i="12"/>
  <c r="B165" i="12"/>
  <c r="B166" i="12"/>
  <c r="B167" i="12"/>
  <c r="B168" i="12"/>
  <c r="B169" i="12"/>
  <c r="B170" i="12"/>
  <c r="B171" i="12"/>
  <c r="B172" i="12"/>
  <c r="B173" i="12"/>
  <c r="B174" i="12"/>
  <c r="B175" i="12"/>
  <c r="B176" i="12"/>
  <c r="B177" i="12"/>
  <c r="B178" i="12"/>
  <c r="B179" i="12"/>
  <c r="B180" i="12"/>
  <c r="B181" i="12"/>
  <c r="B182" i="12"/>
  <c r="B183" i="12"/>
  <c r="B184" i="12"/>
  <c r="B185" i="12"/>
  <c r="B186" i="12"/>
  <c r="B187" i="12"/>
  <c r="B188" i="12"/>
  <c r="B189" i="12"/>
  <c r="B190" i="12"/>
  <c r="B191" i="12"/>
  <c r="B192" i="12"/>
  <c r="B193" i="12"/>
  <c r="B194" i="12"/>
  <c r="B195" i="12"/>
  <c r="B196" i="12"/>
  <c r="B197" i="12"/>
  <c r="B198" i="12"/>
  <c r="B199" i="12"/>
  <c r="B200" i="12"/>
  <c r="B201" i="12"/>
  <c r="B202" i="12"/>
  <c r="B203" i="12"/>
  <c r="B204" i="12"/>
  <c r="B205" i="12"/>
  <c r="B206" i="12"/>
  <c r="B207" i="12"/>
  <c r="B208" i="12"/>
  <c r="B209" i="12"/>
  <c r="B210" i="12"/>
  <c r="B211" i="12"/>
  <c r="B212" i="12"/>
  <c r="B213" i="12"/>
  <c r="B214" i="12"/>
  <c r="B215" i="12"/>
  <c r="B216" i="12"/>
  <c r="B217" i="12"/>
  <c r="B218" i="12"/>
  <c r="B219" i="12"/>
  <c r="B220" i="12"/>
  <c r="B221" i="12"/>
  <c r="B222" i="12"/>
  <c r="B223" i="12"/>
  <c r="B224" i="12"/>
  <c r="B225" i="12"/>
  <c r="B226" i="12"/>
  <c r="B227" i="12"/>
  <c r="B228" i="12"/>
  <c r="B229" i="12"/>
  <c r="B230" i="12"/>
  <c r="B231" i="12"/>
  <c r="B232" i="12"/>
  <c r="B233" i="12"/>
  <c r="B234" i="12"/>
  <c r="B235" i="12"/>
  <c r="B236" i="12"/>
  <c r="B237" i="12"/>
  <c r="B238" i="12"/>
  <c r="B239" i="12"/>
  <c r="B240" i="12"/>
  <c r="B241" i="12"/>
  <c r="B242" i="12"/>
  <c r="B243" i="12"/>
  <c r="B244" i="12"/>
  <c r="B245" i="12"/>
  <c r="B246" i="12"/>
  <c r="B247" i="12"/>
  <c r="B248" i="12"/>
  <c r="B249" i="12"/>
  <c r="B250" i="12"/>
  <c r="B251" i="12"/>
  <c r="B252" i="12"/>
  <c r="B253" i="12"/>
  <c r="B254" i="12"/>
  <c r="B255" i="12"/>
  <c r="B256" i="12"/>
  <c r="B257" i="12"/>
  <c r="B258" i="12"/>
  <c r="B259" i="12"/>
  <c r="B260" i="12"/>
  <c r="B261" i="12"/>
  <c r="B262" i="12"/>
  <c r="B263" i="12"/>
  <c r="B264" i="12"/>
  <c r="B265" i="12"/>
  <c r="B266" i="12"/>
  <c r="B267" i="12"/>
  <c r="B268" i="12"/>
  <c r="B269" i="12"/>
  <c r="B270" i="12"/>
  <c r="B271" i="12"/>
  <c r="B272" i="12"/>
  <c r="B273" i="12"/>
  <c r="B274" i="12"/>
  <c r="B275" i="12"/>
  <c r="B276" i="12"/>
  <c r="B277" i="12"/>
  <c r="B278" i="12"/>
  <c r="B279" i="12"/>
  <c r="B280" i="12"/>
  <c r="B281" i="12"/>
  <c r="B282" i="12"/>
  <c r="B283" i="12"/>
  <c r="B284" i="12"/>
  <c r="B285" i="12"/>
  <c r="B286" i="12"/>
  <c r="B287" i="12"/>
  <c r="B288" i="12"/>
  <c r="B289" i="12"/>
  <c r="B290" i="12"/>
  <c r="B291" i="12"/>
  <c r="B292" i="12"/>
  <c r="B293" i="12"/>
  <c r="B294" i="12"/>
  <c r="B295" i="12"/>
  <c r="B296" i="12"/>
  <c r="B297" i="12"/>
  <c r="B298" i="12"/>
  <c r="B299" i="12"/>
  <c r="B300" i="12"/>
  <c r="B301" i="12"/>
  <c r="B302" i="12"/>
  <c r="B303" i="12"/>
  <c r="B304" i="12"/>
  <c r="B305" i="12"/>
  <c r="B306" i="12"/>
  <c r="B307" i="12"/>
  <c r="B308" i="12"/>
  <c r="B309" i="12"/>
  <c r="B310" i="12"/>
  <c r="B311" i="12"/>
  <c r="B312" i="12"/>
  <c r="B313" i="12"/>
  <c r="B314" i="12"/>
  <c r="B315" i="12"/>
  <c r="B316" i="12"/>
  <c r="B317" i="12"/>
  <c r="B318" i="12"/>
  <c r="B319" i="12"/>
  <c r="B320" i="12"/>
  <c r="B321" i="12"/>
  <c r="B322" i="12"/>
  <c r="B323" i="12"/>
  <c r="B324" i="12"/>
  <c r="B325" i="12"/>
  <c r="B326" i="12"/>
  <c r="B327" i="12"/>
  <c r="B328" i="12"/>
  <c r="B329" i="12"/>
  <c r="B330" i="12"/>
  <c r="B331" i="12"/>
  <c r="B332" i="12"/>
  <c r="B333" i="12"/>
  <c r="B334" i="12"/>
  <c r="B335" i="12"/>
  <c r="B336" i="12"/>
  <c r="B337" i="12"/>
  <c r="B338" i="12"/>
  <c r="B339" i="12"/>
  <c r="B340" i="12"/>
  <c r="B341" i="12"/>
  <c r="B342" i="12"/>
  <c r="B343" i="12"/>
  <c r="B344" i="12"/>
  <c r="B345" i="12"/>
  <c r="B346" i="12"/>
  <c r="B347" i="12"/>
  <c r="B348" i="12"/>
  <c r="B349" i="12"/>
  <c r="B350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8" i="12"/>
  <c r="B76" i="2"/>
  <c r="C239" i="23" l="1"/>
  <c r="C239" i="22"/>
  <c r="B239" i="18"/>
  <c r="C237" i="17"/>
  <c r="J519" i="12"/>
  <c r="J521" i="12"/>
  <c r="J518" i="12"/>
  <c r="C473" i="23"/>
  <c r="C473" i="22"/>
  <c r="B473" i="18"/>
  <c r="D471" i="20"/>
  <c r="C471" i="17"/>
  <c r="C9" i="23"/>
  <c r="C10" i="23"/>
  <c r="C11" i="23"/>
  <c r="C12" i="23"/>
  <c r="C13" i="23"/>
  <c r="C14" i="23"/>
  <c r="C15" i="23"/>
  <c r="C16" i="23"/>
  <c r="C17" i="23"/>
  <c r="C20" i="23"/>
  <c r="C21" i="23"/>
  <c r="C22" i="23"/>
  <c r="C23" i="23"/>
  <c r="C24" i="23"/>
  <c r="C25" i="23"/>
  <c r="C26" i="23"/>
  <c r="C28" i="23"/>
  <c r="C29" i="23"/>
  <c r="C32" i="23"/>
  <c r="C33" i="23"/>
  <c r="C35" i="23"/>
  <c r="C36" i="23"/>
  <c r="C37" i="23"/>
  <c r="C41" i="23"/>
  <c r="C42" i="23"/>
  <c r="C43" i="23"/>
  <c r="C44" i="23"/>
  <c r="C46" i="23"/>
  <c r="C47" i="23"/>
  <c r="C50" i="23"/>
  <c r="C51" i="23"/>
  <c r="C52" i="23"/>
  <c r="C53" i="23"/>
  <c r="C57" i="23"/>
  <c r="C59" i="23"/>
  <c r="C60" i="23"/>
  <c r="C61" i="23"/>
  <c r="C62" i="23"/>
  <c r="C63" i="23"/>
  <c r="C64" i="23"/>
  <c r="C67" i="23"/>
  <c r="C70" i="23"/>
  <c r="C74" i="23"/>
  <c r="C75" i="23"/>
  <c r="C78" i="23"/>
  <c r="C79" i="23"/>
  <c r="C80" i="23"/>
  <c r="C82" i="23"/>
  <c r="C83" i="23"/>
  <c r="C84" i="23"/>
  <c r="C86" i="23"/>
  <c r="C87" i="23"/>
  <c r="C88" i="23"/>
  <c r="C89" i="23"/>
  <c r="C90" i="23"/>
  <c r="C91" i="23"/>
  <c r="C92" i="23"/>
  <c r="C93" i="23"/>
  <c r="C94" i="23"/>
  <c r="C95" i="23"/>
  <c r="C96" i="23"/>
  <c r="C98" i="23"/>
  <c r="C99" i="23"/>
  <c r="C101" i="23"/>
  <c r="C103" i="23"/>
  <c r="C104" i="23"/>
  <c r="C106" i="23"/>
  <c r="C108" i="23"/>
  <c r="C109" i="23"/>
  <c r="C110" i="23"/>
  <c r="C113" i="23"/>
  <c r="C116" i="23"/>
  <c r="C117" i="23"/>
  <c r="C118" i="23"/>
  <c r="C119" i="23"/>
  <c r="C120" i="23"/>
  <c r="C121" i="23"/>
  <c r="C122" i="23"/>
  <c r="C123" i="23"/>
  <c r="C124" i="23"/>
  <c r="C125" i="23"/>
  <c r="C126" i="23"/>
  <c r="C127" i="23"/>
  <c r="C128" i="23"/>
  <c r="C129" i="23"/>
  <c r="C132" i="23"/>
  <c r="C133" i="23"/>
  <c r="C134" i="23"/>
  <c r="C135" i="23"/>
  <c r="C136" i="23"/>
  <c r="C137" i="23"/>
  <c r="C138" i="23"/>
  <c r="C139" i="23"/>
  <c r="C140" i="23"/>
  <c r="C141" i="23"/>
  <c r="C142" i="23"/>
  <c r="C143" i="23"/>
  <c r="C144" i="23"/>
  <c r="C148" i="23"/>
  <c r="C149" i="23"/>
  <c r="C152" i="23"/>
  <c r="C153" i="23"/>
  <c r="C154" i="23"/>
  <c r="C155" i="23"/>
  <c r="C156" i="23"/>
  <c r="C157" i="23"/>
  <c r="C158" i="23"/>
  <c r="C160" i="23"/>
  <c r="C161" i="23"/>
  <c r="C162" i="23"/>
  <c r="C163" i="23"/>
  <c r="C165" i="23"/>
  <c r="C167" i="23"/>
  <c r="C168" i="23"/>
  <c r="C170" i="23"/>
  <c r="C171" i="23"/>
  <c r="C172" i="23"/>
  <c r="C173" i="23"/>
  <c r="C175" i="23"/>
  <c r="C176" i="23"/>
  <c r="C177" i="23"/>
  <c r="C179" i="23"/>
  <c r="C180" i="23"/>
  <c r="C181" i="23"/>
  <c r="C182" i="23"/>
  <c r="C183" i="23"/>
  <c r="C185" i="23"/>
  <c r="C186" i="23"/>
  <c r="C187" i="23"/>
  <c r="C188" i="23"/>
  <c r="C189" i="23"/>
  <c r="C190" i="23"/>
  <c r="C191" i="23"/>
  <c r="C192" i="23"/>
  <c r="C193" i="23"/>
  <c r="C195" i="23"/>
  <c r="C197" i="23"/>
  <c r="C198" i="23"/>
  <c r="C199" i="23"/>
  <c r="C200" i="23"/>
  <c r="C201" i="23"/>
  <c r="C202" i="23"/>
  <c r="C203" i="23"/>
  <c r="C204" i="23"/>
  <c r="C206" i="23"/>
  <c r="C207" i="23"/>
  <c r="C208" i="23"/>
  <c r="C209" i="23"/>
  <c r="C211" i="23"/>
  <c r="C216" i="23"/>
  <c r="C217" i="23"/>
  <c r="C218" i="23"/>
  <c r="C219" i="23"/>
  <c r="C220" i="23"/>
  <c r="C221" i="23"/>
  <c r="C223" i="23"/>
  <c r="C224" i="23"/>
  <c r="C226" i="23"/>
  <c r="C227" i="23"/>
  <c r="C229" i="23"/>
  <c r="C230" i="23"/>
  <c r="C233" i="23"/>
  <c r="C236" i="23"/>
  <c r="C237" i="23"/>
  <c r="C238" i="23"/>
  <c r="C240" i="23"/>
  <c r="C243" i="23"/>
  <c r="C245" i="23"/>
  <c r="C247" i="23"/>
  <c r="C248" i="23"/>
  <c r="C249" i="23"/>
  <c r="C250" i="23"/>
  <c r="C251" i="23"/>
  <c r="C253" i="23"/>
  <c r="C254" i="23"/>
  <c r="C255" i="23"/>
  <c r="C257" i="23"/>
  <c r="C258" i="23"/>
  <c r="C261" i="23"/>
  <c r="C262" i="23"/>
  <c r="C263" i="23"/>
  <c r="C266" i="23"/>
  <c r="C268" i="23"/>
  <c r="C270" i="23"/>
  <c r="C271" i="23"/>
  <c r="C272" i="23"/>
  <c r="C273" i="23"/>
  <c r="C274" i="23"/>
  <c r="C275" i="23"/>
  <c r="C276" i="23"/>
  <c r="C280" i="23"/>
  <c r="C281" i="23"/>
  <c r="C284" i="23"/>
  <c r="C285" i="23"/>
  <c r="C286" i="23"/>
  <c r="C287" i="23"/>
  <c r="C288" i="23"/>
  <c r="C291" i="23"/>
  <c r="C292" i="23"/>
  <c r="C293" i="23"/>
  <c r="C295" i="23"/>
  <c r="C296" i="23"/>
  <c r="C297" i="23"/>
  <c r="C299" i="23"/>
  <c r="C300" i="23"/>
  <c r="C302" i="23"/>
  <c r="C304" i="23"/>
  <c r="C306" i="23"/>
  <c r="C307" i="23"/>
  <c r="C308" i="23"/>
  <c r="C309" i="23"/>
  <c r="C310" i="23"/>
  <c r="C311" i="23"/>
  <c r="C312" i="23"/>
  <c r="C316" i="23"/>
  <c r="C317" i="23"/>
  <c r="C318" i="23"/>
  <c r="C319" i="23"/>
  <c r="C320" i="23"/>
  <c r="C322" i="23"/>
  <c r="C324" i="23"/>
  <c r="C326" i="23"/>
  <c r="C518" i="23"/>
  <c r="C515" i="17"/>
  <c r="D515" i="20"/>
  <c r="C518" i="22"/>
  <c r="B518" i="18"/>
  <c r="C515" i="12"/>
  <c r="C329" i="23"/>
  <c r="C330" i="23"/>
  <c r="C334" i="23"/>
  <c r="C336" i="23"/>
  <c r="C339" i="23"/>
  <c r="C341" i="23"/>
  <c r="C344" i="23"/>
  <c r="C345" i="23"/>
  <c r="C347" i="23"/>
  <c r="C348" i="23"/>
  <c r="C349" i="23"/>
  <c r="C350" i="23"/>
  <c r="C351" i="23"/>
  <c r="B519" i="18"/>
  <c r="C516" i="12"/>
  <c r="C519" i="23"/>
  <c r="C519" i="22"/>
  <c r="C516" i="17"/>
  <c r="D516" i="20"/>
  <c r="C355" i="23"/>
  <c r="C356" i="23"/>
  <c r="C357" i="23"/>
  <c r="C358" i="23"/>
  <c r="C360" i="23"/>
  <c r="C361" i="23"/>
  <c r="C362" i="23"/>
  <c r="B520" i="18"/>
  <c r="C520" i="22"/>
  <c r="D517" i="20"/>
  <c r="C520" i="23"/>
  <c r="C517" i="12"/>
  <c r="C517" i="17"/>
  <c r="C521" i="22"/>
  <c r="B521" i="18"/>
  <c r="C518" i="17"/>
  <c r="C518" i="12"/>
  <c r="C521" i="23"/>
  <c r="D518" i="20"/>
  <c r="C372" i="23"/>
  <c r="C374" i="23"/>
  <c r="C375" i="23"/>
  <c r="C376" i="23"/>
  <c r="C377" i="23"/>
  <c r="C380" i="23"/>
  <c r="C381" i="23"/>
  <c r="C382" i="23"/>
  <c r="C384" i="23"/>
  <c r="C385" i="23"/>
  <c r="C386" i="23"/>
  <c r="C388" i="23"/>
  <c r="C390" i="23"/>
  <c r="C391" i="23"/>
  <c r="C392" i="23"/>
  <c r="C394" i="23"/>
  <c r="C395" i="23"/>
  <c r="C397" i="23"/>
  <c r="C398" i="23"/>
  <c r="C399" i="23"/>
  <c r="C400" i="23"/>
  <c r="C401" i="23"/>
  <c r="C402" i="23"/>
  <c r="C403" i="23"/>
  <c r="C404" i="23"/>
  <c r="C406" i="23"/>
  <c r="C408" i="23"/>
  <c r="C409" i="23"/>
  <c r="C410" i="23"/>
  <c r="C412" i="23"/>
  <c r="C413" i="23"/>
  <c r="C414" i="23"/>
  <c r="C415" i="23"/>
  <c r="C416" i="23"/>
  <c r="C417" i="23"/>
  <c r="C418" i="23"/>
  <c r="C419" i="23"/>
  <c r="C420" i="23"/>
  <c r="C421" i="23"/>
  <c r="C423" i="23"/>
  <c r="C425" i="23"/>
  <c r="C426" i="23"/>
  <c r="C427" i="23"/>
  <c r="C428" i="23"/>
  <c r="C429" i="23"/>
  <c r="C430" i="23"/>
  <c r="C431" i="23"/>
  <c r="C520" i="17"/>
  <c r="B523" i="18"/>
  <c r="C523" i="23"/>
  <c r="C523" i="22"/>
  <c r="D520" i="20"/>
  <c r="C520" i="12"/>
  <c r="C433" i="23"/>
  <c r="C436" i="23"/>
  <c r="C437" i="23"/>
  <c r="C519" i="12"/>
  <c r="B522" i="18"/>
  <c r="C522" i="22"/>
  <c r="D519" i="20"/>
  <c r="C522" i="23"/>
  <c r="C519" i="17"/>
  <c r="C440" i="23"/>
  <c r="C441" i="23"/>
  <c r="C442" i="23"/>
  <c r="C443" i="23"/>
  <c r="C444" i="23"/>
  <c r="C446" i="23"/>
  <c r="C447" i="23"/>
  <c r="C448" i="23"/>
  <c r="C449" i="23"/>
  <c r="C453" i="23"/>
  <c r="C514" i="17"/>
  <c r="C517" i="23"/>
  <c r="B517" i="18"/>
  <c r="D514" i="20"/>
  <c r="C514" i="12"/>
  <c r="C517" i="22"/>
  <c r="C457" i="23"/>
  <c r="C462" i="23"/>
  <c r="C463" i="23"/>
  <c r="C480" i="22"/>
  <c r="C480" i="23"/>
  <c r="B480" i="18"/>
  <c r="C513" i="23"/>
  <c r="C513" i="22"/>
  <c r="B513" i="18"/>
  <c r="C482" i="22"/>
  <c r="C482" i="23"/>
  <c r="B482" i="18"/>
  <c r="C487" i="23"/>
  <c r="B487" i="18"/>
  <c r="C487" i="22"/>
  <c r="C505" i="22"/>
  <c r="C505" i="23"/>
  <c r="B505" i="18"/>
  <c r="C283" i="23"/>
  <c r="B496" i="18"/>
  <c r="C496" i="23"/>
  <c r="C496" i="22"/>
  <c r="C509" i="22"/>
  <c r="B509" i="18"/>
  <c r="C509" i="23"/>
  <c r="B510" i="18"/>
  <c r="C510" i="23"/>
  <c r="C510" i="22"/>
  <c r="B490" i="18"/>
  <c r="C490" i="23"/>
  <c r="C490" i="22"/>
  <c r="B488" i="18"/>
  <c r="C488" i="22"/>
  <c r="C488" i="23"/>
  <c r="C508" i="22"/>
  <c r="C508" i="23"/>
  <c r="B508" i="18"/>
  <c r="C500" i="22"/>
  <c r="C500" i="23"/>
  <c r="B500" i="18"/>
  <c r="C489" i="23"/>
  <c r="B489" i="18"/>
  <c r="C489" i="22"/>
  <c r="B484" i="18"/>
  <c r="C484" i="23"/>
  <c r="C484" i="22"/>
  <c r="C492" i="23"/>
  <c r="B492" i="18"/>
  <c r="C492" i="22"/>
  <c r="C499" i="23"/>
  <c r="B499" i="18"/>
  <c r="C499" i="22"/>
  <c r="B491" i="18"/>
  <c r="C491" i="22"/>
  <c r="C491" i="23"/>
  <c r="C494" i="23"/>
  <c r="C494" i="22"/>
  <c r="B494" i="18"/>
  <c r="B511" i="18"/>
  <c r="C511" i="23"/>
  <c r="C511" i="22"/>
  <c r="B486" i="18"/>
  <c r="C486" i="22"/>
  <c r="C486" i="23"/>
  <c r="C515" i="23"/>
  <c r="B515" i="18"/>
  <c r="C515" i="22"/>
  <c r="C335" i="23"/>
  <c r="B497" i="18"/>
  <c r="C497" i="22"/>
  <c r="C497" i="23"/>
  <c r="C305" i="23"/>
  <c r="C485" i="23"/>
  <c r="C485" i="22"/>
  <c r="B485" i="18"/>
  <c r="C498" i="22"/>
  <c r="B498" i="18"/>
  <c r="C498" i="23"/>
  <c r="C495" i="23"/>
  <c r="C495" i="22"/>
  <c r="B495" i="18"/>
  <c r="C503" i="23"/>
  <c r="C503" i="22"/>
  <c r="B503" i="18"/>
  <c r="C340" i="23"/>
  <c r="B506" i="18"/>
  <c r="C506" i="23"/>
  <c r="C506" i="22"/>
  <c r="C504" i="23"/>
  <c r="B504" i="18"/>
  <c r="C504" i="22"/>
  <c r="B512" i="18"/>
  <c r="C512" i="23"/>
  <c r="C512" i="22"/>
  <c r="C507" i="22"/>
  <c r="B507" i="18"/>
  <c r="C507" i="23"/>
  <c r="C483" i="23"/>
  <c r="C483" i="22"/>
  <c r="B483" i="18"/>
  <c r="C501" i="23"/>
  <c r="C501" i="22"/>
  <c r="B501" i="18"/>
  <c r="C493" i="23"/>
  <c r="B493" i="18"/>
  <c r="C493" i="22"/>
  <c r="C502" i="23"/>
  <c r="C502" i="22"/>
  <c r="B502" i="18"/>
  <c r="B516" i="18"/>
  <c r="C516" i="23"/>
  <c r="C516" i="22"/>
  <c r="C282" i="23"/>
  <c r="J520" i="12"/>
  <c r="J517" i="12"/>
  <c r="J499" i="12"/>
  <c r="J516" i="12"/>
  <c r="J481" i="12"/>
  <c r="J508" i="12"/>
  <c r="J495" i="12"/>
  <c r="J484" i="12"/>
  <c r="J515" i="12"/>
  <c r="J497" i="12"/>
  <c r="J482" i="12"/>
  <c r="J480" i="12"/>
  <c r="J494" i="12"/>
  <c r="J513" i="12"/>
  <c r="J514" i="12"/>
  <c r="J489" i="12"/>
  <c r="J510" i="12"/>
  <c r="E139" i="12"/>
  <c r="D139" i="12"/>
  <c r="G139" i="12"/>
  <c r="F139" i="12"/>
  <c r="E123" i="12"/>
  <c r="D123" i="12"/>
  <c r="G123" i="12"/>
  <c r="F123" i="12"/>
  <c r="E107" i="12"/>
  <c r="D107" i="12"/>
  <c r="G107" i="12"/>
  <c r="F107" i="12"/>
  <c r="E91" i="12"/>
  <c r="D91" i="12"/>
  <c r="G91" i="12"/>
  <c r="F91" i="12"/>
  <c r="E75" i="12"/>
  <c r="D75" i="12"/>
  <c r="G75" i="12"/>
  <c r="F75" i="12"/>
  <c r="E59" i="12"/>
  <c r="D59" i="12"/>
  <c r="G59" i="12"/>
  <c r="F59" i="12"/>
  <c r="E43" i="12"/>
  <c r="D43" i="12"/>
  <c r="G43" i="12"/>
  <c r="F43" i="12"/>
  <c r="E27" i="12"/>
  <c r="D27" i="12"/>
  <c r="G27" i="12"/>
  <c r="F27" i="12"/>
  <c r="E379" i="12"/>
  <c r="D379" i="12"/>
  <c r="G379" i="12"/>
  <c r="F379" i="12"/>
  <c r="E363" i="12"/>
  <c r="D363" i="12"/>
  <c r="G363" i="12"/>
  <c r="F363" i="12"/>
  <c r="E474" i="12"/>
  <c r="D474" i="12"/>
  <c r="F474" i="12"/>
  <c r="G474" i="12"/>
  <c r="E458" i="12"/>
  <c r="D458" i="12"/>
  <c r="G458" i="12"/>
  <c r="F458" i="12"/>
  <c r="E442" i="12"/>
  <c r="D442" i="12"/>
  <c r="F442" i="12"/>
  <c r="G442" i="12"/>
  <c r="E426" i="12"/>
  <c r="D426" i="12"/>
  <c r="F426" i="12"/>
  <c r="G426" i="12"/>
  <c r="E410" i="12"/>
  <c r="D410" i="12"/>
  <c r="G410" i="12"/>
  <c r="F410" i="12"/>
  <c r="E394" i="12"/>
  <c r="D394" i="12"/>
  <c r="G394" i="12"/>
  <c r="F394" i="12"/>
  <c r="D305" i="12"/>
  <c r="E305" i="12"/>
  <c r="G305" i="12"/>
  <c r="F305" i="12"/>
  <c r="E273" i="12"/>
  <c r="D273" i="12"/>
  <c r="G273" i="12"/>
  <c r="F273" i="12"/>
  <c r="D241" i="12"/>
  <c r="E241" i="12"/>
  <c r="G241" i="12"/>
  <c r="F241" i="12"/>
  <c r="E193" i="12"/>
  <c r="D193" i="12"/>
  <c r="G193" i="12"/>
  <c r="F193" i="12"/>
  <c r="E145" i="12"/>
  <c r="D145" i="12"/>
  <c r="G145" i="12"/>
  <c r="F145" i="12"/>
  <c r="D113" i="12"/>
  <c r="E113" i="12"/>
  <c r="G113" i="12"/>
  <c r="F113" i="12"/>
  <c r="E81" i="12"/>
  <c r="D81" i="12"/>
  <c r="G81" i="12"/>
  <c r="F81" i="12"/>
  <c r="E33" i="12"/>
  <c r="D33" i="12"/>
  <c r="G33" i="12"/>
  <c r="F33" i="12"/>
  <c r="E353" i="12"/>
  <c r="D353" i="12"/>
  <c r="G353" i="12"/>
  <c r="F353" i="12"/>
  <c r="E448" i="12"/>
  <c r="D448" i="12"/>
  <c r="G448" i="12"/>
  <c r="F448" i="12"/>
  <c r="D400" i="12"/>
  <c r="E400" i="12"/>
  <c r="G400" i="12"/>
  <c r="F400" i="12"/>
  <c r="D320" i="12"/>
  <c r="E320" i="12"/>
  <c r="G320" i="12"/>
  <c r="F320" i="12"/>
  <c r="E256" i="12"/>
  <c r="D256" i="12"/>
  <c r="G256" i="12"/>
  <c r="F256" i="12"/>
  <c r="D176" i="12"/>
  <c r="E176" i="12"/>
  <c r="G176" i="12"/>
  <c r="F176" i="12"/>
  <c r="D48" i="12"/>
  <c r="E48" i="12"/>
  <c r="G48" i="12"/>
  <c r="F48" i="12"/>
  <c r="D368" i="12"/>
  <c r="E368" i="12"/>
  <c r="G368" i="12"/>
  <c r="F368" i="12"/>
  <c r="E447" i="12"/>
  <c r="D447" i="12"/>
  <c r="G447" i="12"/>
  <c r="F447" i="12"/>
  <c r="D399" i="12"/>
  <c r="E399" i="12"/>
  <c r="G399" i="12"/>
  <c r="F399" i="12"/>
  <c r="E335" i="12"/>
  <c r="D335" i="12"/>
  <c r="G335" i="12"/>
  <c r="F335" i="12"/>
  <c r="D271" i="12"/>
  <c r="E271" i="12"/>
  <c r="G271" i="12"/>
  <c r="F271" i="12"/>
  <c r="D223" i="12"/>
  <c r="E223" i="12"/>
  <c r="G223" i="12"/>
  <c r="F223" i="12"/>
  <c r="D175" i="12"/>
  <c r="E175" i="12"/>
  <c r="G175" i="12"/>
  <c r="F175" i="12"/>
  <c r="D111" i="12"/>
  <c r="E111" i="12"/>
  <c r="G111" i="12"/>
  <c r="F111" i="12"/>
  <c r="E63" i="12"/>
  <c r="D63" i="12"/>
  <c r="G63" i="12"/>
  <c r="F63" i="12"/>
  <c r="D367" i="12"/>
  <c r="E367" i="12"/>
  <c r="G367" i="12"/>
  <c r="F367" i="12"/>
  <c r="E446" i="12"/>
  <c r="D446" i="12"/>
  <c r="G446" i="12"/>
  <c r="F446" i="12"/>
  <c r="E398" i="12"/>
  <c r="D398" i="12"/>
  <c r="G398" i="12"/>
  <c r="F398" i="12"/>
  <c r="E334" i="12"/>
  <c r="D334" i="12"/>
  <c r="G334" i="12"/>
  <c r="F334" i="12"/>
  <c r="D238" i="12"/>
  <c r="E238" i="12"/>
  <c r="G238" i="12"/>
  <c r="F238" i="12"/>
  <c r="E78" i="12"/>
  <c r="D78" i="12"/>
  <c r="G78" i="12"/>
  <c r="F78" i="12"/>
  <c r="E337" i="12"/>
  <c r="D337" i="12"/>
  <c r="G337" i="12"/>
  <c r="F337" i="12"/>
  <c r="D321" i="12"/>
  <c r="E321" i="12"/>
  <c r="G321" i="12"/>
  <c r="F321" i="12"/>
  <c r="E289" i="12"/>
  <c r="D289" i="12"/>
  <c r="G289" i="12"/>
  <c r="F289" i="12"/>
  <c r="D257" i="12"/>
  <c r="E257" i="12"/>
  <c r="G257" i="12"/>
  <c r="F257" i="12"/>
  <c r="E225" i="12"/>
  <c r="D225" i="12"/>
  <c r="G225" i="12"/>
  <c r="F225" i="12"/>
  <c r="E209" i="12"/>
  <c r="D209" i="12"/>
  <c r="G209" i="12"/>
  <c r="F209" i="12"/>
  <c r="D177" i="12"/>
  <c r="E177" i="12"/>
  <c r="G177" i="12"/>
  <c r="F177" i="12"/>
  <c r="D161" i="12"/>
  <c r="E161" i="12"/>
  <c r="G161" i="12"/>
  <c r="F161" i="12"/>
  <c r="E129" i="12"/>
  <c r="D129" i="12"/>
  <c r="G129" i="12"/>
  <c r="F129" i="12"/>
  <c r="E97" i="12"/>
  <c r="D97" i="12"/>
  <c r="G97" i="12"/>
  <c r="F97" i="12"/>
  <c r="E65" i="12"/>
  <c r="D65" i="12"/>
  <c r="G65" i="12"/>
  <c r="F65" i="12"/>
  <c r="D49" i="12"/>
  <c r="E49" i="12"/>
  <c r="G49" i="12"/>
  <c r="F49" i="12"/>
  <c r="E385" i="12"/>
  <c r="D385" i="12"/>
  <c r="G385" i="12"/>
  <c r="F385" i="12"/>
  <c r="D464" i="12"/>
  <c r="E464" i="12"/>
  <c r="G464" i="12"/>
  <c r="F464" i="12"/>
  <c r="D432" i="12"/>
  <c r="E432" i="12"/>
  <c r="G432" i="12"/>
  <c r="F432" i="12"/>
  <c r="E416" i="12"/>
  <c r="D416" i="12"/>
  <c r="G416" i="12"/>
  <c r="F416" i="12"/>
  <c r="E336" i="12"/>
  <c r="D336" i="12"/>
  <c r="G336" i="12"/>
  <c r="F336" i="12"/>
  <c r="E288" i="12"/>
  <c r="D288" i="12"/>
  <c r="G288" i="12"/>
  <c r="F288" i="12"/>
  <c r="E240" i="12"/>
  <c r="D240" i="12"/>
  <c r="G240" i="12"/>
  <c r="F240" i="12"/>
  <c r="D208" i="12"/>
  <c r="E208" i="12"/>
  <c r="G208" i="12"/>
  <c r="F208" i="12"/>
  <c r="E160" i="12"/>
  <c r="D160" i="12"/>
  <c r="G160" i="12"/>
  <c r="F160" i="12"/>
  <c r="E128" i="12"/>
  <c r="D128" i="12"/>
  <c r="G128" i="12"/>
  <c r="F128" i="12"/>
  <c r="D96" i="12"/>
  <c r="E96" i="12"/>
  <c r="G96" i="12"/>
  <c r="F96" i="12"/>
  <c r="E64" i="12"/>
  <c r="D64" i="12"/>
  <c r="G64" i="12"/>
  <c r="F64" i="12"/>
  <c r="E32" i="12"/>
  <c r="D32" i="12"/>
  <c r="G32" i="12"/>
  <c r="F32" i="12"/>
  <c r="E352" i="12"/>
  <c r="D352" i="12"/>
  <c r="G352" i="12"/>
  <c r="F352" i="12"/>
  <c r="D431" i="12"/>
  <c r="E431" i="12"/>
  <c r="G431" i="12"/>
  <c r="F431" i="12"/>
  <c r="E319" i="12"/>
  <c r="D319" i="12"/>
  <c r="G319" i="12"/>
  <c r="F319" i="12"/>
  <c r="E287" i="12"/>
  <c r="D287" i="12"/>
  <c r="G287" i="12"/>
  <c r="F287" i="12"/>
  <c r="E239" i="12"/>
  <c r="D239" i="12"/>
  <c r="G239" i="12"/>
  <c r="F239" i="12"/>
  <c r="E191" i="12"/>
  <c r="D191" i="12"/>
  <c r="G191" i="12"/>
  <c r="F191" i="12"/>
  <c r="D159" i="12"/>
  <c r="E159" i="12"/>
  <c r="G159" i="12"/>
  <c r="F159" i="12"/>
  <c r="E127" i="12"/>
  <c r="D127" i="12"/>
  <c r="G127" i="12"/>
  <c r="F127" i="12"/>
  <c r="E79" i="12"/>
  <c r="D79" i="12"/>
  <c r="G79" i="12"/>
  <c r="F79" i="12"/>
  <c r="E31" i="12"/>
  <c r="D31" i="12"/>
  <c r="G31" i="12"/>
  <c r="F31" i="12"/>
  <c r="D351" i="12"/>
  <c r="E351" i="12"/>
  <c r="G351" i="12"/>
  <c r="F351" i="12"/>
  <c r="E430" i="12"/>
  <c r="D430" i="12"/>
  <c r="G430" i="12"/>
  <c r="F430" i="12"/>
  <c r="D350" i="12"/>
  <c r="E350" i="12"/>
  <c r="G350" i="12"/>
  <c r="F350" i="12"/>
  <c r="D302" i="12"/>
  <c r="E302" i="12"/>
  <c r="G302" i="12"/>
  <c r="F302" i="12"/>
  <c r="D270" i="12"/>
  <c r="E270" i="12"/>
  <c r="G270" i="12"/>
  <c r="F270" i="12"/>
  <c r="D222" i="12"/>
  <c r="E222" i="12"/>
  <c r="G222" i="12"/>
  <c r="F222" i="12"/>
  <c r="E190" i="12"/>
  <c r="D190" i="12"/>
  <c r="G190" i="12"/>
  <c r="F190" i="12"/>
  <c r="D158" i="12"/>
  <c r="E158" i="12"/>
  <c r="G158" i="12"/>
  <c r="F158" i="12"/>
  <c r="D126" i="12"/>
  <c r="G126" i="12"/>
  <c r="F126" i="12"/>
  <c r="D94" i="12"/>
  <c r="E94" i="12"/>
  <c r="G94" i="12"/>
  <c r="F94" i="12"/>
  <c r="E46" i="12"/>
  <c r="D46" i="12"/>
  <c r="G46" i="12"/>
  <c r="F46" i="12"/>
  <c r="E382" i="12"/>
  <c r="D382" i="12"/>
  <c r="G382" i="12"/>
  <c r="F382" i="12"/>
  <c r="D477" i="12"/>
  <c r="E477" i="12"/>
  <c r="F477" i="12"/>
  <c r="G477" i="12"/>
  <c r="E429" i="12"/>
  <c r="D429" i="12"/>
  <c r="G429" i="12"/>
  <c r="F429" i="12"/>
  <c r="D397" i="12"/>
  <c r="E397" i="12"/>
  <c r="G397" i="12"/>
  <c r="F397" i="12"/>
  <c r="E317" i="12"/>
  <c r="D317" i="12"/>
  <c r="G317" i="12"/>
  <c r="F317" i="12"/>
  <c r="E269" i="12"/>
  <c r="D269" i="12"/>
  <c r="G269" i="12"/>
  <c r="F269" i="12"/>
  <c r="D237" i="12"/>
  <c r="E237" i="12"/>
  <c r="G237" i="12"/>
  <c r="F237" i="12"/>
  <c r="D205" i="12"/>
  <c r="E205" i="12"/>
  <c r="G205" i="12"/>
  <c r="F205" i="12"/>
  <c r="E189" i="12"/>
  <c r="D189" i="12"/>
  <c r="G189" i="12"/>
  <c r="F189" i="12"/>
  <c r="D157" i="12"/>
  <c r="E157" i="12"/>
  <c r="G157" i="12"/>
  <c r="F157" i="12"/>
  <c r="E125" i="12"/>
  <c r="D125" i="12"/>
  <c r="G125" i="12"/>
  <c r="F125" i="12"/>
  <c r="D93" i="12"/>
  <c r="E93" i="12"/>
  <c r="G93" i="12"/>
  <c r="F93" i="12"/>
  <c r="E61" i="12"/>
  <c r="D61" i="12"/>
  <c r="G61" i="12"/>
  <c r="F61" i="12"/>
  <c r="D29" i="12"/>
  <c r="E29" i="12"/>
  <c r="G29" i="12"/>
  <c r="F29" i="12"/>
  <c r="D476" i="12"/>
  <c r="E476" i="12"/>
  <c r="F476" i="12"/>
  <c r="G476" i="12"/>
  <c r="E428" i="12"/>
  <c r="D428" i="12"/>
  <c r="G428" i="12"/>
  <c r="F428" i="12"/>
  <c r="D396" i="12"/>
  <c r="E396" i="12"/>
  <c r="G396" i="12"/>
  <c r="F396" i="12"/>
  <c r="D332" i="12"/>
  <c r="E332" i="12"/>
  <c r="G332" i="12"/>
  <c r="F332" i="12"/>
  <c r="D284" i="12"/>
  <c r="E284" i="12"/>
  <c r="G284" i="12"/>
  <c r="F284" i="12"/>
  <c r="E252" i="12"/>
  <c r="D252" i="12"/>
  <c r="G252" i="12"/>
  <c r="F252" i="12"/>
  <c r="D220" i="12"/>
  <c r="E220" i="12"/>
  <c r="G220" i="12"/>
  <c r="F220" i="12"/>
  <c r="E188" i="12"/>
  <c r="D188" i="12"/>
  <c r="G188" i="12"/>
  <c r="F188" i="12"/>
  <c r="D140" i="12"/>
  <c r="E140" i="12"/>
  <c r="G140" i="12"/>
  <c r="F140" i="12"/>
  <c r="D92" i="12"/>
  <c r="E92" i="12"/>
  <c r="G92" i="12"/>
  <c r="F92" i="12"/>
  <c r="E44" i="12"/>
  <c r="D44" i="12"/>
  <c r="G44" i="12"/>
  <c r="F44" i="12"/>
  <c r="E380" i="12"/>
  <c r="D380" i="12"/>
  <c r="G380" i="12"/>
  <c r="F380" i="12"/>
  <c r="E475" i="12"/>
  <c r="D475" i="12"/>
  <c r="F475" i="12"/>
  <c r="G475" i="12"/>
  <c r="E443" i="12"/>
  <c r="D443" i="12"/>
  <c r="G443" i="12"/>
  <c r="F443" i="12"/>
  <c r="E395" i="12"/>
  <c r="D395" i="12"/>
  <c r="G395" i="12"/>
  <c r="F395" i="12"/>
  <c r="E331" i="12"/>
  <c r="D331" i="12"/>
  <c r="G331" i="12"/>
  <c r="F331" i="12"/>
  <c r="E299" i="12"/>
  <c r="D299" i="12"/>
  <c r="G299" i="12"/>
  <c r="F299" i="12"/>
  <c r="E251" i="12"/>
  <c r="D251" i="12"/>
  <c r="G251" i="12"/>
  <c r="F251" i="12"/>
  <c r="E219" i="12"/>
  <c r="D219" i="12"/>
  <c r="G219" i="12"/>
  <c r="F219" i="12"/>
  <c r="E187" i="12"/>
  <c r="D187" i="12"/>
  <c r="G187" i="12"/>
  <c r="F187" i="12"/>
  <c r="E155" i="12"/>
  <c r="D155" i="12"/>
  <c r="G155" i="12"/>
  <c r="F155" i="12"/>
  <c r="E346" i="12"/>
  <c r="D346" i="12"/>
  <c r="F346" i="12"/>
  <c r="G346" i="12"/>
  <c r="E314" i="12"/>
  <c r="D314" i="12"/>
  <c r="F314" i="12"/>
  <c r="G314" i="12"/>
  <c r="E282" i="12"/>
  <c r="D282" i="12"/>
  <c r="F282" i="12"/>
  <c r="G282" i="12"/>
  <c r="E250" i="12"/>
  <c r="D250" i="12"/>
  <c r="G250" i="12"/>
  <c r="F250" i="12"/>
  <c r="E218" i="12"/>
  <c r="D218" i="12"/>
  <c r="F218" i="12"/>
  <c r="G218" i="12"/>
  <c r="E170" i="12"/>
  <c r="D170" i="12"/>
  <c r="G170" i="12"/>
  <c r="F170" i="12"/>
  <c r="E138" i="12"/>
  <c r="D138" i="12"/>
  <c r="G138" i="12"/>
  <c r="F138" i="12"/>
  <c r="E106" i="12"/>
  <c r="D106" i="12"/>
  <c r="G106" i="12"/>
  <c r="F106" i="12"/>
  <c r="E74" i="12"/>
  <c r="D74" i="12"/>
  <c r="G74" i="12"/>
  <c r="F74" i="12"/>
  <c r="E42" i="12"/>
  <c r="D42" i="12"/>
  <c r="G42" i="12"/>
  <c r="F42" i="12"/>
  <c r="E378" i="12"/>
  <c r="D378" i="12"/>
  <c r="F378" i="12"/>
  <c r="G378" i="12"/>
  <c r="E473" i="12"/>
  <c r="F473" i="12"/>
  <c r="D473" i="12"/>
  <c r="G473" i="12"/>
  <c r="E441" i="12"/>
  <c r="D441" i="12"/>
  <c r="F441" i="12"/>
  <c r="G441" i="12"/>
  <c r="E393" i="12"/>
  <c r="D393" i="12"/>
  <c r="F393" i="12"/>
  <c r="G393" i="12"/>
  <c r="D19" i="12"/>
  <c r="E19" i="12"/>
  <c r="F19" i="12"/>
  <c r="G19" i="12"/>
  <c r="E313" i="12"/>
  <c r="D313" i="12"/>
  <c r="F313" i="12"/>
  <c r="G313" i="12"/>
  <c r="E265" i="12"/>
  <c r="D265" i="12"/>
  <c r="F265" i="12"/>
  <c r="G265" i="12"/>
  <c r="E185" i="12"/>
  <c r="D185" i="12"/>
  <c r="F185" i="12"/>
  <c r="G185" i="12"/>
  <c r="E137" i="12"/>
  <c r="D137" i="12"/>
  <c r="F137" i="12"/>
  <c r="G137" i="12"/>
  <c r="E89" i="12"/>
  <c r="D89" i="12"/>
  <c r="F89" i="12"/>
  <c r="G89" i="12"/>
  <c r="E25" i="12"/>
  <c r="D25" i="12"/>
  <c r="F25" i="12"/>
  <c r="G25" i="12"/>
  <c r="E472" i="12"/>
  <c r="F472" i="12"/>
  <c r="D472" i="12"/>
  <c r="G472" i="12"/>
  <c r="E424" i="12"/>
  <c r="D424" i="12"/>
  <c r="F424" i="12"/>
  <c r="G424" i="12"/>
  <c r="D18" i="12"/>
  <c r="E18" i="12"/>
  <c r="G18" i="12"/>
  <c r="F18" i="12"/>
  <c r="E312" i="12"/>
  <c r="D312" i="12"/>
  <c r="F312" i="12"/>
  <c r="G312" i="12"/>
  <c r="E264" i="12"/>
  <c r="D264" i="12"/>
  <c r="F264" i="12"/>
  <c r="G264" i="12"/>
  <c r="E232" i="12"/>
  <c r="D232" i="12"/>
  <c r="F232" i="12"/>
  <c r="G232" i="12"/>
  <c r="E184" i="12"/>
  <c r="D184" i="12"/>
  <c r="F184" i="12"/>
  <c r="G184" i="12"/>
  <c r="E152" i="12"/>
  <c r="D152" i="12"/>
  <c r="F152" i="12"/>
  <c r="G152" i="12"/>
  <c r="E104" i="12"/>
  <c r="D104" i="12"/>
  <c r="F104" i="12"/>
  <c r="G104" i="12"/>
  <c r="E88" i="12"/>
  <c r="D88" i="12"/>
  <c r="F88" i="12"/>
  <c r="G88" i="12"/>
  <c r="E56" i="12"/>
  <c r="D56" i="12"/>
  <c r="F56" i="12"/>
  <c r="G56" i="12"/>
  <c r="E24" i="12"/>
  <c r="D24" i="12"/>
  <c r="F24" i="12"/>
  <c r="G24" i="12"/>
  <c r="E360" i="12"/>
  <c r="D360" i="12"/>
  <c r="F360" i="12"/>
  <c r="G360" i="12"/>
  <c r="D455" i="12"/>
  <c r="E455" i="12"/>
  <c r="F455" i="12"/>
  <c r="G455" i="12"/>
  <c r="D423" i="12"/>
  <c r="E423" i="12"/>
  <c r="F423" i="12"/>
  <c r="G423" i="12"/>
  <c r="D391" i="12"/>
  <c r="E391" i="12"/>
  <c r="F391" i="12"/>
  <c r="G391" i="12"/>
  <c r="E17" i="12"/>
  <c r="D17" i="12"/>
  <c r="G17" i="12"/>
  <c r="F17" i="12"/>
  <c r="D311" i="12"/>
  <c r="E311" i="12"/>
  <c r="F311" i="12"/>
  <c r="G311" i="12"/>
  <c r="D263" i="12"/>
  <c r="E263" i="12"/>
  <c r="F263" i="12"/>
  <c r="G263" i="12"/>
  <c r="D199" i="12"/>
  <c r="E199" i="12"/>
  <c r="F199" i="12"/>
  <c r="G199" i="12"/>
  <c r="D151" i="12"/>
  <c r="E151" i="12"/>
  <c r="F151" i="12"/>
  <c r="G151" i="12"/>
  <c r="D87" i="12"/>
  <c r="E87" i="12"/>
  <c r="F87" i="12"/>
  <c r="G87" i="12"/>
  <c r="D55" i="12"/>
  <c r="E55" i="12"/>
  <c r="F55" i="12"/>
  <c r="G55" i="12"/>
  <c r="D23" i="12"/>
  <c r="E23" i="12"/>
  <c r="F23" i="12"/>
  <c r="G23" i="12"/>
  <c r="D470" i="12"/>
  <c r="F470" i="12"/>
  <c r="E470" i="12"/>
  <c r="G470" i="12"/>
  <c r="D422" i="12"/>
  <c r="E422" i="12"/>
  <c r="F422" i="12"/>
  <c r="G422" i="12"/>
  <c r="D390" i="12"/>
  <c r="E390" i="12"/>
  <c r="F390" i="12"/>
  <c r="G390" i="12"/>
  <c r="D16" i="12"/>
  <c r="E16" i="12"/>
  <c r="G16" i="12"/>
  <c r="F16" i="12"/>
  <c r="D310" i="12"/>
  <c r="E310" i="12"/>
  <c r="F310" i="12"/>
  <c r="G310" i="12"/>
  <c r="D278" i="12"/>
  <c r="E278" i="12"/>
  <c r="F278" i="12"/>
  <c r="G278" i="12"/>
  <c r="D230" i="12"/>
  <c r="E230" i="12"/>
  <c r="F230" i="12"/>
  <c r="G230" i="12"/>
  <c r="D198" i="12"/>
  <c r="E198" i="12"/>
  <c r="F198" i="12"/>
  <c r="G198" i="12"/>
  <c r="D150" i="12"/>
  <c r="E150" i="12"/>
  <c r="F150" i="12"/>
  <c r="G150" i="12"/>
  <c r="D118" i="12"/>
  <c r="E118" i="12"/>
  <c r="F118" i="12"/>
  <c r="G118" i="12"/>
  <c r="D70" i="12"/>
  <c r="E70" i="12"/>
  <c r="F70" i="12"/>
  <c r="G70" i="12"/>
  <c r="D54" i="12"/>
  <c r="E54" i="12"/>
  <c r="F54" i="12"/>
  <c r="G54" i="12"/>
  <c r="D22" i="12"/>
  <c r="E22" i="12"/>
  <c r="F22" i="12"/>
  <c r="G22" i="12"/>
  <c r="D374" i="12"/>
  <c r="E374" i="12"/>
  <c r="F374" i="12"/>
  <c r="G374" i="12"/>
  <c r="D453" i="12"/>
  <c r="E453" i="12"/>
  <c r="F453" i="12"/>
  <c r="G453" i="12"/>
  <c r="D437" i="12"/>
  <c r="E437" i="12"/>
  <c r="F437" i="12"/>
  <c r="G437" i="12"/>
  <c r="D405" i="12"/>
  <c r="E405" i="12"/>
  <c r="F405" i="12"/>
  <c r="G405" i="12"/>
  <c r="D341" i="12"/>
  <c r="E341" i="12"/>
  <c r="F341" i="12"/>
  <c r="G341" i="12"/>
  <c r="D309" i="12"/>
  <c r="E309" i="12"/>
  <c r="F309" i="12"/>
  <c r="G309" i="12"/>
  <c r="D277" i="12"/>
  <c r="E277" i="12"/>
  <c r="F277" i="12"/>
  <c r="G277" i="12"/>
  <c r="D245" i="12"/>
  <c r="E245" i="12"/>
  <c r="F245" i="12"/>
  <c r="G245" i="12"/>
  <c r="D229" i="12"/>
  <c r="E229" i="12"/>
  <c r="F229" i="12"/>
  <c r="G229" i="12"/>
  <c r="D197" i="12"/>
  <c r="E197" i="12"/>
  <c r="F197" i="12"/>
  <c r="G197" i="12"/>
  <c r="D181" i="12"/>
  <c r="E181" i="12"/>
  <c r="F181" i="12"/>
  <c r="G181" i="12"/>
  <c r="D165" i="12"/>
  <c r="E165" i="12"/>
  <c r="F165" i="12"/>
  <c r="G165" i="12"/>
  <c r="D133" i="12"/>
  <c r="E133" i="12"/>
  <c r="F133" i="12"/>
  <c r="G133" i="12"/>
  <c r="D117" i="12"/>
  <c r="E117" i="12"/>
  <c r="F117" i="12"/>
  <c r="G117" i="12"/>
  <c r="D101" i="12"/>
  <c r="E101" i="12"/>
  <c r="F101" i="12"/>
  <c r="G101" i="12"/>
  <c r="D85" i="12"/>
  <c r="E85" i="12"/>
  <c r="F85" i="12"/>
  <c r="G85" i="12"/>
  <c r="D53" i="12"/>
  <c r="E53" i="12"/>
  <c r="F53" i="12"/>
  <c r="G53" i="12"/>
  <c r="D21" i="12"/>
  <c r="E21" i="12"/>
  <c r="F21" i="12"/>
  <c r="G21" i="12"/>
  <c r="D373" i="12"/>
  <c r="E373" i="12"/>
  <c r="F373" i="12"/>
  <c r="G373" i="12"/>
  <c r="D468" i="12"/>
  <c r="E468" i="12"/>
  <c r="F468" i="12"/>
  <c r="G468" i="12"/>
  <c r="D452" i="12"/>
  <c r="E452" i="12"/>
  <c r="F452" i="12"/>
  <c r="G452" i="12"/>
  <c r="D436" i="12"/>
  <c r="E436" i="12"/>
  <c r="F436" i="12"/>
  <c r="G436" i="12"/>
  <c r="D404" i="12"/>
  <c r="E404" i="12"/>
  <c r="F404" i="12"/>
  <c r="G404" i="12"/>
  <c r="E14" i="12"/>
  <c r="D14" i="12"/>
  <c r="G14" i="12"/>
  <c r="F14" i="12"/>
  <c r="D324" i="12"/>
  <c r="E324" i="12"/>
  <c r="F324" i="12"/>
  <c r="G324" i="12"/>
  <c r="D276" i="12"/>
  <c r="E276" i="12"/>
  <c r="F276" i="12"/>
  <c r="G276" i="12"/>
  <c r="D228" i="12"/>
  <c r="E228" i="12"/>
  <c r="F228" i="12"/>
  <c r="G228" i="12"/>
  <c r="D196" i="12"/>
  <c r="E196" i="12"/>
  <c r="F196" i="12"/>
  <c r="G196" i="12"/>
  <c r="D164" i="12"/>
  <c r="E164" i="12"/>
  <c r="F164" i="12"/>
  <c r="G164" i="12"/>
  <c r="D132" i="12"/>
  <c r="E132" i="12"/>
  <c r="F132" i="12"/>
  <c r="G132" i="12"/>
  <c r="D100" i="12"/>
  <c r="E100" i="12"/>
  <c r="F100" i="12"/>
  <c r="G100" i="12"/>
  <c r="D84" i="12"/>
  <c r="E84" i="12"/>
  <c r="F84" i="12"/>
  <c r="G84" i="12"/>
  <c r="D68" i="12"/>
  <c r="E68" i="12"/>
  <c r="F68" i="12"/>
  <c r="G68" i="12"/>
  <c r="D52" i="12"/>
  <c r="E52" i="12"/>
  <c r="F52" i="12"/>
  <c r="G52" i="12"/>
  <c r="D36" i="12"/>
  <c r="L12" i="12"/>
  <c r="E36" i="12"/>
  <c r="F36" i="12"/>
  <c r="G36" i="12"/>
  <c r="D372" i="12"/>
  <c r="E372" i="12"/>
  <c r="F372" i="12"/>
  <c r="G372" i="12"/>
  <c r="D356" i="12"/>
  <c r="E356" i="12"/>
  <c r="F356" i="12"/>
  <c r="G356" i="12"/>
  <c r="E467" i="12"/>
  <c r="D467" i="12"/>
  <c r="F467" i="12"/>
  <c r="G467" i="12"/>
  <c r="D451" i="12"/>
  <c r="E451" i="12"/>
  <c r="F451" i="12"/>
  <c r="G451" i="12"/>
  <c r="D435" i="12"/>
  <c r="E435" i="12"/>
  <c r="F435" i="12"/>
  <c r="G435" i="12"/>
  <c r="D419" i="12"/>
  <c r="E419" i="12"/>
  <c r="F419" i="12"/>
  <c r="G419" i="12"/>
  <c r="E403" i="12"/>
  <c r="D403" i="12"/>
  <c r="F403" i="12"/>
  <c r="G403" i="12"/>
  <c r="D369" i="12"/>
  <c r="E369" i="12"/>
  <c r="G369" i="12"/>
  <c r="F369" i="12"/>
  <c r="D304" i="12"/>
  <c r="E304" i="12"/>
  <c r="G304" i="12"/>
  <c r="F304" i="12"/>
  <c r="D272" i="12"/>
  <c r="E272" i="12"/>
  <c r="G272" i="12"/>
  <c r="F272" i="12"/>
  <c r="E224" i="12"/>
  <c r="D224" i="12"/>
  <c r="G224" i="12"/>
  <c r="F224" i="12"/>
  <c r="E192" i="12"/>
  <c r="D192" i="12"/>
  <c r="G192" i="12"/>
  <c r="F192" i="12"/>
  <c r="E144" i="12"/>
  <c r="D144" i="12"/>
  <c r="G144" i="12"/>
  <c r="F144" i="12"/>
  <c r="D112" i="12"/>
  <c r="E112" i="12"/>
  <c r="G112" i="12"/>
  <c r="F112" i="12"/>
  <c r="E80" i="12"/>
  <c r="D80" i="12"/>
  <c r="G80" i="12"/>
  <c r="F80" i="12"/>
  <c r="E384" i="12"/>
  <c r="D384" i="12"/>
  <c r="G384" i="12"/>
  <c r="F384" i="12"/>
  <c r="D463" i="12"/>
  <c r="E463" i="12"/>
  <c r="G463" i="12"/>
  <c r="F463" i="12"/>
  <c r="D415" i="12"/>
  <c r="E415" i="12"/>
  <c r="G415" i="12"/>
  <c r="F415" i="12"/>
  <c r="D303" i="12"/>
  <c r="E303" i="12"/>
  <c r="G303" i="12"/>
  <c r="F303" i="12"/>
  <c r="E255" i="12"/>
  <c r="D255" i="12"/>
  <c r="G255" i="12"/>
  <c r="F255" i="12"/>
  <c r="D207" i="12"/>
  <c r="E207" i="12"/>
  <c r="G207" i="12"/>
  <c r="F207" i="12"/>
  <c r="E143" i="12"/>
  <c r="D143" i="12"/>
  <c r="G143" i="12"/>
  <c r="F143" i="12"/>
  <c r="D95" i="12"/>
  <c r="E95" i="12"/>
  <c r="G95" i="12"/>
  <c r="F95" i="12"/>
  <c r="D47" i="12"/>
  <c r="E47" i="12"/>
  <c r="G47" i="12"/>
  <c r="F47" i="12"/>
  <c r="E383" i="12"/>
  <c r="D383" i="12"/>
  <c r="G383" i="12"/>
  <c r="F383" i="12"/>
  <c r="E462" i="12"/>
  <c r="D462" i="12"/>
  <c r="G462" i="12"/>
  <c r="F462" i="12"/>
  <c r="D414" i="12"/>
  <c r="E414" i="12"/>
  <c r="G414" i="12"/>
  <c r="F414" i="12"/>
  <c r="E318" i="12"/>
  <c r="D318" i="12"/>
  <c r="G318" i="12"/>
  <c r="F318" i="12"/>
  <c r="E286" i="12"/>
  <c r="D286" i="12"/>
  <c r="G286" i="12"/>
  <c r="F286" i="12"/>
  <c r="E254" i="12"/>
  <c r="D254" i="12"/>
  <c r="G254" i="12"/>
  <c r="F254" i="12"/>
  <c r="D206" i="12"/>
  <c r="E206" i="12"/>
  <c r="G206" i="12"/>
  <c r="F206" i="12"/>
  <c r="E174" i="12"/>
  <c r="D174" i="12"/>
  <c r="G174" i="12"/>
  <c r="F174" i="12"/>
  <c r="E142" i="12"/>
  <c r="D142" i="12"/>
  <c r="G142" i="12"/>
  <c r="F142" i="12"/>
  <c r="D110" i="12"/>
  <c r="E110" i="12"/>
  <c r="G110" i="12"/>
  <c r="F110" i="12"/>
  <c r="E62" i="12"/>
  <c r="D62" i="12"/>
  <c r="G62" i="12"/>
  <c r="F62" i="12"/>
  <c r="E30" i="12"/>
  <c r="D30" i="12"/>
  <c r="G30" i="12"/>
  <c r="F30" i="12"/>
  <c r="E366" i="12"/>
  <c r="D366" i="12"/>
  <c r="G366" i="12"/>
  <c r="F366" i="12"/>
  <c r="E461" i="12"/>
  <c r="D461" i="12"/>
  <c r="G461" i="12"/>
  <c r="F461" i="12"/>
  <c r="D445" i="12"/>
  <c r="E445" i="12"/>
  <c r="G445" i="12"/>
  <c r="F445" i="12"/>
  <c r="D413" i="12"/>
  <c r="E413" i="12"/>
  <c r="G413" i="12"/>
  <c r="F413" i="12"/>
  <c r="D349" i="12"/>
  <c r="E349" i="12"/>
  <c r="G349" i="12"/>
  <c r="F349" i="12"/>
  <c r="E333" i="12"/>
  <c r="D333" i="12"/>
  <c r="G333" i="12"/>
  <c r="F333" i="12"/>
  <c r="D301" i="12"/>
  <c r="E301" i="12"/>
  <c r="G301" i="12"/>
  <c r="F301" i="12"/>
  <c r="D285" i="12"/>
  <c r="E285" i="12"/>
  <c r="G285" i="12"/>
  <c r="F285" i="12"/>
  <c r="E253" i="12"/>
  <c r="D253" i="12"/>
  <c r="G253" i="12"/>
  <c r="F253" i="12"/>
  <c r="D221" i="12"/>
  <c r="E221" i="12"/>
  <c r="G221" i="12"/>
  <c r="F221" i="12"/>
  <c r="E173" i="12"/>
  <c r="D173" i="12"/>
  <c r="G173" i="12"/>
  <c r="F173" i="12"/>
  <c r="D444" i="12"/>
  <c r="E444" i="12"/>
  <c r="G444" i="12"/>
  <c r="F444" i="12"/>
  <c r="E425" i="12"/>
  <c r="D425" i="12"/>
  <c r="F425" i="12"/>
  <c r="G425" i="12"/>
  <c r="E329" i="12"/>
  <c r="D329" i="12"/>
  <c r="F329" i="12"/>
  <c r="G329" i="12"/>
  <c r="E281" i="12"/>
  <c r="D281" i="12"/>
  <c r="F281" i="12"/>
  <c r="G281" i="12"/>
  <c r="E233" i="12"/>
  <c r="D233" i="12"/>
  <c r="F233" i="12"/>
  <c r="G233" i="12"/>
  <c r="E217" i="12"/>
  <c r="D217" i="12"/>
  <c r="F217" i="12"/>
  <c r="G217" i="12"/>
  <c r="E169" i="12"/>
  <c r="D169" i="12"/>
  <c r="F169" i="12"/>
  <c r="G169" i="12"/>
  <c r="E121" i="12"/>
  <c r="D121" i="12"/>
  <c r="F121" i="12"/>
  <c r="G121" i="12"/>
  <c r="E73" i="12"/>
  <c r="D73" i="12"/>
  <c r="F73" i="12"/>
  <c r="G73" i="12"/>
  <c r="E41" i="12"/>
  <c r="D41" i="12"/>
  <c r="F41" i="12"/>
  <c r="G41" i="12"/>
  <c r="E361" i="12"/>
  <c r="D361" i="12"/>
  <c r="F361" i="12"/>
  <c r="G361" i="12"/>
  <c r="E440" i="12"/>
  <c r="D440" i="12"/>
  <c r="F440" i="12"/>
  <c r="G440" i="12"/>
  <c r="E392" i="12"/>
  <c r="D392" i="12"/>
  <c r="F392" i="12"/>
  <c r="G392" i="12"/>
  <c r="E344" i="12"/>
  <c r="D344" i="12"/>
  <c r="F344" i="12"/>
  <c r="G344" i="12"/>
  <c r="E296" i="12"/>
  <c r="D296" i="12"/>
  <c r="F296" i="12"/>
  <c r="G296" i="12"/>
  <c r="E248" i="12"/>
  <c r="D248" i="12"/>
  <c r="F248" i="12"/>
  <c r="G248" i="12"/>
  <c r="E200" i="12"/>
  <c r="D200" i="12"/>
  <c r="F200" i="12"/>
  <c r="G200" i="12"/>
  <c r="E168" i="12"/>
  <c r="D168" i="12"/>
  <c r="F168" i="12"/>
  <c r="G168" i="12"/>
  <c r="E120" i="12"/>
  <c r="D120" i="12"/>
  <c r="F120" i="12"/>
  <c r="G120" i="12"/>
  <c r="E72" i="12"/>
  <c r="D72" i="12"/>
  <c r="F72" i="12"/>
  <c r="G72" i="12"/>
  <c r="E40" i="12"/>
  <c r="D40" i="12"/>
  <c r="F40" i="12"/>
  <c r="G40" i="12"/>
  <c r="D471" i="12"/>
  <c r="E471" i="12"/>
  <c r="F471" i="12"/>
  <c r="G471" i="12"/>
  <c r="D439" i="12"/>
  <c r="E439" i="12"/>
  <c r="F439" i="12"/>
  <c r="G439" i="12"/>
  <c r="D407" i="12"/>
  <c r="E407" i="12"/>
  <c r="F407" i="12"/>
  <c r="G407" i="12"/>
  <c r="D327" i="12"/>
  <c r="E327" i="12"/>
  <c r="F327" i="12"/>
  <c r="G327" i="12"/>
  <c r="D247" i="12"/>
  <c r="E247" i="12"/>
  <c r="F247" i="12"/>
  <c r="G247" i="12"/>
  <c r="D183" i="12"/>
  <c r="E183" i="12"/>
  <c r="F183" i="12"/>
  <c r="G183" i="12"/>
  <c r="D119" i="12"/>
  <c r="E119" i="12"/>
  <c r="F119" i="12"/>
  <c r="G119" i="12"/>
  <c r="D438" i="12"/>
  <c r="E438" i="12"/>
  <c r="F438" i="12"/>
  <c r="G438" i="12"/>
  <c r="D326" i="12"/>
  <c r="E326" i="12"/>
  <c r="F326" i="12"/>
  <c r="G326" i="12"/>
  <c r="D262" i="12"/>
  <c r="E262" i="12"/>
  <c r="F262" i="12"/>
  <c r="G262" i="12"/>
  <c r="D214" i="12"/>
  <c r="E214" i="12"/>
  <c r="F214" i="12"/>
  <c r="G214" i="12"/>
  <c r="D166" i="12"/>
  <c r="E166" i="12"/>
  <c r="F166" i="12"/>
  <c r="G166" i="12"/>
  <c r="D134" i="12"/>
  <c r="E134" i="12"/>
  <c r="F134" i="12"/>
  <c r="G134" i="12"/>
  <c r="D86" i="12"/>
  <c r="E86" i="12"/>
  <c r="F86" i="12"/>
  <c r="G86" i="12"/>
  <c r="D38" i="12"/>
  <c r="E38" i="12"/>
  <c r="F38" i="12"/>
  <c r="G38" i="12"/>
  <c r="D358" i="12"/>
  <c r="E358" i="12"/>
  <c r="F358" i="12"/>
  <c r="G358" i="12"/>
  <c r="D421" i="12"/>
  <c r="E421" i="12"/>
  <c r="F421" i="12"/>
  <c r="G421" i="12"/>
  <c r="D389" i="12"/>
  <c r="E389" i="12"/>
  <c r="F389" i="12"/>
  <c r="G389" i="12"/>
  <c r="D15" i="12"/>
  <c r="E15" i="12"/>
  <c r="G15" i="12"/>
  <c r="F15" i="12"/>
  <c r="D325" i="12"/>
  <c r="E325" i="12"/>
  <c r="F325" i="12"/>
  <c r="G325" i="12"/>
  <c r="D293" i="12"/>
  <c r="E293" i="12"/>
  <c r="F293" i="12"/>
  <c r="G293" i="12"/>
  <c r="D261" i="12"/>
  <c r="E261" i="12"/>
  <c r="F261" i="12"/>
  <c r="G261" i="12"/>
  <c r="D213" i="12"/>
  <c r="E213" i="12"/>
  <c r="F213" i="12"/>
  <c r="G213" i="12"/>
  <c r="D149" i="12"/>
  <c r="E149" i="12"/>
  <c r="F149" i="12"/>
  <c r="G149" i="12"/>
  <c r="D69" i="12"/>
  <c r="E69" i="12"/>
  <c r="F69" i="12"/>
  <c r="G69" i="12"/>
  <c r="D37" i="12"/>
  <c r="E37" i="12"/>
  <c r="F37" i="12"/>
  <c r="G37" i="12"/>
  <c r="D357" i="12"/>
  <c r="E357" i="12"/>
  <c r="F357" i="12"/>
  <c r="G357" i="12"/>
  <c r="D420" i="12"/>
  <c r="E420" i="12"/>
  <c r="F420" i="12"/>
  <c r="G420" i="12"/>
  <c r="D340" i="12"/>
  <c r="E340" i="12"/>
  <c r="F340" i="12"/>
  <c r="G340" i="12"/>
  <c r="D308" i="12"/>
  <c r="E308" i="12"/>
  <c r="F308" i="12"/>
  <c r="G308" i="12"/>
  <c r="D292" i="12"/>
  <c r="E292" i="12"/>
  <c r="F292" i="12"/>
  <c r="G292" i="12"/>
  <c r="D260" i="12"/>
  <c r="E260" i="12"/>
  <c r="F260" i="12"/>
  <c r="G260" i="12"/>
  <c r="D244" i="12"/>
  <c r="E244" i="12"/>
  <c r="F244" i="12"/>
  <c r="G244" i="12"/>
  <c r="D212" i="12"/>
  <c r="E212" i="12"/>
  <c r="F212" i="12"/>
  <c r="G212" i="12"/>
  <c r="D180" i="12"/>
  <c r="E180" i="12"/>
  <c r="F180" i="12"/>
  <c r="G180" i="12"/>
  <c r="D148" i="12"/>
  <c r="E148" i="12"/>
  <c r="F148" i="12"/>
  <c r="G148" i="12"/>
  <c r="D116" i="12"/>
  <c r="E116" i="12"/>
  <c r="F116" i="12"/>
  <c r="G116" i="12"/>
  <c r="D388" i="12"/>
  <c r="E388" i="12"/>
  <c r="F388" i="12"/>
  <c r="G388" i="12"/>
  <c r="E13" i="12"/>
  <c r="D13" i="12"/>
  <c r="G13" i="12"/>
  <c r="F13" i="12"/>
  <c r="E339" i="12"/>
  <c r="D339" i="12"/>
  <c r="F339" i="12"/>
  <c r="G339" i="12"/>
  <c r="D323" i="12"/>
  <c r="E323" i="12"/>
  <c r="F323" i="12"/>
  <c r="G323" i="12"/>
  <c r="E307" i="12"/>
  <c r="D307" i="12"/>
  <c r="F307" i="12"/>
  <c r="G307" i="12"/>
  <c r="D291" i="12"/>
  <c r="E291" i="12"/>
  <c r="F291" i="12"/>
  <c r="G291" i="12"/>
  <c r="E275" i="12"/>
  <c r="D275" i="12"/>
  <c r="F275" i="12"/>
  <c r="G275" i="12"/>
  <c r="D259" i="12"/>
  <c r="E259" i="12"/>
  <c r="F259" i="12"/>
  <c r="G259" i="12"/>
  <c r="E243" i="12"/>
  <c r="D243" i="12"/>
  <c r="F243" i="12"/>
  <c r="G243" i="12"/>
  <c r="E227" i="12"/>
  <c r="D227" i="12"/>
  <c r="F227" i="12"/>
  <c r="G227" i="12"/>
  <c r="E211" i="12"/>
  <c r="D211" i="12"/>
  <c r="F211" i="12"/>
  <c r="G211" i="12"/>
  <c r="D195" i="12"/>
  <c r="E195" i="12"/>
  <c r="F195" i="12"/>
  <c r="G195" i="12"/>
  <c r="D179" i="12"/>
  <c r="E179" i="12"/>
  <c r="F179" i="12"/>
  <c r="G179" i="12"/>
  <c r="E163" i="12"/>
  <c r="D163" i="12"/>
  <c r="F163" i="12"/>
  <c r="G163" i="12"/>
  <c r="E147" i="12"/>
  <c r="D147" i="12"/>
  <c r="F147" i="12"/>
  <c r="G147" i="12"/>
  <c r="D131" i="12"/>
  <c r="E131" i="12"/>
  <c r="F131" i="12"/>
  <c r="G131" i="12"/>
  <c r="D115" i="12"/>
  <c r="E115" i="12"/>
  <c r="F115" i="12"/>
  <c r="G115" i="12"/>
  <c r="E99" i="12"/>
  <c r="D99" i="12"/>
  <c r="F99" i="12"/>
  <c r="G99" i="12"/>
  <c r="E83" i="12"/>
  <c r="D83" i="12"/>
  <c r="F83" i="12"/>
  <c r="G83" i="12"/>
  <c r="D67" i="12"/>
  <c r="E67" i="12"/>
  <c r="F67" i="12"/>
  <c r="G67" i="12"/>
  <c r="E51" i="12"/>
  <c r="D51" i="12"/>
  <c r="F51" i="12"/>
  <c r="G51" i="12"/>
  <c r="E35" i="12"/>
  <c r="D35" i="12"/>
  <c r="F35" i="12"/>
  <c r="G35" i="12"/>
  <c r="D387" i="12"/>
  <c r="E387" i="12"/>
  <c r="F387" i="12"/>
  <c r="G387" i="12"/>
  <c r="D371" i="12"/>
  <c r="E371" i="12"/>
  <c r="F371" i="12"/>
  <c r="G371" i="12"/>
  <c r="E355" i="12"/>
  <c r="D355" i="12"/>
  <c r="F355" i="12"/>
  <c r="G355" i="12"/>
  <c r="D466" i="12"/>
  <c r="E466" i="12"/>
  <c r="G466" i="12"/>
  <c r="F466" i="12"/>
  <c r="E450" i="12"/>
  <c r="D450" i="12"/>
  <c r="F450" i="12"/>
  <c r="G450" i="12"/>
  <c r="D434" i="12"/>
  <c r="E434" i="12"/>
  <c r="G434" i="12"/>
  <c r="F434" i="12"/>
  <c r="D418" i="12"/>
  <c r="E418" i="12"/>
  <c r="G418" i="12"/>
  <c r="F418" i="12"/>
  <c r="E402" i="12"/>
  <c r="D402" i="12"/>
  <c r="G402" i="12"/>
  <c r="F402" i="12"/>
  <c r="D141" i="12"/>
  <c r="E141" i="12"/>
  <c r="G141" i="12"/>
  <c r="F141" i="12"/>
  <c r="D109" i="12"/>
  <c r="E109" i="12"/>
  <c r="G109" i="12"/>
  <c r="F109" i="12"/>
  <c r="E77" i="12"/>
  <c r="D77" i="12"/>
  <c r="G77" i="12"/>
  <c r="F77" i="12"/>
  <c r="E45" i="12"/>
  <c r="D45" i="12"/>
  <c r="G45" i="12"/>
  <c r="F45" i="12"/>
  <c r="E381" i="12"/>
  <c r="D381" i="12"/>
  <c r="G381" i="12"/>
  <c r="F381" i="12"/>
  <c r="E365" i="12"/>
  <c r="D365" i="12"/>
  <c r="G365" i="12"/>
  <c r="F365" i="12"/>
  <c r="E460" i="12"/>
  <c r="D460" i="12"/>
  <c r="G460" i="12"/>
  <c r="F460" i="12"/>
  <c r="D412" i="12"/>
  <c r="E412" i="12"/>
  <c r="G412" i="12"/>
  <c r="F412" i="12"/>
  <c r="D348" i="12"/>
  <c r="E348" i="12"/>
  <c r="G348" i="12"/>
  <c r="F348" i="12"/>
  <c r="E316" i="12"/>
  <c r="D316" i="12"/>
  <c r="G316" i="12"/>
  <c r="F316" i="12"/>
  <c r="D300" i="12"/>
  <c r="E300" i="12"/>
  <c r="G300" i="12"/>
  <c r="F300" i="12"/>
  <c r="E268" i="12"/>
  <c r="D268" i="12"/>
  <c r="G268" i="12"/>
  <c r="F268" i="12"/>
  <c r="D236" i="12"/>
  <c r="E236" i="12"/>
  <c r="G236" i="12"/>
  <c r="F236" i="12"/>
  <c r="D204" i="12"/>
  <c r="E204" i="12"/>
  <c r="G204" i="12"/>
  <c r="F204" i="12"/>
  <c r="E172" i="12"/>
  <c r="D172" i="12"/>
  <c r="G172" i="12"/>
  <c r="F172" i="12"/>
  <c r="D156" i="12"/>
  <c r="E156" i="12"/>
  <c r="G156" i="12"/>
  <c r="F156" i="12"/>
  <c r="E124" i="12"/>
  <c r="D124" i="12"/>
  <c r="G124" i="12"/>
  <c r="F124" i="12"/>
  <c r="D108" i="12"/>
  <c r="E108" i="12"/>
  <c r="G108" i="12"/>
  <c r="F108" i="12"/>
  <c r="E76" i="12"/>
  <c r="D76" i="12"/>
  <c r="G76" i="12"/>
  <c r="F76" i="12"/>
  <c r="E60" i="12"/>
  <c r="D60" i="12"/>
  <c r="G60" i="12"/>
  <c r="F60" i="12"/>
  <c r="D28" i="12"/>
  <c r="E28" i="12"/>
  <c r="G28" i="12"/>
  <c r="F28" i="12"/>
  <c r="E364" i="12"/>
  <c r="D364" i="12"/>
  <c r="G364" i="12"/>
  <c r="F364" i="12"/>
  <c r="E459" i="12"/>
  <c r="D459" i="12"/>
  <c r="G459" i="12"/>
  <c r="F459" i="12"/>
  <c r="E427" i="12"/>
  <c r="D427" i="12"/>
  <c r="G427" i="12"/>
  <c r="F427" i="12"/>
  <c r="E411" i="12"/>
  <c r="D411" i="12"/>
  <c r="G411" i="12"/>
  <c r="F411" i="12"/>
  <c r="E347" i="12"/>
  <c r="D347" i="12"/>
  <c r="G347" i="12"/>
  <c r="F347" i="12"/>
  <c r="E315" i="12"/>
  <c r="D315" i="12"/>
  <c r="G315" i="12"/>
  <c r="F315" i="12"/>
  <c r="E283" i="12"/>
  <c r="D283" i="12"/>
  <c r="G283" i="12"/>
  <c r="F283" i="12"/>
  <c r="E267" i="12"/>
  <c r="D267" i="12"/>
  <c r="G267" i="12"/>
  <c r="F267" i="12"/>
  <c r="E235" i="12"/>
  <c r="D235" i="12"/>
  <c r="G235" i="12"/>
  <c r="F235" i="12"/>
  <c r="E203" i="12"/>
  <c r="D203" i="12"/>
  <c r="G203" i="12"/>
  <c r="F203" i="12"/>
  <c r="E171" i="12"/>
  <c r="D171" i="12"/>
  <c r="G171" i="12"/>
  <c r="F171" i="12"/>
  <c r="D20" i="12"/>
  <c r="E20" i="12"/>
  <c r="F20" i="12"/>
  <c r="G20" i="12"/>
  <c r="E330" i="12"/>
  <c r="D330" i="12"/>
  <c r="G330" i="12"/>
  <c r="F330" i="12"/>
  <c r="E298" i="12"/>
  <c r="D298" i="12"/>
  <c r="G298" i="12"/>
  <c r="F298" i="12"/>
  <c r="E266" i="12"/>
  <c r="D266" i="12"/>
  <c r="F266" i="12"/>
  <c r="G266" i="12"/>
  <c r="E234" i="12"/>
  <c r="D234" i="12"/>
  <c r="F234" i="12"/>
  <c r="G234" i="12"/>
  <c r="E202" i="12"/>
  <c r="D202" i="12"/>
  <c r="F202" i="12"/>
  <c r="G202" i="12"/>
  <c r="E186" i="12"/>
  <c r="D186" i="12"/>
  <c r="G186" i="12"/>
  <c r="F186" i="12"/>
  <c r="E154" i="12"/>
  <c r="D154" i="12"/>
  <c r="G154" i="12"/>
  <c r="F154" i="12"/>
  <c r="E122" i="12"/>
  <c r="D122" i="12"/>
  <c r="F122" i="12"/>
  <c r="G122" i="12"/>
  <c r="E90" i="12"/>
  <c r="D90" i="12"/>
  <c r="F90" i="12"/>
  <c r="G90" i="12"/>
  <c r="E58" i="12"/>
  <c r="D58" i="12"/>
  <c r="G58" i="12"/>
  <c r="F58" i="12"/>
  <c r="E26" i="12"/>
  <c r="D26" i="12"/>
  <c r="G26" i="12"/>
  <c r="F26" i="12"/>
  <c r="E362" i="12"/>
  <c r="D362" i="12"/>
  <c r="G362" i="12"/>
  <c r="F362" i="12"/>
  <c r="E457" i="12"/>
  <c r="D457" i="12"/>
  <c r="F457" i="12"/>
  <c r="G457" i="12"/>
  <c r="E409" i="12"/>
  <c r="D409" i="12"/>
  <c r="F409" i="12"/>
  <c r="G409" i="12"/>
  <c r="E345" i="12"/>
  <c r="D345" i="12"/>
  <c r="F345" i="12"/>
  <c r="G345" i="12"/>
  <c r="E297" i="12"/>
  <c r="D297" i="12"/>
  <c r="F297" i="12"/>
  <c r="G297" i="12"/>
  <c r="E249" i="12"/>
  <c r="D249" i="12"/>
  <c r="F249" i="12"/>
  <c r="G249" i="12"/>
  <c r="E201" i="12"/>
  <c r="D201" i="12"/>
  <c r="F201" i="12"/>
  <c r="G201" i="12"/>
  <c r="E153" i="12"/>
  <c r="D153" i="12"/>
  <c r="F153" i="12"/>
  <c r="G153" i="12"/>
  <c r="E105" i="12"/>
  <c r="D105" i="12"/>
  <c r="F105" i="12"/>
  <c r="G105" i="12"/>
  <c r="E57" i="12"/>
  <c r="D57" i="12"/>
  <c r="F57" i="12"/>
  <c r="G57" i="12"/>
  <c r="E377" i="12"/>
  <c r="D377" i="12"/>
  <c r="F377" i="12"/>
  <c r="G377" i="12"/>
  <c r="E456" i="12"/>
  <c r="D456" i="12"/>
  <c r="F456" i="12"/>
  <c r="G456" i="12"/>
  <c r="E408" i="12"/>
  <c r="D408" i="12"/>
  <c r="F408" i="12"/>
  <c r="G408" i="12"/>
  <c r="E328" i="12"/>
  <c r="D328" i="12"/>
  <c r="F328" i="12"/>
  <c r="G328" i="12"/>
  <c r="E280" i="12"/>
  <c r="D280" i="12"/>
  <c r="F280" i="12"/>
  <c r="G280" i="12"/>
  <c r="E216" i="12"/>
  <c r="D216" i="12"/>
  <c r="F216" i="12"/>
  <c r="G216" i="12"/>
  <c r="E136" i="12"/>
  <c r="D136" i="12"/>
  <c r="F136" i="12"/>
  <c r="G136" i="12"/>
  <c r="E376" i="12"/>
  <c r="D376" i="12"/>
  <c r="F376" i="12"/>
  <c r="G376" i="12"/>
  <c r="D343" i="12"/>
  <c r="E343" i="12"/>
  <c r="F343" i="12"/>
  <c r="G343" i="12"/>
  <c r="D295" i="12"/>
  <c r="E295" i="12"/>
  <c r="F295" i="12"/>
  <c r="G295" i="12"/>
  <c r="D279" i="12"/>
  <c r="E279" i="12"/>
  <c r="F279" i="12"/>
  <c r="G279" i="12"/>
  <c r="D231" i="12"/>
  <c r="E231" i="12"/>
  <c r="F231" i="12"/>
  <c r="G231" i="12"/>
  <c r="D215" i="12"/>
  <c r="E215" i="12"/>
  <c r="F215" i="12"/>
  <c r="G215" i="12"/>
  <c r="D167" i="12"/>
  <c r="E167" i="12"/>
  <c r="F167" i="12"/>
  <c r="G167" i="12"/>
  <c r="D135" i="12"/>
  <c r="E135" i="12"/>
  <c r="F135" i="12"/>
  <c r="G135" i="12"/>
  <c r="D103" i="12"/>
  <c r="E103" i="12"/>
  <c r="F103" i="12"/>
  <c r="G103" i="12"/>
  <c r="D71" i="12"/>
  <c r="E71" i="12"/>
  <c r="F71" i="12"/>
  <c r="G71" i="12"/>
  <c r="D39" i="12"/>
  <c r="E39" i="12"/>
  <c r="F39" i="12"/>
  <c r="G39" i="12"/>
  <c r="D375" i="12"/>
  <c r="E375" i="12"/>
  <c r="F375" i="12"/>
  <c r="G375" i="12"/>
  <c r="D359" i="12"/>
  <c r="E359" i="12"/>
  <c r="F359" i="12"/>
  <c r="G359" i="12"/>
  <c r="D454" i="12"/>
  <c r="E454" i="12"/>
  <c r="F454" i="12"/>
  <c r="G454" i="12"/>
  <c r="D406" i="12"/>
  <c r="E406" i="12"/>
  <c r="F406" i="12"/>
  <c r="G406" i="12"/>
  <c r="D342" i="12"/>
  <c r="E342" i="12"/>
  <c r="F342" i="12"/>
  <c r="G342" i="12"/>
  <c r="D294" i="12"/>
  <c r="E294" i="12"/>
  <c r="F294" i="12"/>
  <c r="G294" i="12"/>
  <c r="D246" i="12"/>
  <c r="E246" i="12"/>
  <c r="F246" i="12"/>
  <c r="G246" i="12"/>
  <c r="D182" i="12"/>
  <c r="E182" i="12"/>
  <c r="F182" i="12"/>
  <c r="G182" i="12"/>
  <c r="D102" i="12"/>
  <c r="E102" i="12"/>
  <c r="F102" i="12"/>
  <c r="G102" i="12"/>
  <c r="D469" i="12"/>
  <c r="E469" i="12"/>
  <c r="F469" i="12"/>
  <c r="G469" i="12"/>
  <c r="D338" i="12"/>
  <c r="E338" i="12"/>
  <c r="F338" i="12"/>
  <c r="G338" i="12"/>
  <c r="D322" i="12"/>
  <c r="E322" i="12"/>
  <c r="F322" i="12"/>
  <c r="G322" i="12"/>
  <c r="D306" i="12"/>
  <c r="E306" i="12"/>
  <c r="G306" i="12"/>
  <c r="F306" i="12"/>
  <c r="E290" i="12"/>
  <c r="D290" i="12"/>
  <c r="G290" i="12"/>
  <c r="F290" i="12"/>
  <c r="D274" i="12"/>
  <c r="E274" i="12"/>
  <c r="F274" i="12"/>
  <c r="G274" i="12"/>
  <c r="D258" i="12"/>
  <c r="E258" i="12"/>
  <c r="G258" i="12"/>
  <c r="F258" i="12"/>
  <c r="D242" i="12"/>
  <c r="E242" i="12"/>
  <c r="G242" i="12"/>
  <c r="F242" i="12"/>
  <c r="D226" i="12"/>
  <c r="E226" i="12"/>
  <c r="F226" i="12"/>
  <c r="G226" i="12"/>
  <c r="E210" i="12"/>
  <c r="D210" i="12"/>
  <c r="G210" i="12"/>
  <c r="F210" i="12"/>
  <c r="E194" i="12"/>
  <c r="D194" i="12"/>
  <c r="F194" i="12"/>
  <c r="G194" i="12"/>
  <c r="D178" i="12"/>
  <c r="E178" i="12"/>
  <c r="F178" i="12"/>
  <c r="G178" i="12"/>
  <c r="E162" i="12"/>
  <c r="D162" i="12"/>
  <c r="G162" i="12"/>
  <c r="F162" i="12"/>
  <c r="E146" i="12"/>
  <c r="D146" i="12"/>
  <c r="G146" i="12"/>
  <c r="F146" i="12"/>
  <c r="E130" i="12"/>
  <c r="D130" i="12"/>
  <c r="G130" i="12"/>
  <c r="F130" i="12"/>
  <c r="D114" i="12"/>
  <c r="E114" i="12"/>
  <c r="G114" i="12"/>
  <c r="F114" i="12"/>
  <c r="E98" i="12"/>
  <c r="D98" i="12"/>
  <c r="G98" i="12"/>
  <c r="F98" i="12"/>
  <c r="E82" i="12"/>
  <c r="D82" i="12"/>
  <c r="G82" i="12"/>
  <c r="F82" i="12"/>
  <c r="E66" i="12"/>
  <c r="D66" i="12"/>
  <c r="G66" i="12"/>
  <c r="F66" i="12"/>
  <c r="D50" i="12"/>
  <c r="E50" i="12"/>
  <c r="G50" i="12"/>
  <c r="F50" i="12"/>
  <c r="E34" i="12"/>
  <c r="D34" i="12"/>
  <c r="G34" i="12"/>
  <c r="F34" i="12"/>
  <c r="E386" i="12"/>
  <c r="D386" i="12"/>
  <c r="G386" i="12"/>
  <c r="F386" i="12"/>
  <c r="D370" i="12"/>
  <c r="E370" i="12"/>
  <c r="G370" i="12"/>
  <c r="F370" i="12"/>
  <c r="E354" i="12"/>
  <c r="D354" i="12"/>
  <c r="G354" i="12"/>
  <c r="F354" i="12"/>
  <c r="E465" i="12"/>
  <c r="D465" i="12"/>
  <c r="G465" i="12"/>
  <c r="F465" i="12"/>
  <c r="E449" i="12"/>
  <c r="D449" i="12"/>
  <c r="G449" i="12"/>
  <c r="F449" i="12"/>
  <c r="D433" i="12"/>
  <c r="E433" i="12"/>
  <c r="G433" i="12"/>
  <c r="F433" i="12"/>
  <c r="D417" i="12"/>
  <c r="E417" i="12"/>
  <c r="G417" i="12"/>
  <c r="F417" i="12"/>
  <c r="E401" i="12"/>
  <c r="D401" i="12"/>
  <c r="G401" i="12"/>
  <c r="F401" i="12"/>
  <c r="J502" i="12"/>
  <c r="J485" i="12"/>
  <c r="J488" i="12"/>
  <c r="J486" i="12"/>
  <c r="J505" i="12"/>
  <c r="J509" i="12"/>
  <c r="J506" i="12"/>
  <c r="J498" i="12"/>
  <c r="J501" i="12"/>
  <c r="J487" i="12"/>
  <c r="J490" i="12"/>
  <c r="J507" i="12"/>
  <c r="J511" i="12"/>
  <c r="J504" i="12"/>
  <c r="J503" i="12"/>
  <c r="J496" i="12"/>
  <c r="J500" i="12"/>
  <c r="J491" i="12"/>
  <c r="J492" i="12"/>
  <c r="J512" i="12"/>
  <c r="J483" i="12"/>
  <c r="C162" i="17"/>
  <c r="D98" i="20"/>
  <c r="D409" i="20"/>
  <c r="C458" i="17"/>
  <c r="C391" i="17"/>
  <c r="C244" i="17"/>
  <c r="C129" i="17"/>
  <c r="C95" i="17"/>
  <c r="C79" i="17"/>
  <c r="D492" i="20"/>
  <c r="D422" i="20"/>
  <c r="C371" i="17"/>
  <c r="C192" i="17"/>
  <c r="C144" i="17"/>
  <c r="C112" i="17"/>
  <c r="C32" i="17"/>
  <c r="C157" i="17"/>
  <c r="B66" i="18"/>
  <c r="C47" i="17"/>
  <c r="C321" i="17"/>
  <c r="C277" i="17"/>
  <c r="C109" i="17"/>
  <c r="C325" i="17"/>
  <c r="C299" i="17"/>
  <c r="C275" i="17"/>
  <c r="C172" i="17"/>
  <c r="C287" i="17"/>
  <c r="C498" i="17"/>
  <c r="B72" i="18"/>
  <c r="C496" i="17"/>
  <c r="D394" i="20"/>
  <c r="C267" i="17"/>
  <c r="D230" i="20"/>
  <c r="C83" i="17"/>
  <c r="C513" i="12"/>
  <c r="D513" i="20"/>
  <c r="C513" i="17"/>
  <c r="D494" i="20"/>
  <c r="C494" i="12"/>
  <c r="C506" i="12"/>
  <c r="D506" i="20"/>
  <c r="C506" i="17"/>
  <c r="C507" i="12"/>
  <c r="D507" i="20"/>
  <c r="C507" i="17"/>
  <c r="C499" i="12"/>
  <c r="C499" i="17"/>
  <c r="D499" i="20"/>
  <c r="C494" i="17"/>
  <c r="C503" i="12"/>
  <c r="D503" i="20"/>
  <c r="C503" i="17"/>
  <c r="C490" i="17"/>
  <c r="C490" i="12"/>
  <c r="D490" i="20"/>
  <c r="C512" i="12"/>
  <c r="D512" i="20"/>
  <c r="C512" i="17"/>
  <c r="C498" i="12"/>
  <c r="D498" i="20"/>
  <c r="C483" i="12"/>
  <c r="C483" i="17"/>
  <c r="C502" i="17"/>
  <c r="C502" i="12"/>
  <c r="D502" i="20"/>
  <c r="D493" i="20"/>
  <c r="C493" i="12"/>
  <c r="D481" i="20"/>
  <c r="C481" i="17"/>
  <c r="C481" i="12"/>
  <c r="C508" i="17"/>
  <c r="D508" i="20"/>
  <c r="C508" i="12"/>
  <c r="C504" i="12"/>
  <c r="D504" i="20"/>
  <c r="C504" i="17"/>
  <c r="D491" i="20"/>
  <c r="C491" i="12"/>
  <c r="C491" i="17"/>
  <c r="C479" i="17"/>
  <c r="D479" i="20"/>
  <c r="C509" i="17"/>
  <c r="D509" i="20"/>
  <c r="C509" i="12"/>
  <c r="C488" i="17"/>
  <c r="C488" i="12"/>
  <c r="D488" i="20"/>
  <c r="C510" i="17"/>
  <c r="C510" i="12"/>
  <c r="D510" i="20"/>
  <c r="C480" i="17"/>
  <c r="D480" i="20"/>
  <c r="C480" i="12"/>
  <c r="C484" i="12"/>
  <c r="D484" i="20"/>
  <c r="C484" i="17"/>
  <c r="D501" i="20"/>
  <c r="C501" i="12"/>
  <c r="C501" i="17"/>
  <c r="C496" i="12"/>
  <c r="D496" i="20"/>
  <c r="D483" i="20"/>
  <c r="D511" i="20"/>
  <c r="C511" i="17"/>
  <c r="C511" i="12"/>
  <c r="D489" i="20"/>
  <c r="C489" i="17"/>
  <c r="C489" i="12"/>
  <c r="C486" i="17"/>
  <c r="C486" i="12"/>
  <c r="D486" i="20"/>
  <c r="C500" i="12"/>
  <c r="D500" i="20"/>
  <c r="C500" i="17"/>
  <c r="C497" i="12"/>
  <c r="C497" i="17"/>
  <c r="D497" i="20"/>
  <c r="C492" i="17"/>
  <c r="C492" i="12"/>
  <c r="C505" i="12"/>
  <c r="D505" i="20"/>
  <c r="C505" i="17"/>
  <c r="C493" i="17"/>
  <c r="D495" i="20"/>
  <c r="C495" i="17"/>
  <c r="C495" i="12"/>
  <c r="D485" i="20"/>
  <c r="C485" i="12"/>
  <c r="C485" i="17"/>
  <c r="C482" i="17"/>
  <c r="D482" i="20"/>
  <c r="C482" i="12"/>
  <c r="C487" i="17"/>
  <c r="C487" i="12"/>
  <c r="D487" i="20"/>
  <c r="J11" i="12"/>
  <c r="D187" i="20"/>
  <c r="C27" i="17"/>
  <c r="C13" i="17"/>
  <c r="C23" i="17"/>
  <c r="C204" i="17"/>
  <c r="C266" i="17"/>
  <c r="C85" i="17"/>
  <c r="C45" i="17"/>
  <c r="C35" i="17"/>
  <c r="C39" i="17"/>
  <c r="C222" i="17"/>
  <c r="C108" i="17"/>
  <c r="B390" i="18"/>
  <c r="B371" i="18"/>
  <c r="C353" i="22"/>
  <c r="B279" i="18"/>
  <c r="B260" i="18"/>
  <c r="C242" i="22"/>
  <c r="C225" i="22"/>
  <c r="C158" i="22"/>
  <c r="D141" i="20"/>
  <c r="C76" i="17"/>
  <c r="C48" i="22"/>
  <c r="C49" i="17"/>
  <c r="C419" i="17"/>
  <c r="B438" i="18"/>
  <c r="C352" i="22"/>
  <c r="C351" i="22"/>
  <c r="B333" i="18"/>
  <c r="D275" i="20"/>
  <c r="C241" i="22"/>
  <c r="B174" i="18"/>
  <c r="C155" i="17"/>
  <c r="C315" i="17"/>
  <c r="D434" i="20"/>
  <c r="C419" i="22"/>
  <c r="C384" i="17"/>
  <c r="C368" i="22"/>
  <c r="D330" i="20"/>
  <c r="B315" i="18"/>
  <c r="C276" i="22"/>
  <c r="C221" i="17"/>
  <c r="C123" i="17"/>
  <c r="D90" i="20"/>
  <c r="B77" i="18"/>
  <c r="C353" i="17"/>
  <c r="D138" i="20"/>
  <c r="C122" i="17"/>
  <c r="C43" i="17"/>
  <c r="D11" i="20"/>
  <c r="C80" i="17"/>
  <c r="C279" i="17"/>
  <c r="C29" i="17"/>
  <c r="D388" i="20"/>
  <c r="D240" i="20"/>
  <c r="C201" i="17"/>
  <c r="C68" i="17"/>
  <c r="D195" i="20"/>
  <c r="B257" i="18"/>
  <c r="D345" i="20"/>
  <c r="C309" i="17"/>
  <c r="C290" i="17"/>
  <c r="D271" i="20"/>
  <c r="D234" i="20"/>
  <c r="D217" i="20"/>
  <c r="C200" i="17"/>
  <c r="C184" i="17"/>
  <c r="D168" i="20"/>
  <c r="C136" i="17"/>
  <c r="C104" i="17"/>
  <c r="B89" i="18"/>
  <c r="C72" i="17"/>
  <c r="C57" i="17"/>
  <c r="C25" i="17"/>
  <c r="C223" i="17"/>
  <c r="C297" i="17"/>
  <c r="C260" i="22"/>
  <c r="C135" i="17"/>
  <c r="D348" i="20"/>
  <c r="D35" i="20"/>
  <c r="C392" i="22"/>
  <c r="C326" i="17"/>
  <c r="C430" i="22"/>
  <c r="D378" i="20"/>
  <c r="B327" i="18"/>
  <c r="B289" i="18"/>
  <c r="D249" i="20"/>
  <c r="C234" i="22"/>
  <c r="C184" i="22"/>
  <c r="B136" i="18"/>
  <c r="B120" i="18"/>
  <c r="C104" i="22"/>
  <c r="C72" i="22"/>
  <c r="C9" i="22"/>
  <c r="C224" i="17"/>
  <c r="C70" i="17"/>
  <c r="C198" i="17"/>
  <c r="D258" i="20"/>
  <c r="C251" i="22"/>
  <c r="C428" i="17"/>
  <c r="C8" i="17"/>
  <c r="C126" i="22"/>
  <c r="D478" i="20"/>
  <c r="C478" i="17"/>
  <c r="C132" i="17"/>
  <c r="D116" i="20"/>
  <c r="C85" i="22"/>
  <c r="C36" i="17"/>
  <c r="C44" i="17"/>
  <c r="D331" i="20"/>
  <c r="C428" i="22"/>
  <c r="C412" i="22"/>
  <c r="C396" i="22"/>
  <c r="B359" i="18"/>
  <c r="B343" i="18"/>
  <c r="C324" i="22"/>
  <c r="C305" i="17"/>
  <c r="D267" i="20"/>
  <c r="B232" i="18"/>
  <c r="C215" i="22"/>
  <c r="D196" i="20"/>
  <c r="B150" i="18"/>
  <c r="D99" i="20"/>
  <c r="D425" i="20"/>
  <c r="B411" i="18"/>
  <c r="C393" i="17"/>
  <c r="C358" i="22"/>
  <c r="B342" i="18"/>
  <c r="D321" i="20"/>
  <c r="C286" i="22"/>
  <c r="C231" i="22"/>
  <c r="B214" i="18"/>
  <c r="C181" i="22"/>
  <c r="D162" i="20"/>
  <c r="C147" i="17"/>
  <c r="C131" i="17"/>
  <c r="C115" i="17"/>
  <c r="B100" i="18"/>
  <c r="D82" i="20"/>
  <c r="D52" i="20"/>
  <c r="D20" i="20"/>
  <c r="C343" i="17"/>
  <c r="C205" i="17"/>
  <c r="C30" i="17"/>
  <c r="C273" i="17"/>
  <c r="D223" i="20"/>
  <c r="D182" i="20"/>
  <c r="C322" i="17"/>
  <c r="C460" i="17"/>
  <c r="D392" i="20"/>
  <c r="C302" i="17"/>
  <c r="C283" i="17"/>
  <c r="C439" i="17"/>
  <c r="C274" i="17"/>
  <c r="C193" i="17"/>
  <c r="D307" i="20"/>
  <c r="D313" i="20"/>
  <c r="D107" i="20"/>
  <c r="C338" i="17"/>
  <c r="B460" i="18"/>
  <c r="C423" i="17"/>
  <c r="C409" i="22"/>
  <c r="C393" i="22"/>
  <c r="C374" i="22"/>
  <c r="C354" i="17"/>
  <c r="C337" i="17"/>
  <c r="C321" i="22"/>
  <c r="C300" i="17"/>
  <c r="C284" i="22"/>
  <c r="D264" i="20"/>
  <c r="D244" i="20"/>
  <c r="D227" i="20"/>
  <c r="D209" i="20"/>
  <c r="D177" i="20"/>
  <c r="C145" i="17"/>
  <c r="C113" i="17"/>
  <c r="B98" i="18"/>
  <c r="C50" i="17"/>
  <c r="D33" i="20"/>
  <c r="C18" i="17"/>
  <c r="C306" i="17"/>
  <c r="C163" i="17"/>
  <c r="D232" i="20"/>
  <c r="D282" i="20"/>
  <c r="C440" i="22"/>
  <c r="B424" i="18"/>
  <c r="C406" i="17"/>
  <c r="D371" i="20"/>
  <c r="C337" i="22"/>
  <c r="D318" i="20"/>
  <c r="C301" i="22"/>
  <c r="D261" i="20"/>
  <c r="C243" i="17"/>
  <c r="B228" i="18"/>
  <c r="C210" i="22"/>
  <c r="C194" i="22"/>
  <c r="C178" i="22"/>
  <c r="C159" i="17"/>
  <c r="B146" i="18"/>
  <c r="D128" i="20"/>
  <c r="D112" i="20"/>
  <c r="C97" i="22"/>
  <c r="D79" i="20"/>
  <c r="C66" i="17"/>
  <c r="B34" i="18"/>
  <c r="D17" i="20"/>
  <c r="C173" i="17"/>
  <c r="C247" i="17"/>
  <c r="D224" i="20"/>
  <c r="D176" i="20"/>
  <c r="C405" i="17"/>
  <c r="C295" i="17"/>
  <c r="D407" i="20"/>
  <c r="B454" i="18"/>
  <c r="B439" i="18"/>
  <c r="B192" i="18"/>
  <c r="D47" i="20"/>
  <c r="C226" i="17"/>
  <c r="C206" i="17"/>
  <c r="C313" i="17"/>
  <c r="D192" i="20"/>
  <c r="J8" i="12"/>
  <c r="J12" i="12"/>
  <c r="C410" i="17"/>
  <c r="C222" i="12"/>
  <c r="C158" i="12"/>
  <c r="C280" i="12"/>
  <c r="C88" i="12"/>
  <c r="C56" i="12"/>
  <c r="C40" i="12"/>
  <c r="C444" i="12"/>
  <c r="C317" i="12"/>
  <c r="C253" i="12"/>
  <c r="C237" i="12"/>
  <c r="C125" i="12"/>
  <c r="C45" i="12"/>
  <c r="C313" i="12"/>
  <c r="C185" i="12"/>
  <c r="C152" i="12"/>
  <c r="C254" i="12"/>
  <c r="C349" i="12"/>
  <c r="C300" i="12"/>
  <c r="C268" i="12"/>
  <c r="C236" i="12"/>
  <c r="C220" i="12"/>
  <c r="C204" i="12"/>
  <c r="C172" i="12"/>
  <c r="C156" i="12"/>
  <c r="C140" i="12"/>
  <c r="C124" i="12"/>
  <c r="C92" i="12"/>
  <c r="C76" i="12"/>
  <c r="C60" i="12"/>
  <c r="C44" i="12"/>
  <c r="C380" i="12"/>
  <c r="C364" i="12"/>
  <c r="C231" i="12"/>
  <c r="C16" i="12"/>
  <c r="C219" i="12"/>
  <c r="C187" i="12"/>
  <c r="C91" i="12"/>
  <c r="C479" i="12"/>
  <c r="J479" i="12"/>
  <c r="C463" i="12"/>
  <c r="C15" i="12"/>
  <c r="C155" i="12"/>
  <c r="C107" i="12"/>
  <c r="C59" i="12"/>
  <c r="C298" i="12"/>
  <c r="C218" i="12"/>
  <c r="C186" i="12"/>
  <c r="C90" i="12"/>
  <c r="C58" i="12"/>
  <c r="C42" i="12"/>
  <c r="C478" i="12"/>
  <c r="J478" i="12"/>
  <c r="C462" i="12"/>
  <c r="C89" i="12"/>
  <c r="C41" i="12"/>
  <c r="C87" i="12"/>
  <c r="C55" i="12"/>
  <c r="C39" i="12"/>
  <c r="C23" i="12"/>
  <c r="C475" i="12"/>
  <c r="C134" i="12"/>
  <c r="C118" i="12"/>
  <c r="C70" i="12"/>
  <c r="C54" i="12"/>
  <c r="C22" i="12"/>
  <c r="C474" i="12"/>
  <c r="C458" i="12"/>
  <c r="C117" i="12"/>
  <c r="C473" i="12"/>
  <c r="C264" i="12"/>
  <c r="C184" i="12"/>
  <c r="C472" i="12"/>
  <c r="C456" i="12"/>
  <c r="C471" i="12"/>
  <c r="C455" i="12"/>
  <c r="C98" i="12"/>
  <c r="C386" i="12"/>
  <c r="C438" i="12"/>
  <c r="C422" i="12"/>
  <c r="C406" i="12"/>
  <c r="C390" i="12"/>
  <c r="C469" i="12"/>
  <c r="C200" i="12"/>
  <c r="C311" i="12"/>
  <c r="C278" i="12"/>
  <c r="J10" i="12"/>
  <c r="C48" i="12"/>
  <c r="C468" i="12"/>
  <c r="C452" i="12"/>
  <c r="C335" i="12"/>
  <c r="C239" i="12"/>
  <c r="C175" i="12"/>
  <c r="C159" i="12"/>
  <c r="C143" i="12"/>
  <c r="C127" i="12"/>
  <c r="C111" i="12"/>
  <c r="C79" i="12"/>
  <c r="C47" i="12"/>
  <c r="C467" i="12"/>
  <c r="J9" i="12"/>
  <c r="C263" i="12"/>
  <c r="C312" i="12"/>
  <c r="C449" i="22"/>
  <c r="C447" i="17"/>
  <c r="B449" i="18"/>
  <c r="D447" i="20"/>
  <c r="B448" i="18"/>
  <c r="D446" i="20"/>
  <c r="C448" i="22"/>
  <c r="C446" i="17"/>
  <c r="C400" i="22"/>
  <c r="C398" i="17"/>
  <c r="D398" i="20"/>
  <c r="B400" i="18"/>
  <c r="C332" i="12"/>
  <c r="C282" i="22"/>
  <c r="B282" i="18"/>
  <c r="C280" i="17"/>
  <c r="D280" i="20"/>
  <c r="C303" i="17"/>
  <c r="C305" i="22"/>
  <c r="D303" i="20"/>
  <c r="B305" i="18"/>
  <c r="C452" i="22"/>
  <c r="D450" i="20"/>
  <c r="B452" i="18"/>
  <c r="C450" i="17"/>
  <c r="B437" i="18"/>
  <c r="C437" i="22"/>
  <c r="B420" i="18"/>
  <c r="C418" i="17"/>
  <c r="C420" i="22"/>
  <c r="B404" i="18"/>
  <c r="D402" i="20"/>
  <c r="C404" i="22"/>
  <c r="C402" i="17"/>
  <c r="B450" i="18"/>
  <c r="D448" i="20"/>
  <c r="C448" i="17"/>
  <c r="C450" i="22"/>
  <c r="C400" i="17"/>
  <c r="C402" i="22"/>
  <c r="D400" i="20"/>
  <c r="B402" i="18"/>
  <c r="C385" i="22"/>
  <c r="B385" i="18"/>
  <c r="D383" i="20"/>
  <c r="C383" i="17"/>
  <c r="B349" i="18"/>
  <c r="C349" i="22"/>
  <c r="C347" i="17"/>
  <c r="C330" i="22"/>
  <c r="D328" i="20"/>
  <c r="C328" i="17"/>
  <c r="B330" i="18"/>
  <c r="C314" i="22"/>
  <c r="B314" i="18"/>
  <c r="C312" i="17"/>
  <c r="D312" i="20"/>
  <c r="B294" i="18"/>
  <c r="D292" i="20"/>
  <c r="C292" i="17"/>
  <c r="C294" i="22"/>
  <c r="C275" i="22"/>
  <c r="B275" i="18"/>
  <c r="D273" i="20"/>
  <c r="C255" i="22"/>
  <c r="D253" i="20"/>
  <c r="B255" i="18"/>
  <c r="C253" i="17"/>
  <c r="C238" i="22"/>
  <c r="B238" i="18"/>
  <c r="C236" i="17"/>
  <c r="D236" i="20"/>
  <c r="B221" i="18"/>
  <c r="C221" i="22"/>
  <c r="C219" i="17"/>
  <c r="D219" i="20"/>
  <c r="B204" i="18"/>
  <c r="C204" i="22"/>
  <c r="C202" i="17"/>
  <c r="D202" i="20"/>
  <c r="B188" i="18"/>
  <c r="C188" i="22"/>
  <c r="D186" i="20"/>
  <c r="C186" i="17"/>
  <c r="B172" i="18"/>
  <c r="C172" i="22"/>
  <c r="D170" i="20"/>
  <c r="C170" i="17"/>
  <c r="B155" i="18"/>
  <c r="C155" i="22"/>
  <c r="D153" i="20"/>
  <c r="C153" i="17"/>
  <c r="B335" i="18"/>
  <c r="D333" i="20"/>
  <c r="C333" i="17"/>
  <c r="C335" i="22"/>
  <c r="B433" i="18"/>
  <c r="C431" i="17"/>
  <c r="D431" i="20"/>
  <c r="C433" i="22"/>
  <c r="C417" i="22"/>
  <c r="B417" i="18"/>
  <c r="D415" i="20"/>
  <c r="C415" i="17"/>
  <c r="C399" i="17"/>
  <c r="B401" i="18"/>
  <c r="C401" i="22"/>
  <c r="D399" i="20"/>
  <c r="C384" i="22"/>
  <c r="D382" i="20"/>
  <c r="C382" i="17"/>
  <c r="B384" i="18"/>
  <c r="B364" i="18"/>
  <c r="D362" i="20"/>
  <c r="C362" i="17"/>
  <c r="C364" i="22"/>
  <c r="B348" i="18"/>
  <c r="C346" i="17"/>
  <c r="C348" i="22"/>
  <c r="D346" i="20"/>
  <c r="C329" i="22"/>
  <c r="B329" i="18"/>
  <c r="D327" i="20"/>
  <c r="C327" i="17"/>
  <c r="B312" i="18"/>
  <c r="C312" i="22"/>
  <c r="C310" i="17"/>
  <c r="D310" i="20"/>
  <c r="B293" i="18"/>
  <c r="C293" i="22"/>
  <c r="D291" i="20"/>
  <c r="C291" i="17"/>
  <c r="C274" i="22"/>
  <c r="B274" i="18"/>
  <c r="D272" i="20"/>
  <c r="C272" i="17"/>
  <c r="B254" i="18"/>
  <c r="D252" i="20"/>
  <c r="C254" i="22"/>
  <c r="C252" i="17"/>
  <c r="B237" i="18"/>
  <c r="C237" i="22"/>
  <c r="C235" i="17"/>
  <c r="B220" i="18"/>
  <c r="C218" i="17"/>
  <c r="C220" i="22"/>
  <c r="D218" i="20"/>
  <c r="D201" i="20"/>
  <c r="B203" i="18"/>
  <c r="C203" i="22"/>
  <c r="C187" i="22"/>
  <c r="D185" i="20"/>
  <c r="B187" i="18"/>
  <c r="C185" i="17"/>
  <c r="C171" i="22"/>
  <c r="B171" i="18"/>
  <c r="D169" i="20"/>
  <c r="C169" i="17"/>
  <c r="D152" i="20"/>
  <c r="C154" i="22"/>
  <c r="C152" i="17"/>
  <c r="B154" i="18"/>
  <c r="B139" i="18"/>
  <c r="D137" i="20"/>
  <c r="C139" i="22"/>
  <c r="C137" i="17"/>
  <c r="D121" i="20"/>
  <c r="B123" i="18"/>
  <c r="C123" i="22"/>
  <c r="C121" i="17"/>
  <c r="B107" i="18"/>
  <c r="D105" i="20"/>
  <c r="C107" i="22"/>
  <c r="D88" i="20"/>
  <c r="C90" i="22"/>
  <c r="B90" i="18"/>
  <c r="C88" i="17"/>
  <c r="C75" i="22"/>
  <c r="B75" i="18"/>
  <c r="D73" i="20"/>
  <c r="C58" i="17"/>
  <c r="C60" i="22"/>
  <c r="B60" i="18"/>
  <c r="D58" i="20"/>
  <c r="B44" i="18"/>
  <c r="C44" i="22"/>
  <c r="C42" i="17"/>
  <c r="D42" i="20"/>
  <c r="B28" i="18"/>
  <c r="D26" i="20"/>
  <c r="C28" i="22"/>
  <c r="C26" i="17"/>
  <c r="D10" i="20"/>
  <c r="B12" i="18"/>
  <c r="C12" i="22"/>
  <c r="C10" i="17"/>
  <c r="B283" i="18"/>
  <c r="C281" i="17"/>
  <c r="D281" i="20"/>
  <c r="C283" i="22"/>
  <c r="C73" i="17"/>
  <c r="B418" i="18"/>
  <c r="C418" i="22"/>
  <c r="C416" i="17"/>
  <c r="D416" i="20"/>
  <c r="B447" i="18"/>
  <c r="D445" i="20"/>
  <c r="C445" i="17"/>
  <c r="C447" i="22"/>
  <c r="C431" i="22"/>
  <c r="B431" i="18"/>
  <c r="D429" i="20"/>
  <c r="B415" i="18"/>
  <c r="C413" i="17"/>
  <c r="C415" i="22"/>
  <c r="C397" i="17"/>
  <c r="B399" i="18"/>
  <c r="C399" i="22"/>
  <c r="D397" i="20"/>
  <c r="B381" i="18"/>
  <c r="C379" i="17"/>
  <c r="C381" i="22"/>
  <c r="D379" i="20"/>
  <c r="C362" i="22"/>
  <c r="D360" i="20"/>
  <c r="B362" i="18"/>
  <c r="C360" i="17"/>
  <c r="C346" i="22"/>
  <c r="D344" i="20"/>
  <c r="C344" i="17"/>
  <c r="B346" i="18"/>
  <c r="B328" i="18"/>
  <c r="C328" i="22"/>
  <c r="D326" i="20"/>
  <c r="B310" i="18"/>
  <c r="C310" i="22"/>
  <c r="D308" i="20"/>
  <c r="C308" i="17"/>
  <c r="C291" i="22"/>
  <c r="B291" i="18"/>
  <c r="D289" i="20"/>
  <c r="C272" i="22"/>
  <c r="D270" i="20"/>
  <c r="B272" i="18"/>
  <c r="C270" i="17"/>
  <c r="C252" i="22"/>
  <c r="B252" i="18"/>
  <c r="C250" i="17"/>
  <c r="D250" i="20"/>
  <c r="B235" i="18"/>
  <c r="C235" i="22"/>
  <c r="D233" i="20"/>
  <c r="C233" i="17"/>
  <c r="C218" i="22"/>
  <c r="C216" i="17"/>
  <c r="D216" i="20"/>
  <c r="B218" i="18"/>
  <c r="B201" i="18"/>
  <c r="C199" i="17"/>
  <c r="C201" i="22"/>
  <c r="D199" i="20"/>
  <c r="C183" i="17"/>
  <c r="B185" i="18"/>
  <c r="C185" i="22"/>
  <c r="D183" i="20"/>
  <c r="B169" i="18"/>
  <c r="C167" i="17"/>
  <c r="C169" i="22"/>
  <c r="D167" i="20"/>
  <c r="C152" i="22"/>
  <c r="D150" i="20"/>
  <c r="C150" i="17"/>
  <c r="B152" i="18"/>
  <c r="D135" i="20"/>
  <c r="B137" i="18"/>
  <c r="C137" i="22"/>
  <c r="D119" i="20"/>
  <c r="C119" i="17"/>
  <c r="B121" i="18"/>
  <c r="C121" i="22"/>
  <c r="B105" i="18"/>
  <c r="C103" i="17"/>
  <c r="D103" i="20"/>
  <c r="C105" i="22"/>
  <c r="C86" i="17"/>
  <c r="C88" i="22"/>
  <c r="B88" i="18"/>
  <c r="D86" i="20"/>
  <c r="D71" i="20"/>
  <c r="C73" i="22"/>
  <c r="B73" i="18"/>
  <c r="C71" i="17"/>
  <c r="C58" i="22"/>
  <c r="C56" i="17"/>
  <c r="D56" i="20"/>
  <c r="B58" i="18"/>
  <c r="C42" i="22"/>
  <c r="C40" i="17"/>
  <c r="B42" i="18"/>
  <c r="D40" i="20"/>
  <c r="D24" i="20"/>
  <c r="C26" i="22"/>
  <c r="B26" i="18"/>
  <c r="B445" i="18"/>
  <c r="C445" i="22"/>
  <c r="C443" i="17"/>
  <c r="B429" i="18"/>
  <c r="C429" i="22"/>
  <c r="D427" i="20"/>
  <c r="C427" i="17"/>
  <c r="B413" i="18"/>
  <c r="D411" i="20"/>
  <c r="C413" i="22"/>
  <c r="C411" i="17"/>
  <c r="B397" i="18"/>
  <c r="C395" i="17"/>
  <c r="D395" i="20"/>
  <c r="C397" i="22"/>
  <c r="C378" i="22"/>
  <c r="B378" i="18"/>
  <c r="D376" i="20"/>
  <c r="C376" i="17"/>
  <c r="D358" i="20"/>
  <c r="C360" i="22"/>
  <c r="C358" i="17"/>
  <c r="B360" i="18"/>
  <c r="C344" i="22"/>
  <c r="D342" i="20"/>
  <c r="C342" i="17"/>
  <c r="B344" i="18"/>
  <c r="B326" i="18"/>
  <c r="C324" i="17"/>
  <c r="D324" i="20"/>
  <c r="C326" i="22"/>
  <c r="B308" i="18"/>
  <c r="C308" i="22"/>
  <c r="D306" i="20"/>
  <c r="C288" i="22"/>
  <c r="D286" i="20"/>
  <c r="B288" i="18"/>
  <c r="C286" i="17"/>
  <c r="B270" i="18"/>
  <c r="C268" i="17"/>
  <c r="D268" i="20"/>
  <c r="C270" i="22"/>
  <c r="C250" i="22"/>
  <c r="C248" i="17"/>
  <c r="B250" i="18"/>
  <c r="D248" i="20"/>
  <c r="C231" i="17"/>
  <c r="D231" i="20"/>
  <c r="C233" i="22"/>
  <c r="B233" i="18"/>
  <c r="D214" i="20"/>
  <c r="C216" i="22"/>
  <c r="B216" i="18"/>
  <c r="C214" i="17"/>
  <c r="D197" i="20"/>
  <c r="B199" i="18"/>
  <c r="C197" i="17"/>
  <c r="C199" i="22"/>
  <c r="B183" i="18"/>
  <c r="D181" i="20"/>
  <c r="C181" i="17"/>
  <c r="C183" i="22"/>
  <c r="B167" i="18"/>
  <c r="D165" i="20"/>
  <c r="C167" i="22"/>
  <c r="B151" i="18"/>
  <c r="C149" i="17"/>
  <c r="D149" i="20"/>
  <c r="C151" i="22"/>
  <c r="C135" i="22"/>
  <c r="B135" i="18"/>
  <c r="C133" i="17"/>
  <c r="D133" i="20"/>
  <c r="B119" i="18"/>
  <c r="C119" i="22"/>
  <c r="D117" i="20"/>
  <c r="C117" i="17"/>
  <c r="C103" i="22"/>
  <c r="B103" i="18"/>
  <c r="D101" i="20"/>
  <c r="C101" i="17"/>
  <c r="C86" i="22"/>
  <c r="B86" i="18"/>
  <c r="D84" i="20"/>
  <c r="C84" i="17"/>
  <c r="C71" i="22"/>
  <c r="D69" i="20"/>
  <c r="B71" i="18"/>
  <c r="C69" i="17"/>
  <c r="B56" i="18"/>
  <c r="D54" i="20"/>
  <c r="C56" i="22"/>
  <c r="C38" i="17"/>
  <c r="B40" i="18"/>
  <c r="D38" i="20"/>
  <c r="C40" i="22"/>
  <c r="C22" i="17"/>
  <c r="B24" i="18"/>
  <c r="D22" i="20"/>
  <c r="C24" i="22"/>
  <c r="C429" i="17"/>
  <c r="D235" i="20"/>
  <c r="D413" i="20"/>
  <c r="C105" i="17"/>
  <c r="C289" i="17"/>
  <c r="C435" i="17"/>
  <c r="B416" i="18"/>
  <c r="C416" i="22"/>
  <c r="D414" i="20"/>
  <c r="C414" i="17"/>
  <c r="B363" i="18"/>
  <c r="C361" i="17"/>
  <c r="C363" i="22"/>
  <c r="D361" i="20"/>
  <c r="B463" i="18"/>
  <c r="C461" i="17"/>
  <c r="C463" i="22"/>
  <c r="D461" i="20"/>
  <c r="C54" i="17"/>
  <c r="D443" i="20"/>
  <c r="B462" i="18"/>
  <c r="C462" i="22"/>
  <c r="D460" i="20"/>
  <c r="C442" i="22"/>
  <c r="B442" i="18"/>
  <c r="D440" i="20"/>
  <c r="C440" i="17"/>
  <c r="B426" i="18"/>
  <c r="C426" i="22"/>
  <c r="D424" i="20"/>
  <c r="C424" i="17"/>
  <c r="C410" i="22"/>
  <c r="C408" i="17"/>
  <c r="B410" i="18"/>
  <c r="D408" i="20"/>
  <c r="B394" i="18"/>
  <c r="C394" i="22"/>
  <c r="C392" i="17"/>
  <c r="B375" i="18"/>
  <c r="D373" i="20"/>
  <c r="C375" i="22"/>
  <c r="C373" i="17"/>
  <c r="B357" i="18"/>
  <c r="D355" i="20"/>
  <c r="C357" i="22"/>
  <c r="C355" i="17"/>
  <c r="B341" i="18"/>
  <c r="D339" i="20"/>
  <c r="C341" i="22"/>
  <c r="C339" i="17"/>
  <c r="C322" i="22"/>
  <c r="D320" i="20"/>
  <c r="B322" i="18"/>
  <c r="C320" i="17"/>
  <c r="C304" i="22"/>
  <c r="D302" i="20"/>
  <c r="B304" i="18"/>
  <c r="B285" i="18"/>
  <c r="C285" i="22"/>
  <c r="D283" i="20"/>
  <c r="B267" i="18"/>
  <c r="C265" i="17"/>
  <c r="D265" i="20"/>
  <c r="C267" i="22"/>
  <c r="B247" i="18"/>
  <c r="C245" i="17"/>
  <c r="C247" i="22"/>
  <c r="D245" i="20"/>
  <c r="B230" i="18"/>
  <c r="C230" i="22"/>
  <c r="D228" i="20"/>
  <c r="C228" i="17"/>
  <c r="C212" i="22"/>
  <c r="B212" i="18"/>
  <c r="C210" i="17"/>
  <c r="D210" i="20"/>
  <c r="C194" i="17"/>
  <c r="B196" i="18"/>
  <c r="C196" i="22"/>
  <c r="D194" i="20"/>
  <c r="D178" i="20"/>
  <c r="C180" i="22"/>
  <c r="B180" i="18"/>
  <c r="C178" i="17"/>
  <c r="C163" i="22"/>
  <c r="B163" i="18"/>
  <c r="C161" i="17"/>
  <c r="D161" i="20"/>
  <c r="D146" i="20"/>
  <c r="C148" i="22"/>
  <c r="B148" i="18"/>
  <c r="C146" i="17"/>
  <c r="B132" i="18"/>
  <c r="C132" i="22"/>
  <c r="C130" i="17"/>
  <c r="D130" i="20"/>
  <c r="B116" i="18"/>
  <c r="C116" i="22"/>
  <c r="D114" i="20"/>
  <c r="C114" i="17"/>
  <c r="B99" i="18"/>
  <c r="C99" i="22"/>
  <c r="C97" i="17"/>
  <c r="D97" i="20"/>
  <c r="D81" i="20"/>
  <c r="C83" i="22"/>
  <c r="B83" i="18"/>
  <c r="C81" i="17"/>
  <c r="B69" i="18"/>
  <c r="C69" i="22"/>
  <c r="D67" i="20"/>
  <c r="C67" i="17"/>
  <c r="B53" i="18"/>
  <c r="C53" i="22"/>
  <c r="C51" i="17"/>
  <c r="D51" i="20"/>
  <c r="C36" i="22"/>
  <c r="B36" i="18"/>
  <c r="C34" i="17"/>
  <c r="D34" i="20"/>
  <c r="D19" i="20"/>
  <c r="B21" i="18"/>
  <c r="C21" i="22"/>
  <c r="C19" i="17"/>
  <c r="D418" i="20"/>
  <c r="C24" i="17"/>
  <c r="D347" i="20"/>
  <c r="B423" i="18"/>
  <c r="C421" i="17"/>
  <c r="D421" i="20"/>
  <c r="C423" i="22"/>
  <c r="B372" i="18"/>
  <c r="C372" i="22"/>
  <c r="C370" i="17"/>
  <c r="D370" i="20"/>
  <c r="B300" i="18"/>
  <c r="C300" i="22"/>
  <c r="D298" i="20"/>
  <c r="C298" i="17"/>
  <c r="D225" i="20"/>
  <c r="B227" i="18"/>
  <c r="C227" i="22"/>
  <c r="C225" i="17"/>
  <c r="D78" i="20"/>
  <c r="C80" i="22"/>
  <c r="C78" i="17"/>
  <c r="B80" i="18"/>
  <c r="C165" i="17"/>
  <c r="C434" i="22"/>
  <c r="B434" i="18"/>
  <c r="D432" i="20"/>
  <c r="C432" i="17"/>
  <c r="B382" i="18"/>
  <c r="C380" i="17"/>
  <c r="C382" i="22"/>
  <c r="D380" i="20"/>
  <c r="B407" i="18"/>
  <c r="D405" i="20"/>
  <c r="C407" i="22"/>
  <c r="B391" i="18"/>
  <c r="C391" i="22"/>
  <c r="C389" i="17"/>
  <c r="D389" i="20"/>
  <c r="C336" i="22"/>
  <c r="C334" i="17"/>
  <c r="D334" i="20"/>
  <c r="B336" i="18"/>
  <c r="C317" i="17"/>
  <c r="B319" i="18"/>
  <c r="C319" i="22"/>
  <c r="D317" i="20"/>
  <c r="C280" i="22"/>
  <c r="B280" i="18"/>
  <c r="D278" i="20"/>
  <c r="C278" i="17"/>
  <c r="B262" i="18"/>
  <c r="D260" i="20"/>
  <c r="C262" i="22"/>
  <c r="C260" i="17"/>
  <c r="C244" i="22"/>
  <c r="B244" i="18"/>
  <c r="D242" i="20"/>
  <c r="C242" i="17"/>
  <c r="C209" i="22"/>
  <c r="B209" i="18"/>
  <c r="C207" i="17"/>
  <c r="D207" i="20"/>
  <c r="C193" i="22"/>
  <c r="B193" i="18"/>
  <c r="D191" i="20"/>
  <c r="C191" i="17"/>
  <c r="D175" i="20"/>
  <c r="C175" i="17"/>
  <c r="B177" i="18"/>
  <c r="C177" i="22"/>
  <c r="C160" i="22"/>
  <c r="B160" i="18"/>
  <c r="C158" i="17"/>
  <c r="D158" i="20"/>
  <c r="C145" i="22"/>
  <c r="D143" i="20"/>
  <c r="B145" i="18"/>
  <c r="C143" i="17"/>
  <c r="D127" i="20"/>
  <c r="B129" i="18"/>
  <c r="C129" i="22"/>
  <c r="C127" i="17"/>
  <c r="D111" i="20"/>
  <c r="B113" i="18"/>
  <c r="C113" i="22"/>
  <c r="C111" i="17"/>
  <c r="D94" i="20"/>
  <c r="C96" i="22"/>
  <c r="C94" i="17"/>
  <c r="B96" i="18"/>
  <c r="D65" i="20"/>
  <c r="C67" i="22"/>
  <c r="B67" i="18"/>
  <c r="C65" i="17"/>
  <c r="D48" i="20"/>
  <c r="C50" i="22"/>
  <c r="B50" i="18"/>
  <c r="C48" i="17"/>
  <c r="C33" i="22"/>
  <c r="D31" i="20"/>
  <c r="C31" i="17"/>
  <c r="B33" i="18"/>
  <c r="C18" i="22"/>
  <c r="D16" i="20"/>
  <c r="C16" i="17"/>
  <c r="B18" i="18"/>
  <c r="D435" i="20"/>
  <c r="B106" i="18"/>
  <c r="C297" i="22"/>
  <c r="B386" i="18"/>
  <c r="B443" i="18"/>
  <c r="B406" i="18"/>
  <c r="B334" i="18"/>
  <c r="B318" i="18"/>
  <c r="C299" i="22"/>
  <c r="B299" i="18"/>
  <c r="B261" i="18"/>
  <c r="C261" i="22"/>
  <c r="B243" i="18"/>
  <c r="C243" i="22"/>
  <c r="C226" i="22"/>
  <c r="C208" i="22"/>
  <c r="C190" i="17"/>
  <c r="C192" i="22"/>
  <c r="C176" i="22"/>
  <c r="D174" i="20"/>
  <c r="B159" i="18"/>
  <c r="C159" i="22"/>
  <c r="C144" i="22"/>
  <c r="D142" i="20"/>
  <c r="C126" i="17"/>
  <c r="C128" i="22"/>
  <c r="C112" i="22"/>
  <c r="D110" i="20"/>
  <c r="C95" i="22"/>
  <c r="B95" i="18"/>
  <c r="D93" i="20"/>
  <c r="B79" i="18"/>
  <c r="D77" i="20"/>
  <c r="C79" i="22"/>
  <c r="C64" i="17"/>
  <c r="C66" i="22"/>
  <c r="C32" i="22"/>
  <c r="C15" i="17"/>
  <c r="B17" i="18"/>
  <c r="C168" i="17"/>
  <c r="C240" i="17"/>
  <c r="C359" i="17"/>
  <c r="C118" i="17"/>
  <c r="C438" i="17"/>
  <c r="C174" i="17"/>
  <c r="D436" i="20"/>
  <c r="D226" i="20"/>
  <c r="D404" i="20"/>
  <c r="D287" i="20"/>
  <c r="D300" i="20"/>
  <c r="D337" i="20"/>
  <c r="D316" i="20"/>
  <c r="C371" i="22"/>
  <c r="B273" i="18"/>
  <c r="C292" i="22"/>
  <c r="C424" i="22"/>
  <c r="C315" i="22"/>
  <c r="B82" i="18"/>
  <c r="C436" i="17"/>
  <c r="B393" i="18"/>
  <c r="C17" i="22"/>
  <c r="B186" i="18"/>
  <c r="C340" i="22"/>
  <c r="C241" i="17"/>
  <c r="B208" i="18"/>
  <c r="C269" i="12"/>
  <c r="C221" i="12"/>
  <c r="C157" i="12"/>
  <c r="C93" i="12"/>
  <c r="C77" i="12"/>
  <c r="B421" i="18"/>
  <c r="B405" i="18"/>
  <c r="B388" i="18"/>
  <c r="C370" i="22"/>
  <c r="C317" i="22"/>
  <c r="B317" i="18"/>
  <c r="B207" i="18"/>
  <c r="D205" i="20"/>
  <c r="C207" i="22"/>
  <c r="D189" i="20"/>
  <c r="B191" i="18"/>
  <c r="C191" i="22"/>
  <c r="C175" i="22"/>
  <c r="D173" i="20"/>
  <c r="B175" i="18"/>
  <c r="B158" i="18"/>
  <c r="C143" i="22"/>
  <c r="B143" i="18"/>
  <c r="C127" i="22"/>
  <c r="D125" i="20"/>
  <c r="B127" i="18"/>
  <c r="C111" i="22"/>
  <c r="D109" i="20"/>
  <c r="B111" i="18"/>
  <c r="C94" i="22"/>
  <c r="B94" i="18"/>
  <c r="B78" i="18"/>
  <c r="D76" i="20"/>
  <c r="C78" i="22"/>
  <c r="C31" i="22"/>
  <c r="B31" i="18"/>
  <c r="D29" i="20"/>
  <c r="B16" i="18"/>
  <c r="C16" i="22"/>
  <c r="C246" i="17"/>
  <c r="C142" i="17"/>
  <c r="C284" i="17"/>
  <c r="C404" i="17"/>
  <c r="C258" i="17"/>
  <c r="D299" i="20"/>
  <c r="D215" i="20"/>
  <c r="D375" i="20"/>
  <c r="D246" i="20"/>
  <c r="D437" i="20"/>
  <c r="D136" i="20"/>
  <c r="D357" i="20"/>
  <c r="D184" i="20"/>
  <c r="B104" i="18"/>
  <c r="B376" i="18"/>
  <c r="C439" i="22"/>
  <c r="C174" i="22"/>
  <c r="C49" i="22"/>
  <c r="C75" i="17"/>
  <c r="C82" i="22"/>
  <c r="B266" i="18"/>
  <c r="C388" i="22"/>
  <c r="C118" i="22"/>
  <c r="B453" i="18"/>
  <c r="B224" i="18"/>
  <c r="C441" i="22"/>
  <c r="C374" i="17"/>
  <c r="B444" i="18"/>
  <c r="C387" i="22"/>
  <c r="B387" i="18"/>
  <c r="B351" i="18"/>
  <c r="C316" i="22"/>
  <c r="B316" i="18"/>
  <c r="C294" i="17"/>
  <c r="C277" i="22"/>
  <c r="B277" i="18"/>
  <c r="C256" i="17"/>
  <c r="C258" i="22"/>
  <c r="B206" i="18"/>
  <c r="C206" i="22"/>
  <c r="B190" i="18"/>
  <c r="D188" i="20"/>
  <c r="B157" i="18"/>
  <c r="C157" i="22"/>
  <c r="C142" i="22"/>
  <c r="B142" i="18"/>
  <c r="B126" i="18"/>
  <c r="C110" i="22"/>
  <c r="B110" i="18"/>
  <c r="C93" i="22"/>
  <c r="B93" i="18"/>
  <c r="C63" i="22"/>
  <c r="D61" i="20"/>
  <c r="B63" i="18"/>
  <c r="B47" i="18"/>
  <c r="C47" i="22"/>
  <c r="D45" i="20"/>
  <c r="B15" i="18"/>
  <c r="D13" i="20"/>
  <c r="C15" i="22"/>
  <c r="C425" i="17"/>
  <c r="C426" i="17"/>
  <c r="C351" i="17"/>
  <c r="C444" i="17"/>
  <c r="C128" i="17"/>
  <c r="C452" i="17"/>
  <c r="C282" i="17"/>
  <c r="C46" i="17"/>
  <c r="C314" i="17"/>
  <c r="C229" i="17"/>
  <c r="D256" i="20"/>
  <c r="D386" i="20"/>
  <c r="D366" i="20"/>
  <c r="D354" i="20"/>
  <c r="D390" i="20"/>
  <c r="D75" i="20"/>
  <c r="B392" i="18"/>
  <c r="C380" i="22"/>
  <c r="C356" i="22"/>
  <c r="C153" i="22"/>
  <c r="B457" i="18"/>
  <c r="C190" i="22"/>
  <c r="B114" i="18"/>
  <c r="C125" i="17"/>
  <c r="B74" i="18"/>
  <c r="C91" i="17"/>
  <c r="C130" i="22"/>
  <c r="B153" i="18"/>
  <c r="D325" i="20"/>
  <c r="C246" i="22"/>
  <c r="B441" i="18"/>
  <c r="B320" i="18"/>
  <c r="B240" i="18"/>
  <c r="C422" i="17"/>
  <c r="C451" i="22"/>
  <c r="B451" i="18"/>
  <c r="B436" i="18"/>
  <c r="B419" i="18"/>
  <c r="B403" i="18"/>
  <c r="C401" i="17"/>
  <c r="D401" i="20"/>
  <c r="C403" i="22"/>
  <c r="C386" i="22"/>
  <c r="B350" i="18"/>
  <c r="C332" i="22"/>
  <c r="B332" i="18"/>
  <c r="B295" i="18"/>
  <c r="C293" i="17"/>
  <c r="B276" i="18"/>
  <c r="C257" i="22"/>
  <c r="D221" i="20"/>
  <c r="B223" i="18"/>
  <c r="C223" i="22"/>
  <c r="C205" i="22"/>
  <c r="B205" i="18"/>
  <c r="C189" i="22"/>
  <c r="B189" i="18"/>
  <c r="C173" i="22"/>
  <c r="B173" i="18"/>
  <c r="C156" i="22"/>
  <c r="B156" i="18"/>
  <c r="C141" i="22"/>
  <c r="B141" i="18"/>
  <c r="D123" i="20"/>
  <c r="B125" i="18"/>
  <c r="C125" i="22"/>
  <c r="B109" i="18"/>
  <c r="C92" i="22"/>
  <c r="B92" i="18"/>
  <c r="B62" i="18"/>
  <c r="C62" i="22"/>
  <c r="B46" i="18"/>
  <c r="C30" i="22"/>
  <c r="B30" i="18"/>
  <c r="B14" i="18"/>
  <c r="D12" i="20"/>
  <c r="C14" i="22"/>
  <c r="C331" i="17"/>
  <c r="C98" i="17"/>
  <c r="C110" i="17"/>
  <c r="C264" i="17"/>
  <c r="C330" i="17"/>
  <c r="C249" i="17"/>
  <c r="C366" i="17"/>
  <c r="C182" i="17"/>
  <c r="D243" i="20"/>
  <c r="D423" i="20"/>
  <c r="D406" i="20"/>
  <c r="D305" i="20"/>
  <c r="D148" i="20"/>
  <c r="D350" i="20"/>
  <c r="D247" i="20"/>
  <c r="B408" i="18"/>
  <c r="B49" i="18"/>
  <c r="B321" i="18"/>
  <c r="B130" i="18"/>
  <c r="B57" i="18"/>
  <c r="C162" i="22"/>
  <c r="B217" i="18"/>
  <c r="B352" i="18"/>
  <c r="C102" i="17"/>
  <c r="C420" i="17"/>
  <c r="B140" i="18"/>
  <c r="C140" i="22"/>
  <c r="B124" i="18"/>
  <c r="C124" i="22"/>
  <c r="C108" i="22"/>
  <c r="B108" i="18"/>
  <c r="D89" i="20"/>
  <c r="B91" i="18"/>
  <c r="C89" i="17"/>
  <c r="C76" i="22"/>
  <c r="D74" i="20"/>
  <c r="B76" i="18"/>
  <c r="C61" i="22"/>
  <c r="B61" i="18"/>
  <c r="D59" i="20"/>
  <c r="C59" i="17"/>
  <c r="B45" i="18"/>
  <c r="C45" i="22"/>
  <c r="D27" i="20"/>
  <c r="C29" i="22"/>
  <c r="B13" i="18"/>
  <c r="C378" i="17"/>
  <c r="C160" i="17"/>
  <c r="D372" i="20"/>
  <c r="D420" i="20"/>
  <c r="D171" i="20"/>
  <c r="D332" i="20"/>
  <c r="D340" i="20"/>
  <c r="D139" i="20"/>
  <c r="D319" i="20"/>
  <c r="D206" i="20"/>
  <c r="D335" i="20"/>
  <c r="D46" i="20"/>
  <c r="D43" i="20"/>
  <c r="D384" i="20"/>
  <c r="B9" i="18"/>
  <c r="B81" i="18"/>
  <c r="B337" i="18"/>
  <c r="C302" i="22"/>
  <c r="C12" i="17"/>
  <c r="C306" i="22"/>
  <c r="B297" i="18"/>
  <c r="C168" i="22"/>
  <c r="C148" i="17"/>
  <c r="D293" i="20"/>
  <c r="D438" i="20"/>
  <c r="D124" i="20"/>
  <c r="B168" i="18"/>
  <c r="C390" i="17"/>
  <c r="B97" i="18"/>
  <c r="B353" i="18"/>
  <c r="C318" i="22"/>
  <c r="B162" i="18"/>
  <c r="D449" i="20"/>
  <c r="C209" i="17"/>
  <c r="B361" i="18"/>
  <c r="C455" i="17"/>
  <c r="C296" i="22"/>
  <c r="B32" i="18"/>
  <c r="C385" i="17"/>
  <c r="C425" i="22"/>
  <c r="C347" i="22"/>
  <c r="B347" i="18"/>
  <c r="B311" i="18"/>
  <c r="B292" i="18"/>
  <c r="C271" i="17"/>
  <c r="C273" i="22"/>
  <c r="C253" i="22"/>
  <c r="B253" i="18"/>
  <c r="B236" i="18"/>
  <c r="C236" i="22"/>
  <c r="C219" i="22"/>
  <c r="B219" i="18"/>
  <c r="C202" i="22"/>
  <c r="C186" i="22"/>
  <c r="C170" i="22"/>
  <c r="C138" i="22"/>
  <c r="C122" i="22"/>
  <c r="C120" i="17"/>
  <c r="D104" i="20"/>
  <c r="C106" i="22"/>
  <c r="D87" i="20"/>
  <c r="C74" i="22"/>
  <c r="D72" i="20"/>
  <c r="D57" i="20"/>
  <c r="B59" i="18"/>
  <c r="C43" i="22"/>
  <c r="D41" i="20"/>
  <c r="B43" i="18"/>
  <c r="D25" i="20"/>
  <c r="C27" i="22"/>
  <c r="D9" i="20"/>
  <c r="B11" i="18"/>
  <c r="C11" i="22"/>
  <c r="C356" i="17"/>
  <c r="C9" i="17"/>
  <c r="D359" i="20"/>
  <c r="D455" i="20"/>
  <c r="D154" i="20"/>
  <c r="D92" i="20"/>
  <c r="D239" i="20"/>
  <c r="D80" i="20"/>
  <c r="D60" i="20"/>
  <c r="B184" i="18"/>
  <c r="C444" i="22"/>
  <c r="C263" i="22"/>
  <c r="C188" i="17"/>
  <c r="C217" i="22"/>
  <c r="C334" i="22"/>
  <c r="B178" i="18"/>
  <c r="C449" i="17"/>
  <c r="B249" i="18"/>
  <c r="B48" i="18"/>
  <c r="B368" i="18"/>
  <c r="C375" i="17"/>
  <c r="C10" i="22"/>
  <c r="B10" i="18"/>
  <c r="D8" i="20"/>
  <c r="C215" i="17"/>
  <c r="C304" i="17"/>
  <c r="C187" i="17"/>
  <c r="C41" i="17"/>
  <c r="C227" i="17"/>
  <c r="C140" i="17"/>
  <c r="C412" i="17"/>
  <c r="C451" i="17"/>
  <c r="C348" i="17"/>
  <c r="C403" i="17"/>
  <c r="D403" i="20"/>
  <c r="D294" i="20"/>
  <c r="D451" i="20"/>
  <c r="D203" i="20"/>
  <c r="D222" i="20"/>
  <c r="D391" i="20"/>
  <c r="D315" i="20"/>
  <c r="D356" i="20"/>
  <c r="D145" i="20"/>
  <c r="D251" i="20"/>
  <c r="D309" i="20"/>
  <c r="D64" i="20"/>
  <c r="D122" i="20"/>
  <c r="D30" i="20"/>
  <c r="D95" i="20"/>
  <c r="B200" i="18"/>
  <c r="C333" i="22"/>
  <c r="C405" i="22"/>
  <c r="C279" i="22"/>
  <c r="C460" i="22"/>
  <c r="C350" i="22"/>
  <c r="B194" i="18"/>
  <c r="C437" i="17"/>
  <c r="C64" i="22"/>
  <c r="C350" i="17"/>
  <c r="C342" i="22"/>
  <c r="C376" i="22"/>
  <c r="B64" i="18"/>
  <c r="B430" i="18"/>
  <c r="C396" i="17"/>
  <c r="B398" i="18"/>
  <c r="C398" i="22"/>
  <c r="B380" i="18"/>
  <c r="B309" i="18"/>
  <c r="C309" i="22"/>
  <c r="C289" i="22"/>
  <c r="B271" i="18"/>
  <c r="D269" i="20"/>
  <c r="B251" i="18"/>
  <c r="C136" i="22"/>
  <c r="D134" i="20"/>
  <c r="C120" i="22"/>
  <c r="D118" i="20"/>
  <c r="D102" i="20"/>
  <c r="B87" i="18"/>
  <c r="D85" i="20"/>
  <c r="C87" i="22"/>
  <c r="D70" i="20"/>
  <c r="D23" i="20"/>
  <c r="C7" i="17"/>
  <c r="C8" i="12"/>
  <c r="C238" i="17"/>
  <c r="C107" i="17"/>
  <c r="C189" i="17"/>
  <c r="C261" i="17"/>
  <c r="C87" i="17"/>
  <c r="C340" i="17"/>
  <c r="D160" i="20"/>
  <c r="D304" i="20"/>
  <c r="D419" i="20"/>
  <c r="D295" i="20"/>
  <c r="D140" i="20"/>
  <c r="D439" i="20"/>
  <c r="D369" i="20"/>
  <c r="D32" i="20"/>
  <c r="D14" i="20"/>
  <c r="D106" i="20"/>
  <c r="C234" i="17"/>
  <c r="C421" i="22"/>
  <c r="C295" i="22"/>
  <c r="C200" i="22"/>
  <c r="C249" i="22"/>
  <c r="C13" i="22"/>
  <c r="B210" i="18"/>
  <c r="C388" i="17"/>
  <c r="C224" i="22"/>
  <c r="B29" i="18"/>
  <c r="B377" i="18"/>
  <c r="C156" i="17"/>
  <c r="C345" i="17"/>
  <c r="C417" i="17"/>
  <c r="C74" i="17"/>
  <c r="C441" i="17"/>
  <c r="C217" i="17"/>
  <c r="D412" i="20"/>
  <c r="D255" i="20"/>
  <c r="D341" i="20"/>
  <c r="D349" i="20"/>
  <c r="D338" i="20"/>
  <c r="D442" i="20"/>
  <c r="D62" i="20"/>
  <c r="D55" i="20"/>
  <c r="D441" i="20"/>
  <c r="C349" i="17"/>
  <c r="B161" i="18"/>
  <c r="C311" i="22"/>
  <c r="C281" i="22"/>
  <c r="C77" i="22"/>
  <c r="C414" i="22"/>
  <c r="B226" i="18"/>
  <c r="C138" i="17"/>
  <c r="C240" i="22"/>
  <c r="C62" i="17"/>
  <c r="C269" i="17"/>
  <c r="B170" i="18"/>
  <c r="C377" i="22"/>
  <c r="C386" i="17"/>
  <c r="C345" i="22"/>
  <c r="B428" i="18"/>
  <c r="B412" i="18"/>
  <c r="B396" i="18"/>
  <c r="C394" i="17"/>
  <c r="B324" i="18"/>
  <c r="B307" i="18"/>
  <c r="C307" i="22"/>
  <c r="B287" i="18"/>
  <c r="D285" i="20"/>
  <c r="C269" i="22"/>
  <c r="B269" i="18"/>
  <c r="C232" i="22"/>
  <c r="B215" i="18"/>
  <c r="C213" i="17"/>
  <c r="B198" i="18"/>
  <c r="C196" i="17"/>
  <c r="B182" i="18"/>
  <c r="D180" i="20"/>
  <c r="C180" i="17"/>
  <c r="D163" i="20"/>
  <c r="B165" i="18"/>
  <c r="C165" i="22"/>
  <c r="D132" i="20"/>
  <c r="C134" i="22"/>
  <c r="B134" i="18"/>
  <c r="B118" i="18"/>
  <c r="B101" i="18"/>
  <c r="C101" i="22"/>
  <c r="B85" i="18"/>
  <c r="D83" i="20"/>
  <c r="C70" i="22"/>
  <c r="D68" i="20"/>
  <c r="B70" i="18"/>
  <c r="C55" i="22"/>
  <c r="B55" i="18"/>
  <c r="C38" i="22"/>
  <c r="B38" i="18"/>
  <c r="D36" i="20"/>
  <c r="D21" i="20"/>
  <c r="B23" i="18"/>
  <c r="C23" i="22"/>
  <c r="C21" i="17"/>
  <c r="C93" i="17"/>
  <c r="C77" i="17"/>
  <c r="C141" i="17"/>
  <c r="C99" i="17"/>
  <c r="C212" i="17"/>
  <c r="C134" i="17"/>
  <c r="C316" i="17"/>
  <c r="C230" i="17"/>
  <c r="D374" i="20"/>
  <c r="D190" i="20"/>
  <c r="D200" i="20"/>
  <c r="D277" i="20"/>
  <c r="D15" i="20"/>
  <c r="D44" i="20"/>
  <c r="D458" i="20"/>
  <c r="B248" i="18"/>
  <c r="C124" i="17"/>
  <c r="C285" i="17"/>
  <c r="C150" i="22"/>
  <c r="C327" i="22"/>
  <c r="C248" i="22"/>
  <c r="C25" i="22"/>
  <c r="C59" i="22"/>
  <c r="C109" i="22"/>
  <c r="C446" i="22"/>
  <c r="B242" i="18"/>
  <c r="C106" i="17"/>
  <c r="B138" i="18"/>
  <c r="C203" i="17"/>
  <c r="B234" i="18"/>
  <c r="C453" i="22"/>
  <c r="C390" i="22"/>
  <c r="B112" i="18"/>
  <c r="C307" i="17"/>
  <c r="C361" i="22"/>
  <c r="C427" i="22"/>
  <c r="B427" i="18"/>
  <c r="C409" i="17"/>
  <c r="B395" i="18"/>
  <c r="B358" i="18"/>
  <c r="C323" i="22"/>
  <c r="B323" i="18"/>
  <c r="B286" i="18"/>
  <c r="B268" i="18"/>
  <c r="C268" i="22"/>
  <c r="B231" i="18"/>
  <c r="D229" i="20"/>
  <c r="B197" i="18"/>
  <c r="C197" i="22"/>
  <c r="C195" i="17"/>
  <c r="D179" i="20"/>
  <c r="B181" i="18"/>
  <c r="B164" i="18"/>
  <c r="C164" i="22"/>
  <c r="C149" i="22"/>
  <c r="B149" i="18"/>
  <c r="D131" i="20"/>
  <c r="B133" i="18"/>
  <c r="C133" i="22"/>
  <c r="C117" i="22"/>
  <c r="B117" i="18"/>
  <c r="B84" i="18"/>
  <c r="C84" i="22"/>
  <c r="B54" i="18"/>
  <c r="C54" i="22"/>
  <c r="C52" i="17"/>
  <c r="B37" i="18"/>
  <c r="C37" i="22"/>
  <c r="C22" i="22"/>
  <c r="B22" i="18"/>
  <c r="C239" i="17"/>
  <c r="C166" i="17"/>
  <c r="C442" i="17"/>
  <c r="C176" i="17"/>
  <c r="C368" i="17"/>
  <c r="D452" i="20"/>
  <c r="D259" i="20"/>
  <c r="D204" i="20"/>
  <c r="D212" i="20"/>
  <c r="D241" i="20"/>
  <c r="D279" i="20"/>
  <c r="D115" i="20"/>
  <c r="D297" i="20"/>
  <c r="D368" i="20"/>
  <c r="D28" i="20"/>
  <c r="D50" i="20"/>
  <c r="D157" i="20"/>
  <c r="D266" i="20"/>
  <c r="C395" i="22"/>
  <c r="C60" i="17"/>
  <c r="C182" i="22"/>
  <c r="C343" i="22"/>
  <c r="C41" i="22"/>
  <c r="C91" i="22"/>
  <c r="B258" i="18"/>
  <c r="C90" i="17"/>
  <c r="B202" i="18"/>
  <c r="C179" i="17"/>
  <c r="D7" i="20"/>
  <c r="C406" i="22"/>
  <c r="B128" i="18"/>
  <c r="B25" i="18"/>
  <c r="B446" i="18"/>
  <c r="D198" i="20"/>
  <c r="D428" i="20"/>
  <c r="D147" i="20"/>
  <c r="D314" i="20"/>
  <c r="D284" i="20"/>
  <c r="D108" i="20"/>
  <c r="B296" i="18"/>
  <c r="C411" i="22"/>
  <c r="C92" i="17"/>
  <c r="C198" i="22"/>
  <c r="C359" i="22"/>
  <c r="C57" i="22"/>
  <c r="B41" i="18"/>
  <c r="C61" i="17"/>
  <c r="B414" i="18"/>
  <c r="C422" i="22"/>
  <c r="C208" i="17"/>
  <c r="B144" i="18"/>
  <c r="B306" i="18"/>
  <c r="C11" i="17"/>
  <c r="C434" i="17"/>
  <c r="B409" i="18"/>
  <c r="C407" i="17"/>
  <c r="B374" i="18"/>
  <c r="B356" i="18"/>
  <c r="C339" i="22"/>
  <c r="B339" i="18"/>
  <c r="B302" i="18"/>
  <c r="B246" i="18"/>
  <c r="C211" i="22"/>
  <c r="B211" i="18"/>
  <c r="C195" i="22"/>
  <c r="D193" i="20"/>
  <c r="B195" i="18"/>
  <c r="B179" i="18"/>
  <c r="C179" i="22"/>
  <c r="C177" i="17"/>
  <c r="C147" i="22"/>
  <c r="B147" i="18"/>
  <c r="D113" i="20"/>
  <c r="B115" i="18"/>
  <c r="C115" i="22"/>
  <c r="D96" i="20"/>
  <c r="C96" i="17"/>
  <c r="C98" i="22"/>
  <c r="C35" i="22"/>
  <c r="B35" i="18"/>
  <c r="C33" i="17"/>
  <c r="C151" i="17"/>
  <c r="C369" i="17"/>
  <c r="C372" i="17"/>
  <c r="C357" i="17"/>
  <c r="D351" i="20"/>
  <c r="D155" i="20"/>
  <c r="D322" i="20"/>
  <c r="D156" i="20"/>
  <c r="D343" i="20"/>
  <c r="D151" i="20"/>
  <c r="D166" i="20"/>
  <c r="D172" i="20"/>
  <c r="D396" i="20"/>
  <c r="D39" i="20"/>
  <c r="D274" i="20"/>
  <c r="C443" i="22"/>
  <c r="C271" i="22"/>
  <c r="C14" i="17"/>
  <c r="B225" i="18"/>
  <c r="C436" i="22"/>
  <c r="C214" i="22"/>
  <c r="D385" i="20"/>
  <c r="C251" i="17"/>
  <c r="B345" i="18"/>
  <c r="C100" i="22"/>
  <c r="B281" i="18"/>
  <c r="C438" i="22"/>
  <c r="C232" i="17"/>
  <c r="C457" i="22"/>
  <c r="B340" i="18"/>
  <c r="B425" i="18"/>
  <c r="B284" i="18"/>
  <c r="C266" i="22"/>
  <c r="C229" i="22"/>
  <c r="B229" i="18"/>
  <c r="B131" i="18"/>
  <c r="C131" i="22"/>
  <c r="D129" i="20"/>
  <c r="C52" i="22"/>
  <c r="B52" i="18"/>
  <c r="C20" i="22"/>
  <c r="B20" i="18"/>
  <c r="C272" i="12"/>
  <c r="C160" i="12"/>
  <c r="C112" i="12"/>
  <c r="C96" i="12"/>
  <c r="C80" i="12"/>
  <c r="B440" i="18"/>
  <c r="C408" i="22"/>
  <c r="C373" i="22"/>
  <c r="B373" i="18"/>
  <c r="C355" i="22"/>
  <c r="D353" i="20"/>
  <c r="B355" i="18"/>
  <c r="C320" i="22"/>
  <c r="C318" i="17"/>
  <c r="B301" i="18"/>
  <c r="B263" i="18"/>
  <c r="C245" i="22"/>
  <c r="B245" i="18"/>
  <c r="D159" i="20"/>
  <c r="C161" i="22"/>
  <c r="C146" i="22"/>
  <c r="C114" i="22"/>
  <c r="C81" i="22"/>
  <c r="B68" i="18"/>
  <c r="D66" i="20"/>
  <c r="C68" i="22"/>
  <c r="B51" i="18"/>
  <c r="C51" i="22"/>
  <c r="D49" i="20"/>
  <c r="C34" i="22"/>
  <c r="B19" i="18"/>
  <c r="C19" i="22"/>
  <c r="C17" i="17"/>
  <c r="C171" i="17"/>
  <c r="C255" i="17"/>
  <c r="C28" i="17"/>
  <c r="C154" i="17"/>
  <c r="C116" i="17"/>
  <c r="C341" i="17"/>
  <c r="C332" i="17"/>
  <c r="C335" i="17"/>
  <c r="C20" i="17"/>
  <c r="C53" i="17"/>
  <c r="C55" i="17"/>
  <c r="D393" i="20"/>
  <c r="D208" i="20"/>
  <c r="D290" i="20"/>
  <c r="D213" i="20"/>
  <c r="D144" i="20"/>
  <c r="D238" i="20"/>
  <c r="D426" i="20"/>
  <c r="D126" i="20"/>
  <c r="D91" i="20"/>
  <c r="D53" i="20"/>
  <c r="D120" i="20"/>
  <c r="D18" i="20"/>
  <c r="D410" i="20"/>
  <c r="D444" i="20"/>
  <c r="C287" i="22"/>
  <c r="B422" i="18"/>
  <c r="B241" i="18"/>
  <c r="C89" i="22"/>
  <c r="C46" i="22"/>
  <c r="B27" i="18"/>
  <c r="D417" i="20"/>
  <c r="C139" i="17"/>
  <c r="C228" i="22"/>
  <c r="B122" i="18"/>
  <c r="C454" i="22"/>
  <c r="C82" i="17"/>
  <c r="B176" i="18"/>
  <c r="B370" i="18"/>
  <c r="C319" i="17"/>
  <c r="C259" i="17"/>
  <c r="C297" i="12"/>
  <c r="C333" i="12"/>
  <c r="C369" i="12"/>
  <c r="C302" i="12"/>
  <c r="C365" i="12"/>
  <c r="C53" i="12"/>
  <c r="C37" i="12"/>
  <c r="C318" i="12"/>
  <c r="C457" i="12"/>
  <c r="C441" i="12"/>
  <c r="C425" i="12"/>
  <c r="C409" i="12"/>
  <c r="C393" i="12"/>
  <c r="C439" i="12"/>
  <c r="C407" i="12"/>
  <c r="C391" i="12"/>
  <c r="C382" i="12"/>
  <c r="C348" i="12"/>
  <c r="C284" i="12"/>
  <c r="C252" i="12"/>
  <c r="C235" i="12"/>
  <c r="C217" i="12"/>
  <c r="C372" i="12"/>
  <c r="C402" i="12"/>
  <c r="C216" i="12"/>
  <c r="C199" i="12"/>
  <c r="C135" i="12"/>
  <c r="C119" i="12"/>
  <c r="C103" i="12"/>
  <c r="C442" i="12"/>
  <c r="C426" i="12"/>
  <c r="C410" i="12"/>
  <c r="C394" i="12"/>
  <c r="C326" i="12"/>
  <c r="C454" i="12"/>
  <c r="C271" i="12"/>
  <c r="C367" i="12"/>
  <c r="C437" i="12"/>
  <c r="C421" i="12"/>
  <c r="C405" i="12"/>
  <c r="C389" i="12"/>
  <c r="C173" i="12"/>
  <c r="C381" i="12"/>
  <c r="C435" i="12"/>
  <c r="C419" i="12"/>
  <c r="C403" i="12"/>
  <c r="C344" i="12"/>
  <c r="C309" i="12"/>
  <c r="C290" i="12"/>
  <c r="C370" i="12"/>
  <c r="C436" i="12"/>
  <c r="C420" i="12"/>
  <c r="C404" i="12"/>
  <c r="C315" i="12"/>
  <c r="C379" i="12"/>
  <c r="B11" i="13" a="1"/>
  <c r="B11" i="13" s="1"/>
  <c r="C296" i="12"/>
  <c r="C446" i="12"/>
  <c r="C181" i="12"/>
  <c r="C443" i="12"/>
  <c r="C427" i="12"/>
  <c r="C411" i="12"/>
  <c r="C395" i="12"/>
  <c r="C208" i="12"/>
  <c r="C453" i="12"/>
  <c r="C384" i="12"/>
  <c r="C12" i="12"/>
  <c r="C292" i="12"/>
  <c r="C11" i="12"/>
  <c r="C10" i="12"/>
  <c r="C9" i="12"/>
  <c r="C286" i="12"/>
  <c r="C133" i="12"/>
  <c r="C69" i="12"/>
  <c r="C213" i="12"/>
  <c r="C147" i="12"/>
  <c r="C451" i="12"/>
  <c r="C366" i="12"/>
  <c r="C301" i="12"/>
  <c r="C459" i="12"/>
  <c r="C440" i="12"/>
  <c r="C424" i="12"/>
  <c r="C408" i="12"/>
  <c r="C392" i="12"/>
  <c r="C146" i="12"/>
  <c r="C114" i="12"/>
  <c r="C34" i="12"/>
  <c r="C385" i="12"/>
  <c r="C293" i="12"/>
  <c r="C226" i="12"/>
  <c r="C148" i="12"/>
  <c r="C82" i="12"/>
  <c r="C287" i="12"/>
  <c r="C212" i="12"/>
  <c r="C68" i="12"/>
  <c r="C277" i="12"/>
  <c r="C207" i="12"/>
  <c r="C132" i="12"/>
  <c r="C62" i="12"/>
  <c r="C363" i="12"/>
  <c r="C276" i="12"/>
  <c r="C197" i="12"/>
  <c r="C347" i="12"/>
  <c r="C196" i="12"/>
  <c r="C126" i="12"/>
  <c r="C52" i="12"/>
  <c r="C423" i="12"/>
  <c r="C343" i="12"/>
  <c r="C267" i="12"/>
  <c r="C189" i="12"/>
  <c r="C43" i="12"/>
  <c r="C341" i="12"/>
  <c r="C261" i="12"/>
  <c r="C188" i="12"/>
  <c r="C116" i="12"/>
  <c r="C38" i="12"/>
  <c r="C340" i="12"/>
  <c r="C260" i="12"/>
  <c r="C325" i="12"/>
  <c r="C246" i="12"/>
  <c r="C180" i="12"/>
  <c r="C102" i="12"/>
  <c r="C36" i="12"/>
  <c r="C63" i="12"/>
  <c r="C324" i="12"/>
  <c r="C245" i="12"/>
  <c r="C167" i="12"/>
  <c r="C101" i="12"/>
  <c r="C244" i="12"/>
  <c r="C166" i="12"/>
  <c r="C100" i="12"/>
  <c r="C308" i="12"/>
  <c r="C229" i="12"/>
  <c r="C165" i="12"/>
  <c r="C85" i="12"/>
  <c r="C306" i="12"/>
  <c r="C228" i="12"/>
  <c r="C164" i="12"/>
  <c r="C84" i="12"/>
  <c r="C464" i="12"/>
  <c r="C305" i="12"/>
  <c r="C227" i="12"/>
  <c r="C149" i="12"/>
  <c r="C83" i="12"/>
  <c r="C13" i="12"/>
  <c r="C383" i="12"/>
  <c r="C342" i="12"/>
  <c r="C323" i="12"/>
  <c r="C304" i="12"/>
  <c r="C285" i="12"/>
  <c r="C225" i="12"/>
  <c r="C206" i="12"/>
  <c r="C145" i="12"/>
  <c r="C81" i="12"/>
  <c r="C61" i="12"/>
  <c r="C461" i="12"/>
  <c r="C401" i="12"/>
  <c r="C322" i="12"/>
  <c r="C303" i="12"/>
  <c r="C262" i="12"/>
  <c r="C243" i="12"/>
  <c r="C224" i="12"/>
  <c r="C205" i="12"/>
  <c r="C183" i="12"/>
  <c r="C144" i="12"/>
  <c r="C460" i="12"/>
  <c r="C400" i="12"/>
  <c r="C359" i="12"/>
  <c r="C321" i="12"/>
  <c r="C283" i="12"/>
  <c r="C242" i="12"/>
  <c r="C223" i="12"/>
  <c r="C182" i="12"/>
  <c r="C163" i="12"/>
  <c r="C123" i="12"/>
  <c r="C99" i="12"/>
  <c r="C35" i="12"/>
  <c r="C445" i="12"/>
  <c r="C418" i="12"/>
  <c r="C399" i="12"/>
  <c r="C358" i="12"/>
  <c r="C339" i="12"/>
  <c r="C320" i="12"/>
  <c r="C279" i="12"/>
  <c r="C241" i="12"/>
  <c r="C203" i="12"/>
  <c r="C162" i="12"/>
  <c r="C142" i="12"/>
  <c r="C78" i="12"/>
  <c r="C477" i="12"/>
  <c r="C417" i="12"/>
  <c r="C398" i="12"/>
  <c r="C357" i="12"/>
  <c r="C338" i="12"/>
  <c r="C319" i="12"/>
  <c r="C259" i="12"/>
  <c r="C240" i="12"/>
  <c r="C161" i="12"/>
  <c r="C141" i="12"/>
  <c r="C97" i="12"/>
  <c r="C33" i="12"/>
  <c r="C476" i="12"/>
  <c r="C416" i="12"/>
  <c r="C397" i="12"/>
  <c r="C375" i="12"/>
  <c r="C356" i="12"/>
  <c r="C337" i="12"/>
  <c r="C299" i="12"/>
  <c r="C258" i="12"/>
  <c r="C198" i="12"/>
  <c r="C179" i="12"/>
  <c r="C32" i="12"/>
  <c r="C434" i="12"/>
  <c r="C415" i="12"/>
  <c r="C396" i="12"/>
  <c r="C374" i="12"/>
  <c r="C355" i="12"/>
  <c r="C336" i="12"/>
  <c r="C295" i="12"/>
  <c r="C257" i="12"/>
  <c r="C238" i="12"/>
  <c r="C178" i="12"/>
  <c r="C139" i="12"/>
  <c r="C115" i="12"/>
  <c r="C95" i="12"/>
  <c r="C75" i="12"/>
  <c r="C51" i="12"/>
  <c r="C31" i="12"/>
  <c r="C28" i="12"/>
  <c r="C433" i="12"/>
  <c r="C414" i="12"/>
  <c r="C373" i="12"/>
  <c r="C354" i="12"/>
  <c r="C316" i="12"/>
  <c r="C294" i="12"/>
  <c r="C275" i="12"/>
  <c r="C256" i="12"/>
  <c r="C215" i="12"/>
  <c r="C177" i="12"/>
  <c r="C94" i="12"/>
  <c r="C50" i="12"/>
  <c r="C30" i="12"/>
  <c r="C27" i="12"/>
  <c r="C470" i="12"/>
  <c r="C432" i="12"/>
  <c r="C413" i="12"/>
  <c r="C353" i="12"/>
  <c r="C334" i="12"/>
  <c r="C274" i="12"/>
  <c r="C255" i="12"/>
  <c r="C214" i="12"/>
  <c r="C195" i="12"/>
  <c r="C176" i="12"/>
  <c r="C113" i="12"/>
  <c r="C49" i="12"/>
  <c r="C29" i="12"/>
  <c r="C20" i="12"/>
  <c r="C346" i="12"/>
  <c r="C330" i="12"/>
  <c r="C314" i="12"/>
  <c r="C282" i="12"/>
  <c r="C266" i="12"/>
  <c r="C250" i="12"/>
  <c r="C234" i="12"/>
  <c r="C202" i="12"/>
  <c r="C170" i="12"/>
  <c r="C154" i="12"/>
  <c r="C138" i="12"/>
  <c r="C122" i="12"/>
  <c r="C106" i="12"/>
  <c r="C74" i="12"/>
  <c r="C26" i="12"/>
  <c r="C450" i="12"/>
  <c r="C431" i="12"/>
  <c r="C412" i="12"/>
  <c r="C371" i="12"/>
  <c r="C352" i="12"/>
  <c r="C273" i="12"/>
  <c r="C194" i="12"/>
  <c r="C19" i="12"/>
  <c r="C345" i="12"/>
  <c r="C329" i="12"/>
  <c r="C281" i="12"/>
  <c r="C265" i="12"/>
  <c r="C249" i="12"/>
  <c r="C233" i="12"/>
  <c r="C201" i="12"/>
  <c r="C169" i="12"/>
  <c r="C153" i="12"/>
  <c r="C137" i="12"/>
  <c r="C121" i="12"/>
  <c r="C105" i="12"/>
  <c r="C73" i="12"/>
  <c r="C57" i="12"/>
  <c r="C25" i="12"/>
  <c r="C449" i="12"/>
  <c r="C430" i="12"/>
  <c r="C351" i="12"/>
  <c r="C310" i="12"/>
  <c r="C291" i="12"/>
  <c r="C193" i="12"/>
  <c r="C174" i="12"/>
  <c r="C131" i="12"/>
  <c r="C67" i="12"/>
  <c r="C248" i="12"/>
  <c r="C232" i="12"/>
  <c r="C168" i="12"/>
  <c r="C136" i="12"/>
  <c r="C120" i="12"/>
  <c r="C104" i="12"/>
  <c r="C72" i="12"/>
  <c r="C24" i="12"/>
  <c r="C377" i="12"/>
  <c r="C361" i="12"/>
  <c r="C448" i="12"/>
  <c r="C429" i="12"/>
  <c r="C388" i="12"/>
  <c r="C350" i="12"/>
  <c r="C331" i="12"/>
  <c r="C230" i="12"/>
  <c r="C211" i="12"/>
  <c r="C192" i="12"/>
  <c r="C150" i="12"/>
  <c r="C130" i="12"/>
  <c r="C110" i="12"/>
  <c r="C86" i="12"/>
  <c r="C66" i="12"/>
  <c r="C46" i="12"/>
  <c r="C328" i="12"/>
  <c r="C17" i="12"/>
  <c r="C151" i="12"/>
  <c r="C71" i="12"/>
  <c r="C376" i="12"/>
  <c r="C360" i="12"/>
  <c r="C466" i="12"/>
  <c r="C447" i="12"/>
  <c r="C428" i="12"/>
  <c r="C387" i="12"/>
  <c r="C368" i="12"/>
  <c r="C327" i="12"/>
  <c r="C289" i="12"/>
  <c r="C270" i="12"/>
  <c r="C251" i="12"/>
  <c r="C210" i="12"/>
  <c r="C191" i="12"/>
  <c r="C129" i="12"/>
  <c r="C109" i="12"/>
  <c r="C65" i="12"/>
  <c r="C18" i="12"/>
  <c r="C465" i="12"/>
  <c r="C307" i="12"/>
  <c r="C288" i="12"/>
  <c r="C247" i="12"/>
  <c r="C209" i="12"/>
  <c r="C190" i="12"/>
  <c r="C171" i="12"/>
  <c r="C128" i="12"/>
  <c r="C108" i="12"/>
  <c r="C64" i="12"/>
  <c r="C21" i="12"/>
  <c r="C14" i="12"/>
  <c r="C378" i="12"/>
  <c r="C362" i="12"/>
  <c r="J191" i="12" l="1"/>
  <c r="J223" i="12"/>
  <c r="J305" i="12"/>
  <c r="J65" i="12"/>
  <c r="J158" i="12"/>
  <c r="J395" i="12"/>
  <c r="J442" i="12"/>
  <c r="J103" i="12"/>
  <c r="J108" i="12"/>
  <c r="J131" i="12"/>
  <c r="J340" i="12"/>
  <c r="J463" i="12"/>
  <c r="J245" i="12"/>
  <c r="J75" i="12"/>
  <c r="J98" i="12"/>
  <c r="J330" i="12"/>
  <c r="J155" i="12"/>
  <c r="J222" i="12"/>
  <c r="J335" i="12"/>
  <c r="J241" i="12"/>
  <c r="J145" i="12"/>
  <c r="J433" i="12"/>
  <c r="J370" i="12"/>
  <c r="J66" i="12"/>
  <c r="J130" i="12"/>
  <c r="J258" i="12"/>
  <c r="J39" i="12"/>
  <c r="J26" i="12"/>
  <c r="J154" i="12"/>
  <c r="J171" i="12"/>
  <c r="J283" i="12"/>
  <c r="J427" i="12"/>
  <c r="J60" i="12"/>
  <c r="J156" i="12"/>
  <c r="J268" i="12"/>
  <c r="J412" i="12"/>
  <c r="J45" i="12"/>
  <c r="J402" i="12"/>
  <c r="J466" i="12"/>
  <c r="J35" i="12"/>
  <c r="J163" i="12"/>
  <c r="J13" i="12"/>
  <c r="J180" i="12"/>
  <c r="J357" i="12"/>
  <c r="J15" i="12"/>
  <c r="J38" i="12"/>
  <c r="J214" i="12"/>
  <c r="J119" i="12"/>
  <c r="J121" i="12"/>
  <c r="J173" i="12"/>
  <c r="J301" i="12"/>
  <c r="J414" i="12"/>
  <c r="J80" i="12"/>
  <c r="J467" i="12"/>
  <c r="J360" i="12"/>
  <c r="J256" i="12"/>
  <c r="J139" i="12"/>
  <c r="J14" i="12"/>
  <c r="J289" i="12"/>
  <c r="J447" i="12"/>
  <c r="J379" i="12"/>
  <c r="J244" i="12"/>
  <c r="J421" i="12"/>
  <c r="J449" i="12"/>
  <c r="J386" i="12"/>
  <c r="J82" i="12"/>
  <c r="J210" i="12"/>
  <c r="J274" i="12"/>
  <c r="J338" i="12"/>
  <c r="J71" i="12"/>
  <c r="J343" i="12"/>
  <c r="J377" i="12"/>
  <c r="J201" i="12"/>
  <c r="J58" i="12"/>
  <c r="J186" i="12"/>
  <c r="J203" i="12"/>
  <c r="J315" i="12"/>
  <c r="J460" i="12"/>
  <c r="J355" i="12"/>
  <c r="J261" i="12"/>
  <c r="J169" i="12"/>
  <c r="J221" i="12"/>
  <c r="J333" i="12"/>
  <c r="J110" i="12"/>
  <c r="J254" i="12"/>
  <c r="J272" i="12"/>
  <c r="J417" i="12"/>
  <c r="J114" i="12"/>
  <c r="J178" i="12"/>
  <c r="J242" i="12"/>
  <c r="J102" i="12"/>
  <c r="J342" i="12"/>
  <c r="J375" i="12"/>
  <c r="J135" i="12"/>
  <c r="J279" i="12"/>
  <c r="J136" i="12"/>
  <c r="J411" i="12"/>
  <c r="J28" i="12"/>
  <c r="J124" i="12"/>
  <c r="J236" i="12"/>
  <c r="J381" i="12"/>
  <c r="J141" i="12"/>
  <c r="J450" i="12"/>
  <c r="J387" i="12"/>
  <c r="J83" i="12"/>
  <c r="J147" i="12"/>
  <c r="J211" i="12"/>
  <c r="J275" i="12"/>
  <c r="J339" i="12"/>
  <c r="J148" i="12"/>
  <c r="J260" i="12"/>
  <c r="J420" i="12"/>
  <c r="J149" i="12"/>
  <c r="J325" i="12"/>
  <c r="J358" i="12"/>
  <c r="J166" i="12"/>
  <c r="J438" i="12"/>
  <c r="J327" i="12"/>
  <c r="J40" i="12"/>
  <c r="J200" i="12"/>
  <c r="J392" i="12"/>
  <c r="J73" i="12"/>
  <c r="J233" i="12"/>
  <c r="J444" i="12"/>
  <c r="J285" i="12"/>
  <c r="J413" i="12"/>
  <c r="J30" i="12"/>
  <c r="J174" i="12"/>
  <c r="J318" i="12"/>
  <c r="J47" i="12"/>
  <c r="J255" i="12"/>
  <c r="J384" i="12"/>
  <c r="J192" i="12"/>
  <c r="J369" i="12"/>
  <c r="J451" i="12"/>
  <c r="J36" i="12"/>
  <c r="J16" i="12"/>
  <c r="J23" i="12"/>
  <c r="J24" i="12"/>
  <c r="J428" i="12"/>
  <c r="J46" i="12"/>
  <c r="J350" i="12"/>
  <c r="J185" i="12"/>
  <c r="J138" i="12"/>
  <c r="J293" i="12"/>
  <c r="J471" i="12"/>
  <c r="J372" i="12"/>
  <c r="J468" i="12"/>
  <c r="J165" i="12"/>
  <c r="J470" i="12"/>
  <c r="J104" i="12"/>
  <c r="J393" i="12"/>
  <c r="J219" i="12"/>
  <c r="J61" i="12"/>
  <c r="J431" i="12"/>
  <c r="J367" i="12"/>
  <c r="J353" i="12"/>
  <c r="J378" i="12"/>
  <c r="J326" i="12"/>
  <c r="J376" i="12"/>
  <c r="J195" i="12"/>
  <c r="J253" i="12"/>
  <c r="J249" i="12"/>
  <c r="J465" i="12"/>
  <c r="J204" i="12"/>
  <c r="J109" i="12"/>
  <c r="J323" i="12"/>
  <c r="J116" i="12"/>
  <c r="J137" i="12"/>
  <c r="J324" i="12"/>
  <c r="J269" i="12"/>
  <c r="J175" i="12"/>
  <c r="J176" i="12"/>
  <c r="J273" i="12"/>
  <c r="J77" i="12"/>
  <c r="J84" i="12"/>
  <c r="J196" i="12"/>
  <c r="J22" i="12"/>
  <c r="J310" i="12"/>
  <c r="J42" i="12"/>
  <c r="J170" i="12"/>
  <c r="J396" i="12"/>
  <c r="J382" i="12"/>
  <c r="J302" i="12"/>
  <c r="J96" i="12"/>
  <c r="J432" i="12"/>
  <c r="J72" i="12"/>
  <c r="J212" i="12"/>
  <c r="J361" i="12"/>
  <c r="J380" i="12"/>
  <c r="J319" i="12"/>
  <c r="J257" i="12"/>
  <c r="J132" i="12"/>
  <c r="J213" i="12"/>
  <c r="J469" i="12"/>
  <c r="J231" i="12"/>
  <c r="J364" i="12"/>
  <c r="J67" i="12"/>
  <c r="J259" i="12"/>
  <c r="J247" i="12"/>
  <c r="J41" i="12"/>
  <c r="J217" i="12"/>
  <c r="J286" i="12"/>
  <c r="J383" i="12"/>
  <c r="J304" i="12"/>
  <c r="J150" i="12"/>
  <c r="J151" i="12"/>
  <c r="J17" i="12"/>
  <c r="J264" i="12"/>
  <c r="J472" i="12"/>
  <c r="J314" i="12"/>
  <c r="J44" i="12"/>
  <c r="J220" i="12"/>
  <c r="J189" i="12"/>
  <c r="J317" i="12"/>
  <c r="J31" i="12"/>
  <c r="J240" i="12"/>
  <c r="J177" i="12"/>
  <c r="J238" i="12"/>
  <c r="J425" i="12"/>
  <c r="J68" i="12"/>
  <c r="J452" i="12"/>
  <c r="J53" i="12"/>
  <c r="J133" i="12"/>
  <c r="J229" i="12"/>
  <c r="J341" i="12"/>
  <c r="J374" i="12"/>
  <c r="J278" i="12"/>
  <c r="J87" i="12"/>
  <c r="J311" i="12"/>
  <c r="J88" i="12"/>
  <c r="J232" i="12"/>
  <c r="J282" i="12"/>
  <c r="J332" i="12"/>
  <c r="J351" i="12"/>
  <c r="J303" i="12"/>
  <c r="J474" i="12"/>
  <c r="J164" i="12"/>
  <c r="J118" i="12"/>
  <c r="J455" i="12"/>
  <c r="J424" i="12"/>
  <c r="J157" i="12"/>
  <c r="J477" i="12"/>
  <c r="J270" i="12"/>
  <c r="J64" i="12"/>
  <c r="J49" i="12"/>
  <c r="J445" i="12"/>
  <c r="J95" i="12"/>
  <c r="J349" i="12"/>
  <c r="J366" i="12"/>
  <c r="J142" i="12"/>
  <c r="J206" i="12"/>
  <c r="J224" i="12"/>
  <c r="J99" i="12"/>
  <c r="J457" i="12"/>
  <c r="J202" i="12"/>
  <c r="J235" i="12"/>
  <c r="J371" i="12"/>
  <c r="J69" i="12"/>
  <c r="J62" i="12"/>
  <c r="J322" i="12"/>
  <c r="J34" i="12"/>
  <c r="J162" i="12"/>
  <c r="J226" i="12"/>
  <c r="J290" i="12"/>
  <c r="J328" i="12"/>
  <c r="J365" i="12"/>
  <c r="J434" i="12"/>
  <c r="J122" i="12"/>
  <c r="J265" i="12"/>
  <c r="J309" i="12"/>
  <c r="J389" i="12"/>
  <c r="J234" i="12"/>
  <c r="J228" i="12"/>
  <c r="J436" i="12"/>
  <c r="J197" i="12"/>
  <c r="J263" i="12"/>
  <c r="J89" i="12"/>
  <c r="J475" i="12"/>
  <c r="J400" i="12"/>
  <c r="J359" i="12"/>
  <c r="J57" i="12"/>
  <c r="J90" i="12"/>
  <c r="J347" i="12"/>
  <c r="J316" i="12"/>
  <c r="J362" i="12"/>
  <c r="J25" i="12"/>
  <c r="J218" i="12"/>
  <c r="J63" i="12"/>
  <c r="J408" i="12"/>
  <c r="J105" i="12"/>
  <c r="J20" i="12"/>
  <c r="J346" i="12"/>
  <c r="J207" i="12"/>
  <c r="J144" i="12"/>
  <c r="J435" i="12"/>
  <c r="J405" i="12"/>
  <c r="J297" i="12"/>
  <c r="J267" i="12"/>
  <c r="J441" i="12"/>
  <c r="J52" i="12"/>
  <c r="J21" i="12"/>
  <c r="J117" i="12"/>
  <c r="J453" i="12"/>
  <c r="J423" i="12"/>
  <c r="J106" i="12"/>
  <c r="J299" i="12"/>
  <c r="J140" i="12"/>
  <c r="J354" i="12"/>
  <c r="J74" i="12"/>
  <c r="J251" i="12"/>
  <c r="J443" i="12"/>
  <c r="J92" i="12"/>
  <c r="J252" i="12"/>
  <c r="J93" i="12"/>
  <c r="J205" i="12"/>
  <c r="J397" i="12"/>
  <c r="J190" i="12"/>
  <c r="J79" i="12"/>
  <c r="J239" i="12"/>
  <c r="J352" i="12"/>
  <c r="J128" i="12"/>
  <c r="J288" i="12"/>
  <c r="J464" i="12"/>
  <c r="J97" i="12"/>
  <c r="J209" i="12"/>
  <c r="J321" i="12"/>
  <c r="J334" i="12"/>
  <c r="J271" i="12"/>
  <c r="J368" i="12"/>
  <c r="J320" i="12"/>
  <c r="J33" i="12"/>
  <c r="J193" i="12"/>
  <c r="J394" i="12"/>
  <c r="J458" i="12"/>
  <c r="J27" i="12"/>
  <c r="J91" i="12"/>
  <c r="J373" i="12"/>
  <c r="J199" i="12"/>
  <c r="J194" i="12"/>
  <c r="J182" i="12"/>
  <c r="J406" i="12"/>
  <c r="J167" i="12"/>
  <c r="J295" i="12"/>
  <c r="J216" i="12"/>
  <c r="J456" i="12"/>
  <c r="J153" i="12"/>
  <c r="J345" i="12"/>
  <c r="J266" i="12"/>
  <c r="J227" i="12"/>
  <c r="J291" i="12"/>
  <c r="J292" i="12"/>
  <c r="J407" i="12"/>
  <c r="J248" i="12"/>
  <c r="J440" i="12"/>
  <c r="J281" i="12"/>
  <c r="J403" i="12"/>
  <c r="J276" i="12"/>
  <c r="J70" i="12"/>
  <c r="J230" i="12"/>
  <c r="J390" i="12"/>
  <c r="J55" i="12"/>
  <c r="J56" i="12"/>
  <c r="J184" i="12"/>
  <c r="J18" i="12"/>
  <c r="J313" i="12"/>
  <c r="J473" i="12"/>
  <c r="J250" i="12"/>
  <c r="J284" i="12"/>
  <c r="J125" i="12"/>
  <c r="J237" i="12"/>
  <c r="J429" i="12"/>
  <c r="J94" i="12"/>
  <c r="J430" i="12"/>
  <c r="J127" i="12"/>
  <c r="J287" i="12"/>
  <c r="J32" i="12"/>
  <c r="J160" i="12"/>
  <c r="J336" i="12"/>
  <c r="J385" i="12"/>
  <c r="J129" i="12"/>
  <c r="J225" i="12"/>
  <c r="J337" i="12"/>
  <c r="J398" i="12"/>
  <c r="J111" i="12"/>
  <c r="J48" i="12"/>
  <c r="J81" i="12"/>
  <c r="J410" i="12"/>
  <c r="J43" i="12"/>
  <c r="J107" i="12"/>
  <c r="J476" i="12"/>
  <c r="J277" i="12"/>
  <c r="J152" i="12"/>
  <c r="J418" i="12"/>
  <c r="J462" i="12"/>
  <c r="J181" i="12"/>
  <c r="J146" i="12"/>
  <c r="J215" i="12"/>
  <c r="J298" i="12"/>
  <c r="J459" i="12"/>
  <c r="J76" i="12"/>
  <c r="J172" i="12"/>
  <c r="J300" i="12"/>
  <c r="J51" i="12"/>
  <c r="J262" i="12"/>
  <c r="J439" i="12"/>
  <c r="J461" i="12"/>
  <c r="J143" i="12"/>
  <c r="J415" i="12"/>
  <c r="J112" i="12"/>
  <c r="J246" i="12"/>
  <c r="J454" i="12"/>
  <c r="J280" i="12"/>
  <c r="J409" i="12"/>
  <c r="J115" i="12"/>
  <c r="J179" i="12"/>
  <c r="J243" i="12"/>
  <c r="J307" i="12"/>
  <c r="J388" i="12"/>
  <c r="J308" i="12"/>
  <c r="J37" i="12"/>
  <c r="J86" i="12"/>
  <c r="J183" i="12"/>
  <c r="J120" i="12"/>
  <c r="J296" i="12"/>
  <c r="J329" i="12"/>
  <c r="J419" i="12"/>
  <c r="J356" i="12"/>
  <c r="J422" i="12"/>
  <c r="J19" i="12"/>
  <c r="J187" i="12"/>
  <c r="J331" i="12"/>
  <c r="J188" i="12"/>
  <c r="J29" i="12"/>
  <c r="J126" i="12"/>
  <c r="J159" i="12"/>
  <c r="J208" i="12"/>
  <c r="J416" i="12"/>
  <c r="J161" i="12"/>
  <c r="J78" i="12"/>
  <c r="J446" i="12"/>
  <c r="J399" i="12"/>
  <c r="J448" i="12"/>
  <c r="J113" i="12"/>
  <c r="J426" i="12"/>
  <c r="J363" i="12"/>
  <c r="J59" i="12"/>
  <c r="J123" i="12"/>
  <c r="J404" i="12"/>
  <c r="J101" i="12"/>
  <c r="J54" i="12"/>
  <c r="J312" i="12"/>
  <c r="J437" i="12"/>
  <c r="J401" i="12"/>
  <c r="J294" i="12"/>
  <c r="J134" i="12"/>
  <c r="J168" i="12"/>
  <c r="J344" i="12"/>
  <c r="J85" i="12"/>
  <c r="J391" i="12"/>
  <c r="J100" i="12"/>
  <c r="J198" i="12"/>
  <c r="J50" i="12"/>
  <c r="J306" i="12"/>
  <c r="J348" i="12"/>
  <c r="B7" i="15" a="1"/>
  <c r="Q475" i="2"/>
  <c r="Q437" i="2"/>
  <c r="Q360" i="2"/>
  <c r="Q237" i="2"/>
  <c r="Q207" i="2"/>
  <c r="B7" i="15" l="1"/>
  <c r="B436" i="2"/>
  <c r="B27" i="2" l="1"/>
  <c r="B472" i="2" l="1"/>
  <c r="B471" i="2"/>
  <c r="B450" i="2" l="1"/>
  <c r="V464" i="2" l="1"/>
  <c r="B126" i="2" l="1"/>
  <c r="B111" i="2"/>
  <c r="B110" i="2"/>
  <c r="B108" i="2"/>
  <c r="B105" i="2"/>
  <c r="B331" i="2"/>
  <c r="B396" i="2"/>
  <c r="B15" i="2"/>
  <c r="B129" i="2"/>
  <c r="B187" i="2"/>
  <c r="B416" i="2"/>
  <c r="B475" i="2"/>
  <c r="B22" i="2"/>
  <c r="B68" i="2"/>
  <c r="B19" i="2"/>
  <c r="B210" i="2"/>
  <c r="B426" i="2"/>
  <c r="B71" i="2"/>
  <c r="B17" i="2"/>
  <c r="B28" i="2"/>
  <c r="B44" i="2"/>
  <c r="B142" i="2"/>
  <c r="B75" i="2"/>
  <c r="B7" i="2"/>
  <c r="B101" i="2"/>
  <c r="B258" i="2"/>
  <c r="B9" i="2"/>
  <c r="B13" i="2"/>
  <c r="B344" i="2"/>
  <c r="B353" i="2"/>
  <c r="B51" i="2"/>
  <c r="B401" i="2"/>
  <c r="B177" i="2"/>
  <c r="B35" i="2"/>
  <c r="B87" i="2"/>
  <c r="B8" i="2"/>
  <c r="B61" i="2"/>
  <c r="B37" i="2"/>
  <c r="B427" i="2"/>
  <c r="B48" i="2"/>
  <c r="B29" i="2"/>
  <c r="B437" i="2"/>
  <c r="B42" i="2"/>
  <c r="B52" i="2"/>
  <c r="B24" i="2"/>
  <c r="B383" i="2"/>
  <c r="B54" i="2"/>
  <c r="B10" i="2"/>
  <c r="B23" i="2"/>
  <c r="B31" i="2"/>
  <c r="B74" i="2"/>
  <c r="B470" i="2"/>
  <c r="B32" i="2"/>
  <c r="B20" i="2"/>
  <c r="B72" i="2"/>
  <c r="B53" i="2"/>
  <c r="B413" i="2"/>
  <c r="B47" i="2"/>
  <c r="B14" i="2"/>
  <c r="B433" i="2"/>
  <c r="B39" i="2"/>
  <c r="B81" i="2"/>
  <c r="B40" i="2"/>
  <c r="B50" i="2"/>
  <c r="B400" i="2"/>
  <c r="B392" i="2"/>
  <c r="B34" i="2"/>
  <c r="B57" i="2"/>
  <c r="B70" i="2"/>
  <c r="B25" i="2"/>
  <c r="B49" i="2"/>
  <c r="B406" i="2"/>
  <c r="B224" i="2"/>
  <c r="B379" i="2"/>
  <c r="B43" i="2"/>
  <c r="B38" i="2"/>
  <c r="B55" i="2"/>
  <c r="B58" i="2"/>
  <c r="B41" i="2"/>
  <c r="B45" i="2"/>
  <c r="B86" i="2"/>
  <c r="B364" i="2"/>
  <c r="B425" i="2"/>
  <c r="B30" i="2"/>
  <c r="B36" i="2"/>
  <c r="B311" i="2"/>
  <c r="B78" i="2"/>
  <c r="B11" i="2"/>
  <c r="B56" i="2"/>
  <c r="B6" i="2"/>
  <c r="B33" i="2"/>
  <c r="B391" i="2"/>
  <c r="B103" i="2"/>
  <c r="B18" i="2"/>
  <c r="B384" i="2"/>
  <c r="B457" i="2"/>
  <c r="B458" i="2"/>
  <c r="B12" i="2"/>
  <c r="B195" i="2"/>
  <c r="B46" i="2"/>
  <c r="B183" i="2"/>
  <c r="B69" i="2"/>
  <c r="B26" i="2"/>
  <c r="B328" i="2"/>
  <c r="B59" i="2"/>
  <c r="B352" i="2"/>
  <c r="B16" i="2"/>
  <c r="B21" i="2"/>
  <c r="B65" i="2"/>
  <c r="B11" i="4" s="1" a="1"/>
  <c r="B412" i="2"/>
  <c r="B67" i="2"/>
  <c r="B73" i="2"/>
  <c r="B79" i="2"/>
  <c r="B239" i="2"/>
  <c r="B374" i="2"/>
  <c r="B422" i="2"/>
  <c r="B443" i="2"/>
  <c r="B60" i="2"/>
  <c r="B77" i="2"/>
  <c r="B82" i="2"/>
  <c r="B90" i="2"/>
  <c r="B93" i="2"/>
  <c r="B96" i="2"/>
  <c r="B124" i="2"/>
  <c r="B130" i="2"/>
  <c r="B143" i="2"/>
  <c r="B139" i="2"/>
  <c r="B135" i="2"/>
  <c r="B156" i="2"/>
  <c r="B159" i="2"/>
  <c r="B178" i="2"/>
  <c r="B189" i="2"/>
  <c r="B203" i="2"/>
  <c r="B196" i="2"/>
  <c r="B223" i="2"/>
  <c r="B230" i="2"/>
  <c r="B236" i="2"/>
  <c r="B246" i="2"/>
  <c r="B260" i="2"/>
  <c r="B253" i="2"/>
  <c r="B270" i="2"/>
  <c r="B271" i="2"/>
  <c r="B339" i="2"/>
  <c r="B366" i="2"/>
  <c r="B389" i="2"/>
  <c r="B447" i="2"/>
  <c r="B452" i="2"/>
  <c r="B476" i="2"/>
  <c r="B161" i="2"/>
  <c r="B386" i="2"/>
  <c r="B198" i="2"/>
  <c r="B62" i="2"/>
  <c r="B288" i="2"/>
  <c r="B106" i="2"/>
  <c r="B415" i="2"/>
  <c r="B120" i="2"/>
  <c r="B66" i="2"/>
  <c r="B335" i="2"/>
  <c r="B148" i="2"/>
  <c r="B231" i="2"/>
  <c r="B249" i="2"/>
  <c r="B219" i="2"/>
  <c r="B174" i="2"/>
  <c r="B141" i="2"/>
  <c r="B112" i="2"/>
  <c r="B212" i="2"/>
  <c r="B394" i="2"/>
  <c r="B309" i="2"/>
  <c r="B202" i="2"/>
  <c r="B388" i="2"/>
  <c r="B84" i="2"/>
  <c r="B405" i="2"/>
  <c r="B64" i="2"/>
  <c r="B228" i="2"/>
  <c r="B214" i="2"/>
  <c r="B162" i="2"/>
  <c r="B250" i="2"/>
  <c r="B114" i="2"/>
  <c r="B269" i="2"/>
  <c r="B463" i="2"/>
  <c r="B251" i="2"/>
  <c r="B237" i="2"/>
  <c r="B121" i="2"/>
  <c r="B262" i="2"/>
  <c r="B158" i="2"/>
  <c r="B305" i="2"/>
  <c r="B244" i="2"/>
  <c r="B137" i="2"/>
  <c r="B190" i="2"/>
  <c r="B221" i="2"/>
  <c r="B478" i="2"/>
  <c r="B132" i="2"/>
  <c r="B173" i="2"/>
  <c r="B169" i="2"/>
  <c r="B118" i="2"/>
  <c r="B209" i="2"/>
  <c r="B94" i="2"/>
  <c r="B248" i="2"/>
  <c r="B247" i="2"/>
  <c r="B100" i="2"/>
  <c r="B255" i="2"/>
  <c r="B160" i="2"/>
  <c r="B208" i="2"/>
  <c r="B428" i="2"/>
  <c r="B155" i="2"/>
  <c r="B153" i="2"/>
  <c r="B116" i="2"/>
  <c r="B113" i="2"/>
  <c r="B314" i="2"/>
  <c r="B354" i="2"/>
  <c r="B138" i="2"/>
  <c r="B171" i="2"/>
  <c r="B370" i="2"/>
  <c r="B154" i="2"/>
  <c r="B217" i="2"/>
  <c r="B99" i="2"/>
  <c r="B95" i="2"/>
  <c r="B232" i="2"/>
  <c r="B88" i="2"/>
  <c r="B245" i="2"/>
  <c r="B92" i="2"/>
  <c r="B149" i="2"/>
  <c r="B235" i="2"/>
  <c r="B238" i="2"/>
  <c r="B164" i="2"/>
  <c r="B89" i="2"/>
  <c r="B382" i="2"/>
  <c r="B242" i="2"/>
  <c r="B418" i="2"/>
  <c r="B439" i="2"/>
  <c r="B127" i="2"/>
  <c r="B442" i="2"/>
  <c r="B429" i="2"/>
  <c r="B63" i="2"/>
  <c r="B152" i="2"/>
  <c r="B285" i="2"/>
  <c r="B395" i="2"/>
  <c r="B194" i="2"/>
  <c r="B184" i="2"/>
  <c r="B186" i="2"/>
  <c r="B243" i="2"/>
  <c r="B393" i="2"/>
  <c r="B319" i="2"/>
  <c r="B356" i="2"/>
  <c r="B320" i="2"/>
  <c r="B97" i="2"/>
  <c r="B259" i="2"/>
  <c r="B222" i="2"/>
  <c r="B204" i="2"/>
  <c r="B332" i="2"/>
  <c r="B419" i="2"/>
  <c r="B197" i="2"/>
  <c r="B179" i="2"/>
  <c r="B403" i="2"/>
  <c r="B473" i="2"/>
  <c r="B144" i="2"/>
  <c r="B226" i="2"/>
  <c r="B215" i="2"/>
  <c r="B180" i="2"/>
  <c r="B133" i="2"/>
  <c r="B122" i="2"/>
  <c r="B261" i="2"/>
  <c r="B150" i="2"/>
  <c r="B167" i="2"/>
  <c r="B256" i="2"/>
  <c r="B254" i="2"/>
  <c r="B252" i="2"/>
  <c r="B417" i="2"/>
  <c r="B409" i="2"/>
  <c r="B402" i="2"/>
  <c r="B147" i="2"/>
  <c r="B399" i="2"/>
  <c r="B234" i="2"/>
  <c r="B109" i="2"/>
  <c r="B205" i="2"/>
  <c r="B123" i="2"/>
  <c r="B191" i="2"/>
  <c r="B367" i="2"/>
  <c r="B80" i="2"/>
  <c r="B85" i="2"/>
  <c r="B225" i="2"/>
  <c r="B408" i="2"/>
  <c r="B134" i="2"/>
  <c r="B241" i="2"/>
  <c r="B193" i="2"/>
  <c r="B318" i="2"/>
  <c r="B176" i="2"/>
  <c r="B181" i="2"/>
  <c r="B151" i="2"/>
  <c r="B115" i="2"/>
  <c r="B168" i="2"/>
  <c r="B220" i="2"/>
  <c r="B199" i="2"/>
  <c r="B165" i="2"/>
  <c r="B213" i="2"/>
  <c r="B387" i="2"/>
  <c r="B218" i="2"/>
  <c r="B329" i="2"/>
  <c r="B347" i="2"/>
  <c r="B117" i="2"/>
  <c r="B397" i="2"/>
  <c r="B211" i="2"/>
  <c r="B175" i="2"/>
  <c r="B343" i="2"/>
  <c r="B423" i="2"/>
  <c r="B438" i="2"/>
  <c r="B338" i="2"/>
  <c r="B227" i="2"/>
  <c r="B348" i="2"/>
  <c r="B91" i="2"/>
  <c r="B172" i="2"/>
  <c r="B336" i="2"/>
  <c r="B166" i="2"/>
  <c r="B378" i="2"/>
  <c r="B460" i="2"/>
  <c r="B201" i="2"/>
  <c r="B200" i="2"/>
  <c r="B207" i="2"/>
  <c r="B145" i="2"/>
  <c r="B157" i="2"/>
  <c r="B361" i="2"/>
  <c r="B459" i="2"/>
  <c r="B233" i="2"/>
  <c r="B83" i="2"/>
  <c r="B102" i="2"/>
  <c r="B216" i="2"/>
  <c r="B424" i="2"/>
  <c r="B98" i="2"/>
  <c r="B302" i="2"/>
  <c r="B107" i="2"/>
  <c r="B188" i="2"/>
  <c r="B136" i="2"/>
  <c r="B125" i="2"/>
  <c r="B430" i="2"/>
  <c r="B192" i="2"/>
  <c r="B362" i="2"/>
  <c r="B163" i="2"/>
  <c r="B240" i="2"/>
  <c r="B206" i="2"/>
  <c r="B119" i="2"/>
  <c r="B360" i="2"/>
  <c r="B182" i="2"/>
  <c r="B357" i="2"/>
  <c r="B273" i="2"/>
  <c r="B104" i="2"/>
  <c r="B289" i="2"/>
  <c r="B128" i="2"/>
  <c r="B280" i="2"/>
  <c r="B446" i="2"/>
  <c r="B359" i="2"/>
  <c r="B372" i="2"/>
  <c r="B257" i="2"/>
  <c r="B432" i="2"/>
  <c r="B380" i="2"/>
  <c r="B398" i="2"/>
  <c r="B351" i="2"/>
  <c r="B385" i="2"/>
  <c r="B368" i="2"/>
  <c r="B375" i="2"/>
  <c r="B465" i="2"/>
  <c r="B448" i="2"/>
  <c r="B272" i="2"/>
  <c r="B342" i="2"/>
  <c r="B277" i="2"/>
  <c r="B373" i="2"/>
  <c r="B278" i="2"/>
  <c r="B301" i="2"/>
  <c r="B330" i="2"/>
  <c r="B404" i="2"/>
  <c r="B146" i="2"/>
  <c r="B297" i="2"/>
  <c r="B321" i="2"/>
  <c r="B323" i="2"/>
  <c r="B268" i="2"/>
  <c r="B455" i="2"/>
  <c r="B431" i="2"/>
  <c r="B390" i="2"/>
  <c r="B131" i="2"/>
  <c r="B282" i="2"/>
  <c r="B381" i="2"/>
  <c r="B325" i="2"/>
  <c r="B299" i="2"/>
  <c r="B411" i="2"/>
  <c r="B435" i="2"/>
  <c r="B298" i="2"/>
  <c r="B345" i="2"/>
  <c r="B340" i="2"/>
  <c r="B304" i="2"/>
  <c r="B327" i="2"/>
  <c r="B365" i="2"/>
  <c r="B283" i="2"/>
  <c r="B170" i="2"/>
  <c r="B265" i="2"/>
  <c r="B266" i="2"/>
  <c r="B290" i="2"/>
  <c r="B449" i="2"/>
  <c r="B434" i="2"/>
  <c r="B337" i="2"/>
  <c r="B296" i="2"/>
  <c r="B284" i="2"/>
  <c r="B291" i="2"/>
  <c r="B307" i="2"/>
  <c r="B287" i="2"/>
  <c r="B185" i="2"/>
  <c r="B267" i="2"/>
  <c r="B279" i="2"/>
  <c r="B292" i="2"/>
  <c r="B300" i="2"/>
  <c r="B303" i="2"/>
  <c r="B308" i="2"/>
  <c r="B312" i="2"/>
  <c r="B313" i="2"/>
  <c r="B315" i="2"/>
  <c r="B316" i="2"/>
  <c r="B317" i="2"/>
  <c r="B334" i="2"/>
  <c r="B355" i="2"/>
  <c r="B371" i="2"/>
  <c r="B377" i="2"/>
  <c r="B407" i="2"/>
  <c r="B420" i="2"/>
  <c r="B421" i="2"/>
  <c r="B451" i="2"/>
  <c r="B461" i="2"/>
  <c r="B469" i="2"/>
  <c r="B474" i="2"/>
  <c r="B349" i="2"/>
  <c r="B306" i="2"/>
  <c r="B286" i="2"/>
  <c r="B477" i="2"/>
  <c r="B324" i="2"/>
  <c r="B140" i="2"/>
  <c r="B440" i="2"/>
  <c r="B468" i="2"/>
  <c r="B444" i="2"/>
  <c r="B445" i="2"/>
  <c r="B376" i="2"/>
  <c r="B293" i="2"/>
  <c r="B281" i="2"/>
  <c r="B333" i="2"/>
  <c r="B467" i="2"/>
  <c r="B456" i="2"/>
  <c r="B358" i="2"/>
  <c r="B264" i="2"/>
  <c r="B229" i="2"/>
  <c r="B363" i="2"/>
  <c r="B310" i="2"/>
  <c r="B410" i="2"/>
  <c r="B369" i="2"/>
  <c r="B441" i="2"/>
  <c r="B414" i="2"/>
  <c r="B453" i="2"/>
  <c r="B454" i="2"/>
  <c r="B346" i="2"/>
  <c r="B462" i="2"/>
  <c r="B464" i="2"/>
  <c r="B274" i="2"/>
  <c r="B350" i="2"/>
  <c r="B276" i="2"/>
  <c r="B341" i="2"/>
  <c r="B326" i="2"/>
  <c r="B263" i="2"/>
  <c r="B295" i="2"/>
  <c r="B466" i="2"/>
  <c r="B294" i="2"/>
  <c r="B322" i="2"/>
  <c r="B275" i="2"/>
  <c r="A12" i="4"/>
  <c r="B11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<sst xmlns="http://schemas.openxmlformats.org/spreadsheetml/2006/main" count="7182" uniqueCount="3180">
  <si>
    <t>RUDE</t>
  </si>
  <si>
    <t>APELLIDOS</t>
  </si>
  <si>
    <t>CURSO</t>
  </si>
  <si>
    <t>1B</t>
  </si>
  <si>
    <t>1A</t>
  </si>
  <si>
    <t>1C</t>
  </si>
  <si>
    <t>2A</t>
  </si>
  <si>
    <t>2B</t>
  </si>
  <si>
    <t>2C</t>
  </si>
  <si>
    <t>3A</t>
  </si>
  <si>
    <t>3B</t>
  </si>
  <si>
    <t>3C</t>
  </si>
  <si>
    <t>4A</t>
  </si>
  <si>
    <t>4B</t>
  </si>
  <si>
    <t>4C</t>
  </si>
  <si>
    <t>5A</t>
  </si>
  <si>
    <t>5B</t>
  </si>
  <si>
    <t>5C</t>
  </si>
  <si>
    <t>6A</t>
  </si>
  <si>
    <t>6B</t>
  </si>
  <si>
    <t>6C</t>
  </si>
  <si>
    <t>crt + t =para crear las celdas en tablas</t>
  </si>
  <si>
    <t>NROCI</t>
  </si>
  <si>
    <t>NRO</t>
  </si>
  <si>
    <t>NOMBRES</t>
  </si>
  <si>
    <t>TELEFONO</t>
  </si>
  <si>
    <t>NROKARDEX</t>
  </si>
  <si>
    <t>APORTE</t>
  </si>
  <si>
    <t>BTH</t>
  </si>
  <si>
    <t>RAUL</t>
  </si>
  <si>
    <t>MARTINEZ AGUANTA</t>
  </si>
  <si>
    <t>NO</t>
  </si>
  <si>
    <t>ALVAREZ FLORES</t>
  </si>
  <si>
    <t>BALDELOMAR BALDERRAMA</t>
  </si>
  <si>
    <t>BARRIENTOS CUBA</t>
  </si>
  <si>
    <t>CABRERA CHAVEZ</t>
  </si>
  <si>
    <t>CASTILLO USCAMAYTA</t>
  </si>
  <si>
    <t>CHAVARRIA CHOQUE</t>
  </si>
  <si>
    <t>CLAURE ESCOBAR</t>
  </si>
  <si>
    <t>CONDORI VARGAS</t>
  </si>
  <si>
    <t>ESCALANTE GIRON</t>
  </si>
  <si>
    <t>ESTRADA VARON</t>
  </si>
  <si>
    <t>FERNANDEZ PEÑA</t>
  </si>
  <si>
    <t>CAMPOS ARROYO</t>
  </si>
  <si>
    <t>RETIRADO</t>
  </si>
  <si>
    <t>TELEFONO2</t>
  </si>
  <si>
    <t>NOMBRES2</t>
  </si>
  <si>
    <t>APELLIDOS2</t>
  </si>
  <si>
    <t>DATOS DEL PADRE</t>
  </si>
  <si>
    <t>DATOS DE LA MADRE</t>
  </si>
  <si>
    <t>DORIS HILDA</t>
  </si>
  <si>
    <t>FLORES JARAMILLO</t>
  </si>
  <si>
    <t>RONAL</t>
  </si>
  <si>
    <t>TERRAZAS ROCHA</t>
  </si>
  <si>
    <t>TERESA</t>
  </si>
  <si>
    <t>FLORES CRUZ</t>
  </si>
  <si>
    <t xml:space="preserve">YIMY </t>
  </si>
  <si>
    <t>BALDELOMAR VEIZAGA</t>
  </si>
  <si>
    <t>EVELIN</t>
  </si>
  <si>
    <t>BALDERRAMA ROJAS</t>
  </si>
  <si>
    <t>ISIDRO</t>
  </si>
  <si>
    <t>BARRIENTOS SANGUINO</t>
  </si>
  <si>
    <t xml:space="preserve">NERIA </t>
  </si>
  <si>
    <t>CUBA ROMERO</t>
  </si>
  <si>
    <t>DUSTIN HENRRY</t>
  </si>
  <si>
    <t>CABRERA ROCHA</t>
  </si>
  <si>
    <t>NROCI2</t>
  </si>
  <si>
    <t>YAQUELIN</t>
  </si>
  <si>
    <t>CHAVEZ AYAVIRI</t>
  </si>
  <si>
    <t>MAURIO MIGUEL</t>
  </si>
  <si>
    <t>CAMPO MONTILLA</t>
  </si>
  <si>
    <t xml:space="preserve">MARIBEL </t>
  </si>
  <si>
    <t>ARROYO ESCOBAR</t>
  </si>
  <si>
    <t>ALEXANDER</t>
  </si>
  <si>
    <t>CASTILLO LAQUE</t>
  </si>
  <si>
    <t>MARINA</t>
  </si>
  <si>
    <t>USCAMAYTA CONDORI</t>
  </si>
  <si>
    <t>JOSE DANIEL</t>
  </si>
  <si>
    <t>CHAVARRIA ORTIZ</t>
  </si>
  <si>
    <t>ANA MARIA</t>
  </si>
  <si>
    <t>CHOQUE LEITON</t>
  </si>
  <si>
    <t xml:space="preserve">YHONNY </t>
  </si>
  <si>
    <t>CLAURE VARGAS</t>
  </si>
  <si>
    <t xml:space="preserve">EDITH </t>
  </si>
  <si>
    <t>ESCOBAR CESPEDES</t>
  </si>
  <si>
    <t>MARIO</t>
  </si>
  <si>
    <t>CONDORI ACUÑA</t>
  </si>
  <si>
    <t>MARGARITA</t>
  </si>
  <si>
    <t>VARGAS BOBARIN</t>
  </si>
  <si>
    <t>RITO</t>
  </si>
  <si>
    <t>ESCALANTE NOVA</t>
  </si>
  <si>
    <t xml:space="preserve">MARIOLY </t>
  </si>
  <si>
    <t>GIRON RIBERA</t>
  </si>
  <si>
    <t>JUSTINO</t>
  </si>
  <si>
    <t>FERNANDEZ DIAS</t>
  </si>
  <si>
    <t>DANIELA</t>
  </si>
  <si>
    <t>PEÑA PACHI</t>
  </si>
  <si>
    <t>JESUS</t>
  </si>
  <si>
    <t>DAZA VEDIA</t>
  </si>
  <si>
    <t>NICOLAS</t>
  </si>
  <si>
    <t>FLORES POLANCO</t>
  </si>
  <si>
    <t>MARCELINA</t>
  </si>
  <si>
    <t>MOJIANO MOSCOSO</t>
  </si>
  <si>
    <t>GERMAN</t>
  </si>
  <si>
    <t>FLORES VARGAS</t>
  </si>
  <si>
    <t>SANDRA</t>
  </si>
  <si>
    <t xml:space="preserve"> PUMA ROSAS</t>
  </si>
  <si>
    <t>GLADIMIR</t>
  </si>
  <si>
    <t>GARCIA MUÑOZ</t>
  </si>
  <si>
    <t>JOVITA</t>
  </si>
  <si>
    <t>GARCIA TANTUTELA</t>
  </si>
  <si>
    <t>GABRIEL</t>
  </si>
  <si>
    <t>GONZALES TAPIA</t>
  </si>
  <si>
    <t>YINA YILCANA</t>
  </si>
  <si>
    <t>CASTRO BANEGAS</t>
  </si>
  <si>
    <t>FILEMON</t>
  </si>
  <si>
    <t>GUADUAY ARTEAGA</t>
  </si>
  <si>
    <t>MARIA MERCEDES</t>
  </si>
  <si>
    <t>PUMACAYO PERALTA</t>
  </si>
  <si>
    <t xml:space="preserve">CHISTHIAN </t>
  </si>
  <si>
    <t>FRANCO LEON</t>
  </si>
  <si>
    <t>GUISELA</t>
  </si>
  <si>
    <t>ULLOA MAMANI</t>
  </si>
  <si>
    <t>REY ARMANDO</t>
  </si>
  <si>
    <t>LOPEZ ARIAS</t>
  </si>
  <si>
    <t>CHUMBE LOPEZ</t>
  </si>
  <si>
    <t>NOEL ALEJANDRO</t>
  </si>
  <si>
    <t>OCAÑA MERIDA</t>
  </si>
  <si>
    <t>REBECA</t>
  </si>
  <si>
    <t>SANGREDE CONDORI</t>
  </si>
  <si>
    <t>SABINO</t>
  </si>
  <si>
    <t>ORTIZ RODRIGUEZ</t>
  </si>
  <si>
    <t>MARIELA</t>
  </si>
  <si>
    <t>ORELLANA ARANCIBIA</t>
  </si>
  <si>
    <t>RAFAEL</t>
  </si>
  <si>
    <t>PARDO REINAGA</t>
  </si>
  <si>
    <t>ANA KAREN</t>
  </si>
  <si>
    <t>ESTRADA URIONA</t>
  </si>
  <si>
    <t>PRADO SAUCEDO</t>
  </si>
  <si>
    <t>ROSMERY</t>
  </si>
  <si>
    <t>MORALES RENTERIA</t>
  </si>
  <si>
    <t>FELIX</t>
  </si>
  <si>
    <t>RAMOS REINA</t>
  </si>
  <si>
    <t>ABALOS</t>
  </si>
  <si>
    <t>JUAN JOSE</t>
  </si>
  <si>
    <t>RIOS AYALA</t>
  </si>
  <si>
    <t>YESSICA</t>
  </si>
  <si>
    <t>AGUILAR ALVAREZ</t>
  </si>
  <si>
    <t>LUIS CARLOS</t>
  </si>
  <si>
    <t>RODA RIVERA</t>
  </si>
  <si>
    <t>MARIA NELA</t>
  </si>
  <si>
    <t>BARROZO ANGULO</t>
  </si>
  <si>
    <t xml:space="preserve">BEIMAR </t>
  </si>
  <si>
    <t>RODAS GUERRA</t>
  </si>
  <si>
    <t>PEREZ MANCILLA</t>
  </si>
  <si>
    <t>EDWIN</t>
  </si>
  <si>
    <t>SEGARRA ROMERO</t>
  </si>
  <si>
    <t>NICOLE</t>
  </si>
  <si>
    <t>PEREYRA CABRERA</t>
  </si>
  <si>
    <t>ANGEL</t>
  </si>
  <si>
    <t>VALVERDE LIMON</t>
  </si>
  <si>
    <t>MIGUELINA</t>
  </si>
  <si>
    <t>GUERRERO RODA</t>
  </si>
  <si>
    <t>GONZALO</t>
  </si>
  <si>
    <t>VEDIA VALLESTEROS</t>
  </si>
  <si>
    <t>BENITA</t>
  </si>
  <si>
    <t>VILLARES PACHILE</t>
  </si>
  <si>
    <t xml:space="preserve">EMILIO </t>
  </si>
  <si>
    <t>VEIZAGA CLAROS</t>
  </si>
  <si>
    <t>CLAUDINA</t>
  </si>
  <si>
    <t>SANTOS</t>
  </si>
  <si>
    <t>CESAR DANIEL</t>
  </si>
  <si>
    <t>VELASCO RAMIREZ</t>
  </si>
  <si>
    <t>RODEE</t>
  </si>
  <si>
    <t>FLORES TITO</t>
  </si>
  <si>
    <t>RONELO</t>
  </si>
  <si>
    <t>ZENTENO AGUILERA</t>
  </si>
  <si>
    <t>RILMA</t>
  </si>
  <si>
    <t>FIGUEROA HINOJOSA</t>
  </si>
  <si>
    <t>ROBERTO</t>
  </si>
  <si>
    <t>ZENZANO MIRANDA</t>
  </si>
  <si>
    <t>YOLANDA</t>
  </si>
  <si>
    <t>TORREZ ROJAS</t>
  </si>
  <si>
    <t xml:space="preserve">FLORES DAZA </t>
  </si>
  <si>
    <t>FLORES MOJIANO</t>
  </si>
  <si>
    <t>FLORES PUMA</t>
  </si>
  <si>
    <t>GARCIA GARCIA</t>
  </si>
  <si>
    <t>GONZALES CASTRO</t>
  </si>
  <si>
    <t>GUADUAY PUMACAYO</t>
  </si>
  <si>
    <t>GUDIÑO PUMACAYO</t>
  </si>
  <si>
    <t>LEON ULLOA</t>
  </si>
  <si>
    <t>LOPEZ CHUMBE</t>
  </si>
  <si>
    <t>OCAÑA SANGREDE</t>
  </si>
  <si>
    <t>ORTIZ ORELLANA</t>
  </si>
  <si>
    <t>PARDO ESTRADA</t>
  </si>
  <si>
    <t>PRADO MORALES</t>
  </si>
  <si>
    <t>RAMOS ABALOS</t>
  </si>
  <si>
    <t>RIOS AGUILAR</t>
  </si>
  <si>
    <t>RODA BARROZO</t>
  </si>
  <si>
    <t>RODAS PEREZ</t>
  </si>
  <si>
    <t>SEGARRA PEREYRA</t>
  </si>
  <si>
    <t>TARIFA MONCADA</t>
  </si>
  <si>
    <t>VALVERDE GUERRERO</t>
  </si>
  <si>
    <t>VEDIA VILLARES</t>
  </si>
  <si>
    <t>VEIZAGA SANTOS</t>
  </si>
  <si>
    <t>VELASCO FLORES</t>
  </si>
  <si>
    <t>ZENTENO FIGUEROA</t>
  </si>
  <si>
    <t>ZENZANO TORREZ</t>
  </si>
  <si>
    <t xml:space="preserve">MIGUEL ANGEL </t>
  </si>
  <si>
    <t>VERONICA</t>
  </si>
  <si>
    <t>AIZA QUIROGA</t>
  </si>
  <si>
    <t xml:space="preserve">GUIMER </t>
  </si>
  <si>
    <t>ADAN LIMON</t>
  </si>
  <si>
    <t>ANA LUISA</t>
  </si>
  <si>
    <t>RIVERA MENESES</t>
  </si>
  <si>
    <t>MARTIN</t>
  </si>
  <si>
    <t>AGUAYO HINTURIAS</t>
  </si>
  <si>
    <t>SEGUNDINA</t>
  </si>
  <si>
    <t>PEÑARRIETA BARVOLIN</t>
  </si>
  <si>
    <t>BENJAMIN</t>
  </si>
  <si>
    <t>AGUILAR VARGAS</t>
  </si>
  <si>
    <t>EUNICE</t>
  </si>
  <si>
    <t>CARTAGENA RUIZ</t>
  </si>
  <si>
    <t>MARIO WILSON</t>
  </si>
  <si>
    <t>CESPEDES VARGAS</t>
  </si>
  <si>
    <t>LIBERATA</t>
  </si>
  <si>
    <t>DIAZ CASTRO</t>
  </si>
  <si>
    <t>JUANITO</t>
  </si>
  <si>
    <t>ERLINDA</t>
  </si>
  <si>
    <t>MARTINEZ CRUZ</t>
  </si>
  <si>
    <t>JOAQUIN MARCELO</t>
  </si>
  <si>
    <t>BARRIOS MAMANI</t>
  </si>
  <si>
    <t>REINA</t>
  </si>
  <si>
    <t>MAMANI IPORRE</t>
  </si>
  <si>
    <t>DAVID</t>
  </si>
  <si>
    <t>BASUALDO CAMACHO</t>
  </si>
  <si>
    <t>YILDA</t>
  </si>
  <si>
    <t>ROSADO ARAUZ</t>
  </si>
  <si>
    <t>BENITEZ AGUILAR</t>
  </si>
  <si>
    <t>YASELY RUTH</t>
  </si>
  <si>
    <t>MURILLO CASTRO</t>
  </si>
  <si>
    <t>DARWIN JUNIOR</t>
  </si>
  <si>
    <t>BURGOS CUELLAR</t>
  </si>
  <si>
    <t>HEIDY</t>
  </si>
  <si>
    <t>PACO CASTRO</t>
  </si>
  <si>
    <t xml:space="preserve">WILSON </t>
  </si>
  <si>
    <t>CABRERA PAREDES</t>
  </si>
  <si>
    <t>LISBETH</t>
  </si>
  <si>
    <t>ALCOBA CESPEDES</t>
  </si>
  <si>
    <t>FERMAN</t>
  </si>
  <si>
    <t>CARBAJAL CARABALLO</t>
  </si>
  <si>
    <t>SANDRA WILMA</t>
  </si>
  <si>
    <t>MAMANI YUCRA</t>
  </si>
  <si>
    <t>RICHARD ERWIN</t>
  </si>
  <si>
    <t>CARRISALES GUTIERREZ</t>
  </si>
  <si>
    <t>PATRICIA</t>
  </si>
  <si>
    <t>LOPEZ CHOQUE</t>
  </si>
  <si>
    <t>CLEMENTE</t>
  </si>
  <si>
    <t>CLAROS VARGAS</t>
  </si>
  <si>
    <t>CANDELARIA</t>
  </si>
  <si>
    <t>ZAPATA CRESPO</t>
  </si>
  <si>
    <t>PAULO MARCELO</t>
  </si>
  <si>
    <t>COLQUE CHOQUE</t>
  </si>
  <si>
    <t xml:space="preserve">JAHEL </t>
  </si>
  <si>
    <t>ACHO RODRIGUEZ</t>
  </si>
  <si>
    <t xml:space="preserve">SAUL </t>
  </si>
  <si>
    <t>CORONADO GARNICA</t>
  </si>
  <si>
    <t>SHEILA VANESSA</t>
  </si>
  <si>
    <t>VARGAS TITO</t>
  </si>
  <si>
    <t>REINALDO</t>
  </si>
  <si>
    <t>CUELLAR GARCIA</t>
  </si>
  <si>
    <t>VIVIANA</t>
  </si>
  <si>
    <t>RIVERA AVALOS</t>
  </si>
  <si>
    <t>ABUNDIO</t>
  </si>
  <si>
    <t>CUELLAR GARNICA</t>
  </si>
  <si>
    <t xml:space="preserve">MARINA </t>
  </si>
  <si>
    <t>SANTOS PADILLA</t>
  </si>
  <si>
    <t>JOSE IGNACIO</t>
  </si>
  <si>
    <t>ESTRADA VELASQUEZ</t>
  </si>
  <si>
    <t>MARTINEZ ROMERO</t>
  </si>
  <si>
    <t>FRANCO MARTINEZ</t>
  </si>
  <si>
    <t>LORENA</t>
  </si>
  <si>
    <t>RODRIGUEZ CAMACHO</t>
  </si>
  <si>
    <t>LUIS ANTONIO</t>
  </si>
  <si>
    <t>HEREDIA ARAMAYO</t>
  </si>
  <si>
    <t>JUANA</t>
  </si>
  <si>
    <t>FERNANDEZ LOPEZ</t>
  </si>
  <si>
    <t>HUARACA ROJAS</t>
  </si>
  <si>
    <t>ELIZABETH</t>
  </si>
  <si>
    <t>RODRIGUEZ RODRIGUEZ</t>
  </si>
  <si>
    <t>FABIO</t>
  </si>
  <si>
    <t>JIMENEZ VARGAS</t>
  </si>
  <si>
    <t>OLIVIA</t>
  </si>
  <si>
    <t>FLORES SERRUTO</t>
  </si>
  <si>
    <t>BENITO</t>
  </si>
  <si>
    <t>LANZA MELGAR</t>
  </si>
  <si>
    <t>LIDIA</t>
  </si>
  <si>
    <t>ALVAREZ MONTAÑO</t>
  </si>
  <si>
    <t>CESAR IVER</t>
  </si>
  <si>
    <t>LEAÑOS DELGADILLO</t>
  </si>
  <si>
    <t>MARIA YANINE</t>
  </si>
  <si>
    <t>PRADO</t>
  </si>
  <si>
    <t>JUAN ANDRES</t>
  </si>
  <si>
    <t>LEYTON ORTIZ</t>
  </si>
  <si>
    <t>YOUSELIN</t>
  </si>
  <si>
    <t>CRUZ LEAÑOS</t>
  </si>
  <si>
    <t>GROVER</t>
  </si>
  <si>
    <t>MALDONADO FERNANDEZ</t>
  </si>
  <si>
    <t>DALCY</t>
  </si>
  <si>
    <t>SILES ROSADO</t>
  </si>
  <si>
    <t>REYNALDO</t>
  </si>
  <si>
    <t>MATURANO CRUZ</t>
  </si>
  <si>
    <t>MARTHA</t>
  </si>
  <si>
    <t>URQUIZU SALINAS</t>
  </si>
  <si>
    <t>MEDINA TORREZ</t>
  </si>
  <si>
    <t>MARTINEZ FERNANDEZ</t>
  </si>
  <si>
    <t>JUAN DANIEL</t>
  </si>
  <si>
    <t>NUÑEZ TEJERINA</t>
  </si>
  <si>
    <t>EMY RUDY</t>
  </si>
  <si>
    <t>VICTOR HUGO</t>
  </si>
  <si>
    <t>RIBERA CARRASCO</t>
  </si>
  <si>
    <t>MARIA DEISY</t>
  </si>
  <si>
    <t>TERRAZAS GUTIERREZ</t>
  </si>
  <si>
    <t>JUAN</t>
  </si>
  <si>
    <t>ROCHA LIMON</t>
  </si>
  <si>
    <t>CAROLITA</t>
  </si>
  <si>
    <t>GUZMAN GUZMAN</t>
  </si>
  <si>
    <t>VICTOR JOSE</t>
  </si>
  <si>
    <t>RODRIGUEZ FRANCES</t>
  </si>
  <si>
    <t>ISABEL</t>
  </si>
  <si>
    <t>RODRIGUEZ JILLAPA</t>
  </si>
  <si>
    <t>MATIAS</t>
  </si>
  <si>
    <t>SANCHEZ LINO</t>
  </si>
  <si>
    <t>IRENIA</t>
  </si>
  <si>
    <t>RODRIGUEZ CORTEZ</t>
  </si>
  <si>
    <t>CIRO</t>
  </si>
  <si>
    <t>TORREZ ROSEL</t>
  </si>
  <si>
    <t>MERY</t>
  </si>
  <si>
    <t>AGUADO TORREZ</t>
  </si>
  <si>
    <t>WINDER</t>
  </si>
  <si>
    <t>VIZA CHOQUE</t>
  </si>
  <si>
    <t>ANA ISABEL</t>
  </si>
  <si>
    <t>APAZA MAMANI</t>
  </si>
  <si>
    <t>ACUÑA AIZA</t>
  </si>
  <si>
    <t>ADAN RIVERO</t>
  </si>
  <si>
    <t>AGUAYO PEÑARRIETA</t>
  </si>
  <si>
    <t>AGUILAR CARTAGENA</t>
  </si>
  <si>
    <t>BARRIENTOS MARTINEZ</t>
  </si>
  <si>
    <t>BASUALDO ROSADO</t>
  </si>
  <si>
    <t>BENITEZ MURILLO</t>
  </si>
  <si>
    <t>BURGOS PACO</t>
  </si>
  <si>
    <t>CABRERA ALCOBA</t>
  </si>
  <si>
    <t>CARBAJAL MAMANI</t>
  </si>
  <si>
    <t>CARRISALES LOPEZ</t>
  </si>
  <si>
    <t>CLAROS ZAPATA</t>
  </si>
  <si>
    <t>COLQUE ACHO</t>
  </si>
  <si>
    <t>CORONADO VARGAS</t>
  </si>
  <si>
    <t>CUELLAR RIVERA</t>
  </si>
  <si>
    <t>CUELLAR SANTOS</t>
  </si>
  <si>
    <t>ESTRADA MARTINEZ</t>
  </si>
  <si>
    <t>FRANCO RODRIGUEZ</t>
  </si>
  <si>
    <t>GONZALES QUEMAYA</t>
  </si>
  <si>
    <t>HEREDIA FERNANDEZ</t>
  </si>
  <si>
    <t>HUARACA RODRIGUEZ</t>
  </si>
  <si>
    <t>JIMENEZ FLORES</t>
  </si>
  <si>
    <t>LANZA ALVAREZ</t>
  </si>
  <si>
    <t>LEAÑOS PRADO</t>
  </si>
  <si>
    <t>LEYTON CRUZ</t>
  </si>
  <si>
    <t>MALDONADO SILES</t>
  </si>
  <si>
    <t>MAMANI LLANOS</t>
  </si>
  <si>
    <t>MATURANO URQUIZU</t>
  </si>
  <si>
    <t>MEDINA MARTINEZ</t>
  </si>
  <si>
    <t>RIBERA TERRAZAS</t>
  </si>
  <si>
    <t>ROCHA GUZMAN</t>
  </si>
  <si>
    <t>SANCHEZ RODRIGUEZ</t>
  </si>
  <si>
    <t>TORREZ AGUADO</t>
  </si>
  <si>
    <t>VIZA APAZA</t>
  </si>
  <si>
    <t>ACHO GOMEZ</t>
  </si>
  <si>
    <t>AREVALO ZEGARRA</t>
  </si>
  <si>
    <t>CAMACHO PACO</t>
  </si>
  <si>
    <t>CONDORI MARTINEZ</t>
  </si>
  <si>
    <t>DUTRA ASILLO</t>
  </si>
  <si>
    <t>ENRRIQUEZ MAMANI</t>
  </si>
  <si>
    <t>FLORES BARRERA</t>
  </si>
  <si>
    <t>GALARZA CONDORI</t>
  </si>
  <si>
    <t>GALLO ESTRADA</t>
  </si>
  <si>
    <t>GUTIERREZ MEDINA</t>
  </si>
  <si>
    <t>JALDIN LLENES</t>
  </si>
  <si>
    <t>LEON ARANCIBIA</t>
  </si>
  <si>
    <t>LEON PADILLA</t>
  </si>
  <si>
    <t>LIMON BURGOS</t>
  </si>
  <si>
    <t>MEDINA ARIMOZA</t>
  </si>
  <si>
    <t>ORELLANA CRUZ</t>
  </si>
  <si>
    <t>OROPEZA VEDIA</t>
  </si>
  <si>
    <t>PUMACAYO CARVALHO</t>
  </si>
  <si>
    <t>QUELCA CRUZ</t>
  </si>
  <si>
    <t>QUENTA ALBORNOS</t>
  </si>
  <si>
    <t>RAMIREZ PACO</t>
  </si>
  <si>
    <t>ROCHA TITO</t>
  </si>
  <si>
    <t>ROJAS LLANOS</t>
  </si>
  <si>
    <t>SAUZA ARIAS</t>
  </si>
  <si>
    <t>SEAS LEON</t>
  </si>
  <si>
    <t>TABORGA CHAVEZ</t>
  </si>
  <si>
    <t>VARGAS CONDORI</t>
  </si>
  <si>
    <t>VARGAS ORELLANA</t>
  </si>
  <si>
    <t>VELASQUEZ QUENTA</t>
  </si>
  <si>
    <t>VIDAL LIJERON</t>
  </si>
  <si>
    <t>YELMA HUAYHUA</t>
  </si>
  <si>
    <t>MAMANI FIGUEROA</t>
  </si>
  <si>
    <t>CESPEDEZ DIAZ</t>
  </si>
  <si>
    <t>NUÑEZ MURRILLO</t>
  </si>
  <si>
    <t>GUSTAVO AGUSTIN</t>
  </si>
  <si>
    <t>ACHO CALLA</t>
  </si>
  <si>
    <t>MARLENE TERESA</t>
  </si>
  <si>
    <t>GOMEZ CHOQUE</t>
  </si>
  <si>
    <t xml:space="preserve">NOEL  </t>
  </si>
  <si>
    <t>AREVALO JORDAN</t>
  </si>
  <si>
    <t>MARGOT</t>
  </si>
  <si>
    <t>ZEGARRA NUÑEZ</t>
  </si>
  <si>
    <t>CESPEDES SARAVIA</t>
  </si>
  <si>
    <t xml:space="preserve">MARLENE  </t>
  </si>
  <si>
    <t>VEDIA BALLESTEROS</t>
  </si>
  <si>
    <t>CARLOS</t>
  </si>
  <si>
    <t>CHAVEZ ORTUÑO</t>
  </si>
  <si>
    <t>MEJIA BEJARANO</t>
  </si>
  <si>
    <t>LUCIANO</t>
  </si>
  <si>
    <t>CONDORI AGUILAR</t>
  </si>
  <si>
    <t>AGUSTINA</t>
  </si>
  <si>
    <t>MARTINEZ MILLARES</t>
  </si>
  <si>
    <t>JORGE IVAN</t>
  </si>
  <si>
    <t>DUTRA MENDOZA</t>
  </si>
  <si>
    <t>ISILDA</t>
  </si>
  <si>
    <t>ASILLO MAMANI</t>
  </si>
  <si>
    <t xml:space="preserve">FERNANDO  </t>
  </si>
  <si>
    <t>ENRRIQUEZ TORREZ</t>
  </si>
  <si>
    <t>GETHZY IVETH</t>
  </si>
  <si>
    <t>HUMBERTO MARIO</t>
  </si>
  <si>
    <t>FLORES PUITA</t>
  </si>
  <si>
    <t>ESMERALDA MARINA</t>
  </si>
  <si>
    <t>BARRERA PUMA</t>
  </si>
  <si>
    <t>NICANOR</t>
  </si>
  <si>
    <t>GALARZA FERNANDEZ</t>
  </si>
  <si>
    <t>CONDORI LOPEZ</t>
  </si>
  <si>
    <t>IVAN</t>
  </si>
  <si>
    <t>GALLO SEGUNDO</t>
  </si>
  <si>
    <t>BEATRIZ</t>
  </si>
  <si>
    <t>ESTRADA BOCANEGRA</t>
  </si>
  <si>
    <t>ALBERTO</t>
  </si>
  <si>
    <t>GAMBOA MOSCOSO</t>
  </si>
  <si>
    <t>TEOLINDA</t>
  </si>
  <si>
    <t>HUAILLA LOPEZ</t>
  </si>
  <si>
    <t>WILDER LUIS</t>
  </si>
  <si>
    <t>GUTIERREZ ZABALA</t>
  </si>
  <si>
    <t>LEIDY KAROLA</t>
  </si>
  <si>
    <t>MEDINA BELTRAN</t>
  </si>
  <si>
    <t>EDIN</t>
  </si>
  <si>
    <t>JALDIN MARTINEZ</t>
  </si>
  <si>
    <t>ELVA</t>
  </si>
  <si>
    <t>LLENES SALAZAR</t>
  </si>
  <si>
    <t>ROBERTH TITO</t>
  </si>
  <si>
    <t>LEON ALDANA</t>
  </si>
  <si>
    <t>ZUNILDA</t>
  </si>
  <si>
    <t>ARANCIBIA ROSADO</t>
  </si>
  <si>
    <t>LUIS ALBERTO</t>
  </si>
  <si>
    <t>LEON BARRON</t>
  </si>
  <si>
    <t>BASILIA</t>
  </si>
  <si>
    <t>PADILLA REINA</t>
  </si>
  <si>
    <t xml:space="preserve">ALEXANDER </t>
  </si>
  <si>
    <t>LIMON SALVATIERRA</t>
  </si>
  <si>
    <t>BURGOS ROBLES</t>
  </si>
  <si>
    <t>YOHNY</t>
  </si>
  <si>
    <t>MEDINA ALCOBA</t>
  </si>
  <si>
    <t>CELESTINA</t>
  </si>
  <si>
    <t>ARIMOZA CARBALLO</t>
  </si>
  <si>
    <t>HENRY</t>
  </si>
  <si>
    <t>ORELLANA ARISPE</t>
  </si>
  <si>
    <t>CRUZ AGUIRRE</t>
  </si>
  <si>
    <t>OROPEZA OROPEZA</t>
  </si>
  <si>
    <t>ZONIA</t>
  </si>
  <si>
    <t xml:space="preserve">VEDIA   </t>
  </si>
  <si>
    <t xml:space="preserve">YANIRA </t>
  </si>
  <si>
    <t>CARVALHO ESCOBAR</t>
  </si>
  <si>
    <t>CELSO</t>
  </si>
  <si>
    <t>QUELCA VILLCA</t>
  </si>
  <si>
    <t xml:space="preserve">CRISTINA </t>
  </si>
  <si>
    <t>CRUZ OYOLA</t>
  </si>
  <si>
    <t>FELIMON</t>
  </si>
  <si>
    <t>QUENTA BARRIENTOS</t>
  </si>
  <si>
    <t>LUZ CORAZON</t>
  </si>
  <si>
    <t>ALBORNOS ZABALAGA</t>
  </si>
  <si>
    <t>RAMIREZ CAMPOSANO</t>
  </si>
  <si>
    <t>PACO DURAN</t>
  </si>
  <si>
    <t>JENRY</t>
  </si>
  <si>
    <t>ROCHA CASTRO</t>
  </si>
  <si>
    <t>ELSA</t>
  </si>
  <si>
    <t>TITO CABRERA</t>
  </si>
  <si>
    <t>RODRIGO</t>
  </si>
  <si>
    <t>ROJAS SEA</t>
  </si>
  <si>
    <t>CARLA PATRICIA</t>
  </si>
  <si>
    <t>LLANOS ESCOBAR</t>
  </si>
  <si>
    <t>NICACIO</t>
  </si>
  <si>
    <t>SAUZA FLORES</t>
  </si>
  <si>
    <t>SIMONA</t>
  </si>
  <si>
    <t>ARIAS RENGIPO</t>
  </si>
  <si>
    <t>SEAS ASCARRAGA</t>
  </si>
  <si>
    <t>ABIGAIL</t>
  </si>
  <si>
    <t>LEON SEAS</t>
  </si>
  <si>
    <t>TABORGA</t>
  </si>
  <si>
    <t>MARY LUZ</t>
  </si>
  <si>
    <t>CHAVEZ RODA</t>
  </si>
  <si>
    <t>GERVACIO</t>
  </si>
  <si>
    <t>TORRICO VALLEJOS</t>
  </si>
  <si>
    <t>CECILIA</t>
  </si>
  <si>
    <t>CASTRO PINTO</t>
  </si>
  <si>
    <t>JULIO FERNANDO</t>
  </si>
  <si>
    <t>VARGAS VARGAS</t>
  </si>
  <si>
    <t>ROSALIA</t>
  </si>
  <si>
    <t>CONDORI ALANES</t>
  </si>
  <si>
    <t>ANDRES</t>
  </si>
  <si>
    <t>VARGAS MENCHACA</t>
  </si>
  <si>
    <t>CELIA</t>
  </si>
  <si>
    <t>ORELLANA GUTIERREZ</t>
  </si>
  <si>
    <t>ISAIAS</t>
  </si>
  <si>
    <t>VELASQUEZ GUZMAN</t>
  </si>
  <si>
    <t>DOLORES</t>
  </si>
  <si>
    <t>CESAR</t>
  </si>
  <si>
    <t>VIDAL ORTIZ</t>
  </si>
  <si>
    <t>PAOLA</t>
  </si>
  <si>
    <t>LIJERON RAMIREZ</t>
  </si>
  <si>
    <t>CRISPIN</t>
  </si>
  <si>
    <t>VILLCA NINAVIA</t>
  </si>
  <si>
    <t>ELIANA</t>
  </si>
  <si>
    <t>CONDORI QUISPE</t>
  </si>
  <si>
    <t>YELMA SANCHEZ</t>
  </si>
  <si>
    <t>HUAYHUA ARENAS</t>
  </si>
  <si>
    <t>CESPEDEZ VEDIA</t>
  </si>
  <si>
    <t>CHAVEZ MEJIA</t>
  </si>
  <si>
    <t>GAMBOA HUALILLA</t>
  </si>
  <si>
    <t>VILLCA CONDORI</t>
  </si>
  <si>
    <t xml:space="preserve">BASE DE DATOS DE LOS APORTE DE LOS PADRES </t>
  </si>
  <si>
    <t>SINDOC</t>
  </si>
  <si>
    <t>SIN NOMBRE</t>
  </si>
  <si>
    <t>GUDIÑO</t>
  </si>
  <si>
    <t xml:space="preserve">SIN NOMBRE </t>
  </si>
  <si>
    <t xml:space="preserve">PUMACAYO  </t>
  </si>
  <si>
    <t>MAMANI</t>
  </si>
  <si>
    <t xml:space="preserve">LLANOS  </t>
  </si>
  <si>
    <t>JUAN CARLOS</t>
  </si>
  <si>
    <t>GONZALES CAMPOS</t>
  </si>
  <si>
    <t>HERMINIA</t>
  </si>
  <si>
    <t>QUEMAYA GARCIA</t>
  </si>
  <si>
    <t>CURSOHER</t>
  </si>
  <si>
    <t>2B-</t>
  </si>
  <si>
    <t>5B-6A</t>
  </si>
  <si>
    <t>419800212016031.</t>
  </si>
  <si>
    <t>MARIA ISABEL</t>
  </si>
  <si>
    <t>VELASQUEZ MORALES</t>
  </si>
  <si>
    <t>CIMAR</t>
  </si>
  <si>
    <t>ABUJDER BARJA</t>
  </si>
  <si>
    <t xml:space="preserve">JIMMY </t>
  </si>
  <si>
    <t>ALVAREZ CONTRERAS</t>
  </si>
  <si>
    <t>YENNY</t>
  </si>
  <si>
    <t>ROJAS CLAURE</t>
  </si>
  <si>
    <t>MAURICIO</t>
  </si>
  <si>
    <t>BARRIGA VEDIA</t>
  </si>
  <si>
    <t>CRECENCIA</t>
  </si>
  <si>
    <t>AVALOS GARNICA</t>
  </si>
  <si>
    <t>CAIRO</t>
  </si>
  <si>
    <t>BEJARANO CHOQUE</t>
  </si>
  <si>
    <t xml:space="preserve">JESUS </t>
  </si>
  <si>
    <t>CASTRO FARELL</t>
  </si>
  <si>
    <t>SALVATIERRA JIMENEZ</t>
  </si>
  <si>
    <t>419800212016055.</t>
  </si>
  <si>
    <t>JOSE LUIS</t>
  </si>
  <si>
    <t>VICTORIA</t>
  </si>
  <si>
    <t>FLORES MENDOZA</t>
  </si>
  <si>
    <t>41980021201617004.</t>
  </si>
  <si>
    <t>SANTIAGO</t>
  </si>
  <si>
    <t>NEOLID</t>
  </si>
  <si>
    <t>VARON ARANCIBIA</t>
  </si>
  <si>
    <t>419800212016033.</t>
  </si>
  <si>
    <t>LUCY MAR</t>
  </si>
  <si>
    <t>TAPIA LARA</t>
  </si>
  <si>
    <t>419800262017017.</t>
  </si>
  <si>
    <t>ESTENISLAO</t>
  </si>
  <si>
    <t>GONZALES MAREÑO</t>
  </si>
  <si>
    <t>ARICOMA CORCHADO</t>
  </si>
  <si>
    <t>419800302017016.</t>
  </si>
  <si>
    <t>HIPANO NOVA</t>
  </si>
  <si>
    <t>MONICA</t>
  </si>
  <si>
    <t>MAMANI GONZALES</t>
  </si>
  <si>
    <t>419800212016098.</t>
  </si>
  <si>
    <t>ZENON</t>
  </si>
  <si>
    <t>LINO OSINAGA</t>
  </si>
  <si>
    <t>YOBANA</t>
  </si>
  <si>
    <t>GUTIERREZ VACA</t>
  </si>
  <si>
    <t>419800212016099.</t>
  </si>
  <si>
    <t>LIAN ABACUR</t>
  </si>
  <si>
    <t>LOPEZ CONDORI</t>
  </si>
  <si>
    <t>NORMA</t>
  </si>
  <si>
    <t>FLORES ABREGO</t>
  </si>
  <si>
    <t>419800212016077.</t>
  </si>
  <si>
    <t>FRAN REINALDO</t>
  </si>
  <si>
    <t>MAMANI MORALES</t>
  </si>
  <si>
    <t>419800212016086.</t>
  </si>
  <si>
    <t>MALVERDE CARBALLO</t>
  </si>
  <si>
    <t>CARABALLO FLORES</t>
  </si>
  <si>
    <t>419800212016046.</t>
  </si>
  <si>
    <t>FELIPE</t>
  </si>
  <si>
    <t>MAMANI MORA</t>
  </si>
  <si>
    <t>FIGUEROA SARDINAS</t>
  </si>
  <si>
    <t>419800212016035.</t>
  </si>
  <si>
    <t>MAMANI GIRA</t>
  </si>
  <si>
    <t>REYNA</t>
  </si>
  <si>
    <t>GALARZA PEREDO</t>
  </si>
  <si>
    <t>419800212017091.</t>
  </si>
  <si>
    <t>MARISCAL GARCIA</t>
  </si>
  <si>
    <t>419800212016073.</t>
  </si>
  <si>
    <t>4C-5C</t>
  </si>
  <si>
    <t>GABRIEL ANGEL</t>
  </si>
  <si>
    <t>MINA MORENO</t>
  </si>
  <si>
    <t>KATHERINE</t>
  </si>
  <si>
    <t>TERCEROS LINO</t>
  </si>
  <si>
    <t>819802512016019.</t>
  </si>
  <si>
    <t>MURILLO VARGAS</t>
  </si>
  <si>
    <t xml:space="preserve">ALBER </t>
  </si>
  <si>
    <t>NAVARRO SOLIZ</t>
  </si>
  <si>
    <t>RAMOS VILLEGAS</t>
  </si>
  <si>
    <t>419800212016024.</t>
  </si>
  <si>
    <t>PADILLA CARBALLO</t>
  </si>
  <si>
    <t>VIRGINIA</t>
  </si>
  <si>
    <t>ANTIVERROS MANRIQUE</t>
  </si>
  <si>
    <t>419800212016102.</t>
  </si>
  <si>
    <t>419800212016071.</t>
  </si>
  <si>
    <t>TEODORO</t>
  </si>
  <si>
    <t>PADILLA MENDOZA</t>
  </si>
  <si>
    <t>FIORELA</t>
  </si>
  <si>
    <t>PADILLA MONTAÑO</t>
  </si>
  <si>
    <t>419800162017003.</t>
  </si>
  <si>
    <t>ROMEL</t>
  </si>
  <si>
    <t>PADILLA MARTINEZ</t>
  </si>
  <si>
    <t>LUCI ROCIO</t>
  </si>
  <si>
    <t>ROMERO AVILA</t>
  </si>
  <si>
    <t>419800212016058.</t>
  </si>
  <si>
    <t>CALIXTO</t>
  </si>
  <si>
    <t>PERALTA SEVERICHE</t>
  </si>
  <si>
    <t>LAURA</t>
  </si>
  <si>
    <t>CORCHADO BEJARANO</t>
  </si>
  <si>
    <t>419800212016060.</t>
  </si>
  <si>
    <t>PORCO FLORES</t>
  </si>
  <si>
    <t>419800212016027.</t>
  </si>
  <si>
    <t>JULIAN</t>
  </si>
  <si>
    <t>RAMOS RAMOS</t>
  </si>
  <si>
    <t>OLGA</t>
  </si>
  <si>
    <t>ROQUE TARAÑA</t>
  </si>
  <si>
    <t>4198002120153453.</t>
  </si>
  <si>
    <t>RONALD</t>
  </si>
  <si>
    <t>REYNOSO</t>
  </si>
  <si>
    <t>MARIA ELSA</t>
  </si>
  <si>
    <t>GARCIA CUCHALLO</t>
  </si>
  <si>
    <t>41980021201686998.</t>
  </si>
  <si>
    <t>RODRIGUEZ PORTAL</t>
  </si>
  <si>
    <t>CAMARGO CARBALLO</t>
  </si>
  <si>
    <t>JOSE RIDER</t>
  </si>
  <si>
    <t>RODRIGUEZ</t>
  </si>
  <si>
    <t>HELEN JAEL</t>
  </si>
  <si>
    <t>MONTAÑO CUELLAR</t>
  </si>
  <si>
    <t>419800302017015.</t>
  </si>
  <si>
    <t>419800262017053.</t>
  </si>
  <si>
    <t>RENE</t>
  </si>
  <si>
    <t>ROSAS TORRICO</t>
  </si>
  <si>
    <t xml:space="preserve">JULIA </t>
  </si>
  <si>
    <t>ACARAPI PORCEL</t>
  </si>
  <si>
    <t>419800272017001.</t>
  </si>
  <si>
    <t>SAMUEL</t>
  </si>
  <si>
    <t>SALAZAR SERRANO</t>
  </si>
  <si>
    <t>VICENTA</t>
  </si>
  <si>
    <t>MOSCOSO ROMERO</t>
  </si>
  <si>
    <t>419800212016028.</t>
  </si>
  <si>
    <t>ADAN</t>
  </si>
  <si>
    <t>SENZANO MOLINA</t>
  </si>
  <si>
    <t>CLAROS ORELLANA</t>
  </si>
  <si>
    <t>809700722019365.</t>
  </si>
  <si>
    <t>SERRUDO CARDENAS</t>
  </si>
  <si>
    <t>MARTINA</t>
  </si>
  <si>
    <t>BARJA CACERES</t>
  </si>
  <si>
    <t>419800262017082.</t>
  </si>
  <si>
    <t>SEVERICHE BOVARIN</t>
  </si>
  <si>
    <t>ROSSE MARY</t>
  </si>
  <si>
    <t>419800212016103.</t>
  </si>
  <si>
    <t>BERNALDO</t>
  </si>
  <si>
    <t>VARON ARATEA</t>
  </si>
  <si>
    <t>MERCEDES</t>
  </si>
  <si>
    <t>ROCHA SANGUINO</t>
  </si>
  <si>
    <t>419800212016067.</t>
  </si>
  <si>
    <t>JOSE</t>
  </si>
  <si>
    <t>VILLAROEL OSINAGA</t>
  </si>
  <si>
    <t>MARGARITA ISABEL</t>
  </si>
  <si>
    <t>RIBERA TERCEROS</t>
  </si>
  <si>
    <t>819815452016035.</t>
  </si>
  <si>
    <t>ELMER</t>
  </si>
  <si>
    <t>ZURITA MERCADO</t>
  </si>
  <si>
    <t>MARIBEL ROSARIO</t>
  </si>
  <si>
    <t>HERRERA REBOLLO</t>
  </si>
  <si>
    <t>419800212017093.</t>
  </si>
  <si>
    <t xml:space="preserve">CORNELIO </t>
  </si>
  <si>
    <t>APAZA DASA</t>
  </si>
  <si>
    <t>SEVERA</t>
  </si>
  <si>
    <t>RIVADENEIRA CRUZ</t>
  </si>
  <si>
    <t>419800212016044.</t>
  </si>
  <si>
    <t>VIRGINIA VICTOR</t>
  </si>
  <si>
    <t>AVILES CAZON</t>
  </si>
  <si>
    <t>DELMA</t>
  </si>
  <si>
    <t>RAMIREZ PEREZ</t>
  </si>
  <si>
    <t>419800212016093.</t>
  </si>
  <si>
    <t>COSME</t>
  </si>
  <si>
    <t>SONIA</t>
  </si>
  <si>
    <t>CUEBAS VILLAGOMES</t>
  </si>
  <si>
    <t>419800212016074.</t>
  </si>
  <si>
    <t>419800212016004.</t>
  </si>
  <si>
    <t>FRANCISCO</t>
  </si>
  <si>
    <t>CONTRERAS DELGADILLO</t>
  </si>
  <si>
    <t>419800212016047.</t>
  </si>
  <si>
    <t>PAULINO</t>
  </si>
  <si>
    <t>CORREA SOTO</t>
  </si>
  <si>
    <t>ADALID ROSLIN</t>
  </si>
  <si>
    <t>VARGAS ACHO</t>
  </si>
  <si>
    <t>419800212016036.</t>
  </si>
  <si>
    <t>SANDRO</t>
  </si>
  <si>
    <t>CUELLAR VELASQUEZ</t>
  </si>
  <si>
    <t>LOURDES</t>
  </si>
  <si>
    <t>BALDERAS VEDIA</t>
  </si>
  <si>
    <t>RINER</t>
  </si>
  <si>
    <t>GARCIA URIONA</t>
  </si>
  <si>
    <t>MATURANO GARCIA</t>
  </si>
  <si>
    <t>618801742016033.</t>
  </si>
  <si>
    <t>419800262017064.</t>
  </si>
  <si>
    <t>DULFREDO</t>
  </si>
  <si>
    <t>GARNICA POLANCO</t>
  </si>
  <si>
    <t>GUADALUPE</t>
  </si>
  <si>
    <t>MENECES URIONA</t>
  </si>
  <si>
    <t>419800212016062.</t>
  </si>
  <si>
    <t>IVERT</t>
  </si>
  <si>
    <t>HURTADO MENDEZ</t>
  </si>
  <si>
    <t>NILDA</t>
  </si>
  <si>
    <t>419800622018003.</t>
  </si>
  <si>
    <t>JUAN DIEGO</t>
  </si>
  <si>
    <t>IPORRE MARTINEZ</t>
  </si>
  <si>
    <t>PINO FLORES</t>
  </si>
  <si>
    <t>419800212016087.</t>
  </si>
  <si>
    <t>LLANOS CRUZ</t>
  </si>
  <si>
    <t>QUIROZ GONZALES</t>
  </si>
  <si>
    <t>419800212016023.</t>
  </si>
  <si>
    <t>ELIODORO</t>
  </si>
  <si>
    <t>LOPEZ CASTILLO</t>
  </si>
  <si>
    <t>419800712016047.</t>
  </si>
  <si>
    <t>MAMANI OCHOA</t>
  </si>
  <si>
    <t>SEMIDA</t>
  </si>
  <si>
    <t>CUCHALLO TORRICO</t>
  </si>
  <si>
    <t>419800262017006.</t>
  </si>
  <si>
    <t>MARTINEZ PEREZ</t>
  </si>
  <si>
    <t>419800312016041.</t>
  </si>
  <si>
    <t>MARQUEZ ZUAZO</t>
  </si>
  <si>
    <t>LEANDRA</t>
  </si>
  <si>
    <t>JOSE ROJAS</t>
  </si>
  <si>
    <t>419800212016022.</t>
  </si>
  <si>
    <t>JUAQUIN</t>
  </si>
  <si>
    <t>OLMOS ALCOCER</t>
  </si>
  <si>
    <t>MARIBEL</t>
  </si>
  <si>
    <t>AGUADO ROJAS</t>
  </si>
  <si>
    <t>GUIDO</t>
  </si>
  <si>
    <t>ORONOS PADILLA</t>
  </si>
  <si>
    <t>ANABEL RUTH</t>
  </si>
  <si>
    <t>CHIRINO FLORES</t>
  </si>
  <si>
    <t>41980021201606.</t>
  </si>
  <si>
    <t>419800312016056.</t>
  </si>
  <si>
    <t xml:space="preserve">JORGE  </t>
  </si>
  <si>
    <t>PADILLA ALBERIO</t>
  </si>
  <si>
    <t>ELVIRA</t>
  </si>
  <si>
    <t>ORIAS CESPEDES</t>
  </si>
  <si>
    <t>419800212017092.</t>
  </si>
  <si>
    <t>ALFONSO</t>
  </si>
  <si>
    <t>PAREDES ROJAS</t>
  </si>
  <si>
    <t>CUCHALLO DURAN</t>
  </si>
  <si>
    <t>419800722016007.</t>
  </si>
  <si>
    <t>PEÑA SALDAÑA</t>
  </si>
  <si>
    <t>YULI</t>
  </si>
  <si>
    <t>MIRANDA PADILLA</t>
  </si>
  <si>
    <t>419800212017098.</t>
  </si>
  <si>
    <t>JOSE ARTURO</t>
  </si>
  <si>
    <t>PINTO ORELLANA</t>
  </si>
  <si>
    <t>MARIA ESTHER</t>
  </si>
  <si>
    <t>MAMANI ORELLANA</t>
  </si>
  <si>
    <t>419800572017010.</t>
  </si>
  <si>
    <t>8198003212016017.</t>
  </si>
  <si>
    <t>ARTURO</t>
  </si>
  <si>
    <t>ROMAN ROCA</t>
  </si>
  <si>
    <t>MIRIAM</t>
  </si>
  <si>
    <t>FUENTES HEREDIA</t>
  </si>
  <si>
    <t>419800212016085.</t>
  </si>
  <si>
    <t>MEDINA NOVA</t>
  </si>
  <si>
    <t>419800212016001.</t>
  </si>
  <si>
    <t>LUIS FERNANDO</t>
  </si>
  <si>
    <t>SANCHEZ MALLEA</t>
  </si>
  <si>
    <t>DELGADILLO RAMOS</t>
  </si>
  <si>
    <t>419800212017094.</t>
  </si>
  <si>
    <t>JAVIER</t>
  </si>
  <si>
    <t>SEGARRA NUÑEZ</t>
  </si>
  <si>
    <t>ANAHI</t>
  </si>
  <si>
    <t>419800212016070.</t>
  </si>
  <si>
    <t>RAMIRO</t>
  </si>
  <si>
    <t>MARICELA</t>
  </si>
  <si>
    <t>ZAMBRANA PADILLA</t>
  </si>
  <si>
    <t>419800312016070.</t>
  </si>
  <si>
    <t>SEÑA MANZANO</t>
  </si>
  <si>
    <t>419800072016014.</t>
  </si>
  <si>
    <t>WILSON AMILKAR</t>
  </si>
  <si>
    <t>SOLIZ HINOJOSA</t>
  </si>
  <si>
    <t>DURAN FLORES</t>
  </si>
  <si>
    <t>FLORENCIO</t>
  </si>
  <si>
    <t>UGARTE GOMEZ</t>
  </si>
  <si>
    <t>DELIA MARCELA</t>
  </si>
  <si>
    <t>VARGAS RIVERA</t>
  </si>
  <si>
    <t>419800212016069.</t>
  </si>
  <si>
    <t>LUCIO</t>
  </si>
  <si>
    <t>VALLEJOS AGUILERA</t>
  </si>
  <si>
    <t>CLAUDIA VERONICA</t>
  </si>
  <si>
    <t>FLORES TASEO</t>
  </si>
  <si>
    <t>41980021201628517.</t>
  </si>
  <si>
    <t>PABLITO</t>
  </si>
  <si>
    <t>VALVERDE CASTRO</t>
  </si>
  <si>
    <t>LORENZA</t>
  </si>
  <si>
    <t>AMADOR SULLCA</t>
  </si>
  <si>
    <t>419800642017053.</t>
  </si>
  <si>
    <t>RICHARD JOSE</t>
  </si>
  <si>
    <t>VARGAS TELLEZ</t>
  </si>
  <si>
    <t>YOLY</t>
  </si>
  <si>
    <t>ARCE POLANCO</t>
  </si>
  <si>
    <t>808900712017423.</t>
  </si>
  <si>
    <t>MILTON</t>
  </si>
  <si>
    <t>VASQUEZ MENDIETA</t>
  </si>
  <si>
    <t>NEIDA</t>
  </si>
  <si>
    <t>419800212016025.</t>
  </si>
  <si>
    <t>OSCAR</t>
  </si>
  <si>
    <t>HILDA</t>
  </si>
  <si>
    <t>MAMANI EUGENIO</t>
  </si>
  <si>
    <t>419800212016066.</t>
  </si>
  <si>
    <t>ZURITA ORELLANA</t>
  </si>
  <si>
    <t>SIRLE YAQUELIN</t>
  </si>
  <si>
    <t>VARGAS RODRIGUEZ</t>
  </si>
  <si>
    <t>419800712016040.</t>
  </si>
  <si>
    <t>10607….</t>
  </si>
  <si>
    <t>ABUJDER VELASCO</t>
  </si>
  <si>
    <t>CAIRO BEJARANO</t>
  </si>
  <si>
    <t>GOMEZ TAPIA</t>
  </si>
  <si>
    <t>GONZALES ARICOMA</t>
  </si>
  <si>
    <t>LOPEZ FLORES</t>
  </si>
  <si>
    <t>MARISCAL FLORES</t>
  </si>
  <si>
    <t xml:space="preserve">ALVARES ROJAS  </t>
  </si>
  <si>
    <t>CASTRO SALVATIERRA</t>
  </si>
  <si>
    <t>CRUZ FLORES</t>
  </si>
  <si>
    <t>HIPAMO MAMANI</t>
  </si>
  <si>
    <t>LINO GUTIERREZ</t>
  </si>
  <si>
    <t>LOPEZ MAMANI</t>
  </si>
  <si>
    <t>MALVERDE CARABALLO</t>
  </si>
  <si>
    <t>MAMANI GALARZA</t>
  </si>
  <si>
    <t>MINA TERCEROS</t>
  </si>
  <si>
    <t xml:space="preserve">BARRIGA AVALOS </t>
  </si>
  <si>
    <t xml:space="preserve">ESTRADA VARON </t>
  </si>
  <si>
    <t>MURILLO VARON</t>
  </si>
  <si>
    <t>NAVARRO RAMOS</t>
  </si>
  <si>
    <t>PADILLA ANTIVEROS</t>
  </si>
  <si>
    <t>PADILLA PADILLA</t>
  </si>
  <si>
    <t>PADILLA ROMERO</t>
  </si>
  <si>
    <t>PERALTA CORCHADO</t>
  </si>
  <si>
    <t>PORCO MAMANI</t>
  </si>
  <si>
    <t>RAMOS ROQUE</t>
  </si>
  <si>
    <t>REYNOSO GARCIA</t>
  </si>
  <si>
    <t>RODRIGUEZ CAMARGO</t>
  </si>
  <si>
    <t>RODRIGUEZ MONTAÑO</t>
  </si>
  <si>
    <t>ROSAS ACARAPI</t>
  </si>
  <si>
    <t>SALAZAR MOSCOSO</t>
  </si>
  <si>
    <t>SENZANO CLAROS</t>
  </si>
  <si>
    <t>SERRUDO BARJA</t>
  </si>
  <si>
    <t>VARON ROCHA</t>
  </si>
  <si>
    <t>VALLAROEL RIBERA</t>
  </si>
  <si>
    <t>ZURITA HERRERA</t>
  </si>
  <si>
    <t>APAZA RIVADENEIRA</t>
  </si>
  <si>
    <t>AVILES RAMIREZ</t>
  </si>
  <si>
    <t>BEJARANO CUEBAS</t>
  </si>
  <si>
    <t>CONTRERAS ROMERO</t>
  </si>
  <si>
    <t>CORREA VARGAS</t>
  </si>
  <si>
    <t>CUELLAR BALDERAS</t>
  </si>
  <si>
    <t>GARCIA MATURANO</t>
  </si>
  <si>
    <t>GARNICA MENECES</t>
  </si>
  <si>
    <t>HURTADO HUAYHUA</t>
  </si>
  <si>
    <t>IPORRE PINO</t>
  </si>
  <si>
    <t>LLANOS QUIROZ</t>
  </si>
  <si>
    <t>LOPEZ LOPEZ</t>
  </si>
  <si>
    <t>MAMANI CUCHALLO</t>
  </si>
  <si>
    <t>MAMANI MARTINEZ</t>
  </si>
  <si>
    <t>MARQUEZ JOSE</t>
  </si>
  <si>
    <t>OLMOS AGUADO</t>
  </si>
  <si>
    <t>ORONOS CHIRINO</t>
  </si>
  <si>
    <t>PADILLA ORIAS</t>
  </si>
  <si>
    <t>PAREDES CUCHALLO</t>
  </si>
  <si>
    <t>PEÑA MIRANDA</t>
  </si>
  <si>
    <t>PINTO MAMANI</t>
  </si>
  <si>
    <t>RAMOS AVALOS</t>
  </si>
  <si>
    <t>ROMAN FUENTES</t>
  </si>
  <si>
    <t>ROSAS MEDINA</t>
  </si>
  <si>
    <t>SANCHEZ DELGADILLO</t>
  </si>
  <si>
    <t>SEGARRA LIJERON</t>
  </si>
  <si>
    <t>SEGARRA ZAMBRANA</t>
  </si>
  <si>
    <t>SEÑA DAZA</t>
  </si>
  <si>
    <t>SOLIZ DURAN</t>
  </si>
  <si>
    <t>UGARTE VARGAS</t>
  </si>
  <si>
    <t>VALLEJOS FLORES</t>
  </si>
  <si>
    <t>VALVERDE AMADOS</t>
  </si>
  <si>
    <t>VARGAS ARCE</t>
  </si>
  <si>
    <t>VASQUEZ MEJIA</t>
  </si>
  <si>
    <t>VILLARES MAMANI</t>
  </si>
  <si>
    <t>ZURITA VARGAS</t>
  </si>
  <si>
    <t>AGREDA GUAYAO</t>
  </si>
  <si>
    <t>AGUILAR MENDOZA</t>
  </si>
  <si>
    <t>ARCIBIA ESPONZA</t>
  </si>
  <si>
    <t>ARROYO URQUIZO</t>
  </si>
  <si>
    <t>BARRIENTOS LLANOS</t>
  </si>
  <si>
    <t>CARHUAS CARRIAZO</t>
  </si>
  <si>
    <t>CASERES HUAYHUA</t>
  </si>
  <si>
    <t>CHOQUERE BELTRAN</t>
  </si>
  <si>
    <t>ESCOBAR FLORES</t>
  </si>
  <si>
    <t>ESTRADA CRUZ</t>
  </si>
  <si>
    <t>ESTRADA ZAPATA</t>
  </si>
  <si>
    <t>GARCIA OSINAGA</t>
  </si>
  <si>
    <t>GARNICA SARDAN</t>
  </si>
  <si>
    <t>GONZALES MOJICA</t>
  </si>
  <si>
    <t>GUZMAN CARABALLO</t>
  </si>
  <si>
    <t>LEON AGUILAR</t>
  </si>
  <si>
    <t>LLANOS TERAN</t>
  </si>
  <si>
    <t>LOPEZ ZAMBRANA</t>
  </si>
  <si>
    <t>MANSILLA AGUADO</t>
  </si>
  <si>
    <t>MONTAÑO VIZA</t>
  </si>
  <si>
    <t>NEGRETE CHURATA</t>
  </si>
  <si>
    <t>OCHOA SARDAN</t>
  </si>
  <si>
    <t>OROPEZA OLLISCO</t>
  </si>
  <si>
    <t>PEÑA CLAURE</t>
  </si>
  <si>
    <t>PEREIRA LUCANA</t>
  </si>
  <si>
    <t>POIQUI FAREL</t>
  </si>
  <si>
    <t>PRADO CUBA</t>
  </si>
  <si>
    <t>RODAS VEQUI</t>
  </si>
  <si>
    <t>SANCHEZ GUZMAN</t>
  </si>
  <si>
    <t>SILES FIGUEROA</t>
  </si>
  <si>
    <t>SOLIZ FERNANDEZ</t>
  </si>
  <si>
    <t>SOLIZ MAMANI</t>
  </si>
  <si>
    <t>VALLEJOS APAZA</t>
  </si>
  <si>
    <t>VARGAS MOJIANO</t>
  </si>
  <si>
    <t>YAMPARA CONDORI</t>
  </si>
  <si>
    <t>YUCA MAMANI</t>
  </si>
  <si>
    <t>AGREDA SARABIA</t>
  </si>
  <si>
    <t>MARICRUZ</t>
  </si>
  <si>
    <t>GUAYAO RIVERA</t>
  </si>
  <si>
    <t>419800312016002.</t>
  </si>
  <si>
    <t>AGUILAR CHIPANA</t>
  </si>
  <si>
    <t>SAIDA</t>
  </si>
  <si>
    <t>MENDOZA FLORES</t>
  </si>
  <si>
    <t>419800212016040.</t>
  </si>
  <si>
    <t>ARCIBIA MENDOZA</t>
  </si>
  <si>
    <t xml:space="preserve">ROSA </t>
  </si>
  <si>
    <t>ESPINOZA LLANOS</t>
  </si>
  <si>
    <t>419800212016092.</t>
  </si>
  <si>
    <t>ERWIN</t>
  </si>
  <si>
    <t>ARROYO ARANCIBIA</t>
  </si>
  <si>
    <t>URQUIZO YUCRA</t>
  </si>
  <si>
    <t>BARRIENTOS POLANCO</t>
  </si>
  <si>
    <t>SANTUSA</t>
  </si>
  <si>
    <t>LLANOS VELASQUEZ</t>
  </si>
  <si>
    <t>419800212016090.</t>
  </si>
  <si>
    <t>419800212016053.</t>
  </si>
  <si>
    <t>CRISTIAN</t>
  </si>
  <si>
    <t>CARHUAS YUCRA</t>
  </si>
  <si>
    <t>CARRIAZO BALLESTEROS</t>
  </si>
  <si>
    <t>419800212016095.</t>
  </si>
  <si>
    <t>CASERES MARTINEZ</t>
  </si>
  <si>
    <t>BENIGNA</t>
  </si>
  <si>
    <t>419800622016002.</t>
  </si>
  <si>
    <t>YURIAN</t>
  </si>
  <si>
    <t>CHOQUERE MALELE</t>
  </si>
  <si>
    <t>IVET</t>
  </si>
  <si>
    <t>BELTRAN GONZALES</t>
  </si>
  <si>
    <t>819804722016021.</t>
  </si>
  <si>
    <t>SERGIO</t>
  </si>
  <si>
    <t>ESCOBAR LARA</t>
  </si>
  <si>
    <t>FLORES GALVEZ</t>
  </si>
  <si>
    <t>419800712016042.</t>
  </si>
  <si>
    <t>RUBEN</t>
  </si>
  <si>
    <t>ESTRADA BALDERRAMA</t>
  </si>
  <si>
    <t xml:space="preserve">FRANCISCA </t>
  </si>
  <si>
    <t>CRUZ ARAUZ</t>
  </si>
  <si>
    <t>419800212016089.</t>
  </si>
  <si>
    <t>CRISTIAN DEIBY</t>
  </si>
  <si>
    <t>ROSA LENNY</t>
  </si>
  <si>
    <t>ZAPATA RODRIGUEZ</t>
  </si>
  <si>
    <t>419800212016088.</t>
  </si>
  <si>
    <t>ARNULFO</t>
  </si>
  <si>
    <t>GARCIA MOSTACEDO</t>
  </si>
  <si>
    <t>ESTELA</t>
  </si>
  <si>
    <t>OSINAGA CASTRO</t>
  </si>
  <si>
    <t>419800212016037.</t>
  </si>
  <si>
    <t>PEDRO</t>
  </si>
  <si>
    <t>GARNICA HUAILLA</t>
  </si>
  <si>
    <t>SARDAN ROMERO</t>
  </si>
  <si>
    <t>419800212016041.</t>
  </si>
  <si>
    <t>GERARDO</t>
  </si>
  <si>
    <t>GONZALES BANEGAS</t>
  </si>
  <si>
    <t>FLOR MARIA</t>
  </si>
  <si>
    <t>MOJICA GARCIA</t>
  </si>
  <si>
    <t>419800212016018.</t>
  </si>
  <si>
    <t>GUZMAN</t>
  </si>
  <si>
    <t>ANTONIA</t>
  </si>
  <si>
    <t>CARABALLO BALLESTEROS</t>
  </si>
  <si>
    <t>419800212016057.</t>
  </si>
  <si>
    <t>LEON TERRAZAS</t>
  </si>
  <si>
    <t>SIXTA</t>
  </si>
  <si>
    <t>AGUILLAR TABUADA</t>
  </si>
  <si>
    <t>419800312017012.</t>
  </si>
  <si>
    <t>419800312017028.</t>
  </si>
  <si>
    <t xml:space="preserve">HUMBERTO  </t>
  </si>
  <si>
    <t>LLANOS VEDIA</t>
  </si>
  <si>
    <t>DORA</t>
  </si>
  <si>
    <t>TERAN NOMTENEGRO</t>
  </si>
  <si>
    <t>419800212016100.</t>
  </si>
  <si>
    <t>ROBERTO CARLOS</t>
  </si>
  <si>
    <t>LOPEZ CASTRO</t>
  </si>
  <si>
    <t>FILOMENA</t>
  </si>
  <si>
    <t>ZAMBRANA COCA</t>
  </si>
  <si>
    <t>419800212016045.</t>
  </si>
  <si>
    <t>GREMI</t>
  </si>
  <si>
    <t>MANSILLA MONTENEGRO</t>
  </si>
  <si>
    <t>ELENA JUDITH</t>
  </si>
  <si>
    <t>419800212016039.</t>
  </si>
  <si>
    <t>ANACLETO</t>
  </si>
  <si>
    <t>MONTAÑO AYALA</t>
  </si>
  <si>
    <t xml:space="preserve">DELIA  </t>
  </si>
  <si>
    <t>619000142016069.</t>
  </si>
  <si>
    <t>LUIS ALEXANDER</t>
  </si>
  <si>
    <t>NEGRETE VILLAROEL</t>
  </si>
  <si>
    <t>KARINA</t>
  </si>
  <si>
    <t>CHURATA LAMAS</t>
  </si>
  <si>
    <t>419800212016101.</t>
  </si>
  <si>
    <t>OCTAVIO</t>
  </si>
  <si>
    <t>OCHOA POLANCO</t>
  </si>
  <si>
    <t>419800212016026.</t>
  </si>
  <si>
    <t>OROPEZA CONDORI</t>
  </si>
  <si>
    <t>OLLISCO SALAZAR</t>
  </si>
  <si>
    <t>419800262017046.</t>
  </si>
  <si>
    <t>ADALI</t>
  </si>
  <si>
    <t>CLAURE</t>
  </si>
  <si>
    <t>419800212016083.</t>
  </si>
  <si>
    <t>PEREIRA PARDO</t>
  </si>
  <si>
    <t>ELVIRA JUDITHY</t>
  </si>
  <si>
    <t>LUCANO UÑO</t>
  </si>
  <si>
    <t>419800212016080.</t>
  </si>
  <si>
    <t>POIQUI URQUIDI</t>
  </si>
  <si>
    <t xml:space="preserve">LUCY  </t>
  </si>
  <si>
    <t>FAREL GUEVARA</t>
  </si>
  <si>
    <t>419800212016068.</t>
  </si>
  <si>
    <t>PABLO JHUNNYOR</t>
  </si>
  <si>
    <t>PRADO MACLEAN</t>
  </si>
  <si>
    <t>419800322016065.</t>
  </si>
  <si>
    <t>RODAS VENAVIDES</t>
  </si>
  <si>
    <t xml:space="preserve">LISETH </t>
  </si>
  <si>
    <t>VEQUI MAMANI</t>
  </si>
  <si>
    <t>419800212016078.</t>
  </si>
  <si>
    <t>DANIEL</t>
  </si>
  <si>
    <t>SANCHEZ</t>
  </si>
  <si>
    <t>NOHEMI</t>
  </si>
  <si>
    <t>419800212016113.</t>
  </si>
  <si>
    <t>ELVIS</t>
  </si>
  <si>
    <t>SILES SOLIZ</t>
  </si>
  <si>
    <t>FIGUEROA LOAIZA</t>
  </si>
  <si>
    <t>419800652017076.</t>
  </si>
  <si>
    <t>FREDY</t>
  </si>
  <si>
    <t>SOLIZ CARBALLO</t>
  </si>
  <si>
    <t>RAQUEL</t>
  </si>
  <si>
    <t>FERNANDEZ CESPEDES</t>
  </si>
  <si>
    <t>419800212016109.</t>
  </si>
  <si>
    <t>ARCIL</t>
  </si>
  <si>
    <t>NANCY</t>
  </si>
  <si>
    <t>419800212016104.</t>
  </si>
  <si>
    <t>EPIFANIO</t>
  </si>
  <si>
    <t>APAZA MIRANDA</t>
  </si>
  <si>
    <t>419800212016081.</t>
  </si>
  <si>
    <t>RAMON</t>
  </si>
  <si>
    <t>VARGAS BARRIENTOS</t>
  </si>
  <si>
    <t>ROSXANA</t>
  </si>
  <si>
    <t>419800212016032.</t>
  </si>
  <si>
    <t>YAMPARA YUCRA</t>
  </si>
  <si>
    <t>SEDONIA</t>
  </si>
  <si>
    <t>CONDORI TOMAS</t>
  </si>
  <si>
    <t>CELESTINO</t>
  </si>
  <si>
    <t>YUCA SIVILA</t>
  </si>
  <si>
    <t>CATALINA</t>
  </si>
  <si>
    <t>419800262016088.</t>
  </si>
  <si>
    <t>DATOS: FUNCION = BUSCARV(CeldaDATOaBuscar; NombreTablaDondeBuscar;CeldaTablaAMostrar;FALSE)</t>
  </si>
  <si>
    <t>.=SI.ERROR(ARGUMENTO; " RESULTADO ")</t>
  </si>
  <si>
    <t>.=filtar()</t>
  </si>
  <si>
    <t>D=SI(B1="";"";FILTRAR(Tabla1;ESNUMERO(HALLAR(B1;Tabla1[NOMBRECOMPLETO]))+ESNUMERO(HALLAR(B1;Tabla1[CURSO]));"sin resultados"))</t>
  </si>
  <si>
    <t>BUSCAR :</t>
  </si>
  <si>
    <t>por:</t>
  </si>
  <si>
    <r>
      <t xml:space="preserve">APELLIDOS PATERNO | </t>
    </r>
    <r>
      <rPr>
        <sz val="11"/>
        <color theme="3" tint="0.249977111117893"/>
        <rFont val="Trebuchet MS"/>
        <family val="2"/>
        <scheme val="minor"/>
      </rPr>
      <t xml:space="preserve">APELLIDOS MATERNO </t>
    </r>
    <r>
      <rPr>
        <sz val="11"/>
        <color theme="1"/>
        <rFont val="Trebuchet MS"/>
        <family val="2"/>
        <scheme val="minor"/>
      </rPr>
      <t>| NRO CI |</t>
    </r>
  </si>
  <si>
    <t>FLORES ASINAGA</t>
  </si>
  <si>
    <t>419800212016005.</t>
  </si>
  <si>
    <t>LUIS  OVIDIO</t>
  </si>
  <si>
    <t>ARACELI</t>
  </si>
  <si>
    <t>LIMON AVALOS</t>
  </si>
  <si>
    <t>4198002120158273.</t>
  </si>
  <si>
    <t>VICTOR</t>
  </si>
  <si>
    <t>ARAUZ MARTINEZ</t>
  </si>
  <si>
    <t>FAUSTA</t>
  </si>
  <si>
    <t>CONDORI YARHUI</t>
  </si>
  <si>
    <t>4198002120131399.</t>
  </si>
  <si>
    <t>WILLIAN</t>
  </si>
  <si>
    <t>ARREDONDO GUTIERREZ</t>
  </si>
  <si>
    <t>MIRNA</t>
  </si>
  <si>
    <t>CUELLAR DIAZ</t>
  </si>
  <si>
    <t>81981517201596.</t>
  </si>
  <si>
    <t>WILLIAN YENNY</t>
  </si>
  <si>
    <t>BORDA ABASTO</t>
  </si>
  <si>
    <t>FARIDY</t>
  </si>
  <si>
    <t>ROMERO CALLAPA</t>
  </si>
  <si>
    <t>4198002120158307.</t>
  </si>
  <si>
    <t>CHRISTIAN ERIK</t>
  </si>
  <si>
    <t>BURGOS ALVAREZ</t>
  </si>
  <si>
    <t>ELBA</t>
  </si>
  <si>
    <t>ROJAS MORALES</t>
  </si>
  <si>
    <t>4198002120158311.</t>
  </si>
  <si>
    <t>LIDER</t>
  </si>
  <si>
    <t>CABALLERO CONTRERAS</t>
  </si>
  <si>
    <t>FIGUEROA GUZMAN</t>
  </si>
  <si>
    <t>4198002120158326.</t>
  </si>
  <si>
    <t>DIEGO</t>
  </si>
  <si>
    <t>CALLEJAS TORREZ</t>
  </si>
  <si>
    <t>KARLA MICHELLE</t>
  </si>
  <si>
    <t>MENACHO MELGAR</t>
  </si>
  <si>
    <t>4198002120158345.</t>
  </si>
  <si>
    <t>TRIFON</t>
  </si>
  <si>
    <t>CARLOS MOLINA</t>
  </si>
  <si>
    <t>NAGAY RINA</t>
  </si>
  <si>
    <t>ROMERO ACHO</t>
  </si>
  <si>
    <t>419800212015353A</t>
  </si>
  <si>
    <t>ARMANDO</t>
  </si>
  <si>
    <t>COLQUE FERNANDEZ</t>
  </si>
  <si>
    <t>ERCILIA</t>
  </si>
  <si>
    <t>PACHA ARCIBIA</t>
  </si>
  <si>
    <t>4198007120154786.</t>
  </si>
  <si>
    <t>ROLANDO</t>
  </si>
  <si>
    <t>CUCHALLO YEVARA</t>
  </si>
  <si>
    <t>DEYSY</t>
  </si>
  <si>
    <t>ROBLEDO AVALOS</t>
  </si>
  <si>
    <t>4198002120158360.</t>
  </si>
  <si>
    <t>CESAR RUBEN</t>
  </si>
  <si>
    <t>ESCALANTE GUTIERREZ</t>
  </si>
  <si>
    <t>BAIGORIA HURTADO</t>
  </si>
  <si>
    <t>MARIA JESUS</t>
  </si>
  <si>
    <t>4198002120158402.</t>
  </si>
  <si>
    <t>41980042201575.</t>
  </si>
  <si>
    <t>MARCELITO</t>
  </si>
  <si>
    <t>GALVIZ GUEVARA</t>
  </si>
  <si>
    <t>MIRIAN</t>
  </si>
  <si>
    <t>MENDOZA RIVERA</t>
  </si>
  <si>
    <t>4198002120158417.</t>
  </si>
  <si>
    <t>FERNADO</t>
  </si>
  <si>
    <t>4198002120153616.</t>
  </si>
  <si>
    <t>DARWIN DONICIO</t>
  </si>
  <si>
    <t>HURTADO CHAVEZ</t>
  </si>
  <si>
    <t>AVARIPA CRUZ</t>
  </si>
  <si>
    <t>7189000820135660.</t>
  </si>
  <si>
    <t xml:space="preserve">WILDER  </t>
  </si>
  <si>
    <t>LEAÑOS ROMAN</t>
  </si>
  <si>
    <t>ESTHER</t>
  </si>
  <si>
    <t>MORON YEPEZ</t>
  </si>
  <si>
    <t>419800722016001.</t>
  </si>
  <si>
    <t>MILTON RIOVANI</t>
  </si>
  <si>
    <t>LOPEZ QUISPE</t>
  </si>
  <si>
    <t>ALVAIDA</t>
  </si>
  <si>
    <t>LARA GALVIZ</t>
  </si>
  <si>
    <t>419800262016073.</t>
  </si>
  <si>
    <t>4198007120155285.</t>
  </si>
  <si>
    <t>4198002120153400.</t>
  </si>
  <si>
    <t>MONTAÑO MENDOZA</t>
  </si>
  <si>
    <t>RUBILINDA</t>
  </si>
  <si>
    <t>MORON CONTRERAS</t>
  </si>
  <si>
    <t>419800652015139.</t>
  </si>
  <si>
    <t xml:space="preserve">MIGUEL  </t>
  </si>
  <si>
    <t>DEYSI</t>
  </si>
  <si>
    <t>YPURANI CARICARI</t>
  </si>
  <si>
    <t>4198002120158489.</t>
  </si>
  <si>
    <t>SAUL CESAR</t>
  </si>
  <si>
    <t>JULIETA</t>
  </si>
  <si>
    <t>MOLLO CONDORI</t>
  </si>
  <si>
    <t>419800212016112.</t>
  </si>
  <si>
    <t>LUCINDO</t>
  </si>
  <si>
    <t>PEÑA AVALOS</t>
  </si>
  <si>
    <t>RODRIGUEZ MORALES</t>
  </si>
  <si>
    <t>419800212016006.</t>
  </si>
  <si>
    <t>MANUEL</t>
  </si>
  <si>
    <t>QUISPE ALCOBA</t>
  </si>
  <si>
    <t>CHAUQUE TOLABA</t>
  </si>
  <si>
    <t>4198002120153688.</t>
  </si>
  <si>
    <t>ROMAN MENCARI</t>
  </si>
  <si>
    <t>PALENQUE BARRIGA</t>
  </si>
  <si>
    <t>4198003820152057.</t>
  </si>
  <si>
    <t>YSMAEL</t>
  </si>
  <si>
    <t>SAGREDO BALDELOMAR</t>
  </si>
  <si>
    <t>CHUMACERO MAMANI</t>
  </si>
  <si>
    <t>419800262016041.</t>
  </si>
  <si>
    <t>PEDRO MIGUEL</t>
  </si>
  <si>
    <t>SANCHEZ TREJOS</t>
  </si>
  <si>
    <t>CARRISALES GUTIERRES</t>
  </si>
  <si>
    <t>4198002120153711.</t>
  </si>
  <si>
    <t>JOSE ARMANDO</t>
  </si>
  <si>
    <t>SILES ROJAS</t>
  </si>
  <si>
    <t>419800212016007.</t>
  </si>
  <si>
    <t>4198002120158565.</t>
  </si>
  <si>
    <t>NELSON</t>
  </si>
  <si>
    <t>YUCRA ASILLO</t>
  </si>
  <si>
    <t>SILVIA</t>
  </si>
  <si>
    <t>CARI CARI COLQUE</t>
  </si>
  <si>
    <t>4198002120153487.</t>
  </si>
  <si>
    <t>ZAPATA VELARDE</t>
  </si>
  <si>
    <t xml:space="preserve">JUANA </t>
  </si>
  <si>
    <t>CORTEZ ARAUZ</t>
  </si>
  <si>
    <t>8198129420151306.</t>
  </si>
  <si>
    <t>ACHO RAMIREZ</t>
  </si>
  <si>
    <t>RAMIREZ CHURA</t>
  </si>
  <si>
    <t>4198002120147299.</t>
  </si>
  <si>
    <t>FRANZ</t>
  </si>
  <si>
    <t>ARAMAYO HOYLOS</t>
  </si>
  <si>
    <t>JUDITH</t>
  </si>
  <si>
    <t>VEIZAGA PINTO</t>
  </si>
  <si>
    <t>419800262016003.</t>
  </si>
  <si>
    <t>BALDERRAMA ROQUE</t>
  </si>
  <si>
    <t>41980030201517.</t>
  </si>
  <si>
    <t>LIBIO</t>
  </si>
  <si>
    <t>BALLESTEROS REINAGA</t>
  </si>
  <si>
    <t>IDE</t>
  </si>
  <si>
    <t>RODRIGUEZ LIZO</t>
  </si>
  <si>
    <t>419800312016035.</t>
  </si>
  <si>
    <t>41980021201539.</t>
  </si>
  <si>
    <t>4198002120153329.</t>
  </si>
  <si>
    <t>CABRERA SUMOYA</t>
  </si>
  <si>
    <t>CLAUDIA JHANET</t>
  </si>
  <si>
    <t>4198002120158330.</t>
  </si>
  <si>
    <t>ADALBERTO</t>
  </si>
  <si>
    <t>CARBALLO RODRIGUEZ</t>
  </si>
  <si>
    <t>PAULITA</t>
  </si>
  <si>
    <t>ORTIZ MENDEZ</t>
  </si>
  <si>
    <t>819714432016070.</t>
  </si>
  <si>
    <t>JIMENEZ CARRIAZO</t>
  </si>
  <si>
    <t>4198002120146197.</t>
  </si>
  <si>
    <t>FRANZ OSVALDO</t>
  </si>
  <si>
    <t>CARRILLO MEDINA</t>
  </si>
  <si>
    <t>LEIVA MARTINEZ</t>
  </si>
  <si>
    <t>201K644437</t>
  </si>
  <si>
    <t>4198002120158780.</t>
  </si>
  <si>
    <t>SAIDA CINTHIA</t>
  </si>
  <si>
    <t>MORALES MOSCOSO</t>
  </si>
  <si>
    <t>CESPEDES PEREZ</t>
  </si>
  <si>
    <t>419800212015379.</t>
  </si>
  <si>
    <t>VICENTE</t>
  </si>
  <si>
    <t>CONDORI RODRIGUEZ</t>
  </si>
  <si>
    <t>DOLY</t>
  </si>
  <si>
    <t>FERNANDEZ GOMEZ</t>
  </si>
  <si>
    <t>4198009120152534.</t>
  </si>
  <si>
    <t>CRUZ CANAVIRI</t>
  </si>
  <si>
    <t>YOSELIN</t>
  </si>
  <si>
    <t>MERCADO GONZALES</t>
  </si>
  <si>
    <t>41980021201539A</t>
  </si>
  <si>
    <t xml:space="preserve">MANUEL </t>
  </si>
  <si>
    <t>CUPARI MAMANI</t>
  </si>
  <si>
    <t>SILVESTRE CHOQUE</t>
  </si>
  <si>
    <t>419800722015761.</t>
  </si>
  <si>
    <t>OMAR</t>
  </si>
  <si>
    <t>JUSTINA</t>
  </si>
  <si>
    <t>CUELLAR AVILA</t>
  </si>
  <si>
    <t>419800212015412.</t>
  </si>
  <si>
    <t>JORGE</t>
  </si>
  <si>
    <t>GUTIERREZ CARDOZO</t>
  </si>
  <si>
    <t>COA CHOQUE</t>
  </si>
  <si>
    <t>4198002120153601.</t>
  </si>
  <si>
    <t>EVER EDUTH</t>
  </si>
  <si>
    <t>GUZMAN ESCOBAR</t>
  </si>
  <si>
    <t>MARCANI CONDORI</t>
  </si>
  <si>
    <t>4198002120153620.</t>
  </si>
  <si>
    <t>RONALD LUIS</t>
  </si>
  <si>
    <t>LAQUE VARGAS</t>
  </si>
  <si>
    <t>LUANA WILMA</t>
  </si>
  <si>
    <t>ZAMBRANA ARANHA</t>
  </si>
  <si>
    <t>4198002620189339.</t>
  </si>
  <si>
    <t>LOVERA VARGAS</t>
  </si>
  <si>
    <t>BALLESTEROS TORREZ</t>
  </si>
  <si>
    <t>4198002120147739.</t>
  </si>
  <si>
    <t>ABEL</t>
  </si>
  <si>
    <t>MANGUTA ARARIYU</t>
  </si>
  <si>
    <t>MARISOL</t>
  </si>
  <si>
    <t>MORALES AÑEZ</t>
  </si>
  <si>
    <t>ARIEL JOSE</t>
  </si>
  <si>
    <t xml:space="preserve">MONTAÑO </t>
  </si>
  <si>
    <t>MARIA LOURDES</t>
  </si>
  <si>
    <t>GARCIA LARA</t>
  </si>
  <si>
    <t>419800262016016.</t>
  </si>
  <si>
    <t>4198002120158455.</t>
  </si>
  <si>
    <t xml:space="preserve">MAURO </t>
  </si>
  <si>
    <t>ORTUÑO ARROYO</t>
  </si>
  <si>
    <t>CONSUELO VANESA</t>
  </si>
  <si>
    <t>GARCIA ALVAREZ</t>
  </si>
  <si>
    <t>8191000520151915.</t>
  </si>
  <si>
    <t xml:space="preserve">ROGELIO </t>
  </si>
  <si>
    <t>PEREZ FERNANDEZ</t>
  </si>
  <si>
    <t>ELFY</t>
  </si>
  <si>
    <t>4198002120147781.</t>
  </si>
  <si>
    <t>4198002120147504.</t>
  </si>
  <si>
    <t>4198007220156929.</t>
  </si>
  <si>
    <t>ROGER</t>
  </si>
  <si>
    <t>ROSADO GARCIA</t>
  </si>
  <si>
    <t>CLAUDIA</t>
  </si>
  <si>
    <t>RAMIREZ CHOQUE</t>
  </si>
  <si>
    <t>4198002120146402.</t>
  </si>
  <si>
    <t>VARGAS CRUZ</t>
  </si>
  <si>
    <t>MIRTA JACINTA</t>
  </si>
  <si>
    <t>4198002120153745.</t>
  </si>
  <si>
    <t>ALCIDES</t>
  </si>
  <si>
    <t>SANDRA JUANA</t>
  </si>
  <si>
    <t>419800212015375A</t>
  </si>
  <si>
    <t>PEPE</t>
  </si>
  <si>
    <t>VEIZAGA TERCEROS</t>
  </si>
  <si>
    <t>419800212016019.</t>
  </si>
  <si>
    <t>1A-3B</t>
  </si>
  <si>
    <t>819800512015459.</t>
  </si>
  <si>
    <t>4198002720160016.</t>
  </si>
  <si>
    <t>YOBANY CELIN</t>
  </si>
  <si>
    <t>ARAUZ ACUÑA</t>
  </si>
  <si>
    <t>CHAMBI PACO</t>
  </si>
  <si>
    <t>419800212016010.</t>
  </si>
  <si>
    <t>LUISA</t>
  </si>
  <si>
    <t>ROJAS SEVERICHE</t>
  </si>
  <si>
    <t>419800722016005.</t>
  </si>
  <si>
    <t>GILVER</t>
  </si>
  <si>
    <t>CALLA ACUÑA</t>
  </si>
  <si>
    <t>ANGELICA</t>
  </si>
  <si>
    <t>MARQUEZ ACHO</t>
  </si>
  <si>
    <t>419800212015363.</t>
  </si>
  <si>
    <t>JAIME</t>
  </si>
  <si>
    <t>MIRTHA</t>
  </si>
  <si>
    <t>RUEDA LOPEZ</t>
  </si>
  <si>
    <t>419800212016002.</t>
  </si>
  <si>
    <t>FRANKLIN</t>
  </si>
  <si>
    <t>MARLENY</t>
  </si>
  <si>
    <t>VALVERDE CHOQUE</t>
  </si>
  <si>
    <t>419800212016009.</t>
  </si>
  <si>
    <t>5C-6C</t>
  </si>
  <si>
    <t>CASTRO MANSILLA</t>
  </si>
  <si>
    <t>SIDELA</t>
  </si>
  <si>
    <t>RAMIREZ FLORES</t>
  </si>
  <si>
    <t>8699
-8739</t>
  </si>
  <si>
    <t>419800302016018.</t>
  </si>
  <si>
    <t>AURO</t>
  </si>
  <si>
    <t>COCA ALVAREZ</t>
  </si>
  <si>
    <t>ROXANA</t>
  </si>
  <si>
    <t>PINTO FLORES</t>
  </si>
  <si>
    <t>81980285201525A</t>
  </si>
  <si>
    <t>YAFAYE</t>
  </si>
  <si>
    <t>DABO</t>
  </si>
  <si>
    <t>MARCELA</t>
  </si>
  <si>
    <t>CHOQUE SILES</t>
  </si>
  <si>
    <t>4198002120158398.</t>
  </si>
  <si>
    <t>ANANIAS</t>
  </si>
  <si>
    <t>NELIDA</t>
  </si>
  <si>
    <t>419800072015208.</t>
  </si>
  <si>
    <t>VALENTIN</t>
  </si>
  <si>
    <t>FLORES ACOSTA</t>
  </si>
  <si>
    <t>CABRERA VEIZAGA</t>
  </si>
  <si>
    <t>4198002120153582.</t>
  </si>
  <si>
    <t>419800072015234.</t>
  </si>
  <si>
    <t xml:space="preserve">PABLO  </t>
  </si>
  <si>
    <t>GUAYGUA</t>
  </si>
  <si>
    <t>ACUÑA ARENA</t>
  </si>
  <si>
    <t>4198002620154978.</t>
  </si>
  <si>
    <t>JUAN PABLO</t>
  </si>
  <si>
    <t>HUAYTA DONAIRE</t>
  </si>
  <si>
    <t>AURORA</t>
  </si>
  <si>
    <t>SOLIZ QUIROZ</t>
  </si>
  <si>
    <t>419800212016014.</t>
  </si>
  <si>
    <t>OSWALD</t>
  </si>
  <si>
    <t>JALDIN CUELLAR</t>
  </si>
  <si>
    <t>MILDREM ABIGAIL</t>
  </si>
  <si>
    <t>ANCASI ESPINOZA</t>
  </si>
  <si>
    <t>4198002120158421.</t>
  </si>
  <si>
    <t>ALDO</t>
  </si>
  <si>
    <t>TECO MORON</t>
  </si>
  <si>
    <t>419800212016017.</t>
  </si>
  <si>
    <t>4198002120146307.</t>
  </si>
  <si>
    <t>3C-2</t>
  </si>
  <si>
    <t>419800212016012.</t>
  </si>
  <si>
    <t>JAIME RICHARD</t>
  </si>
  <si>
    <t>LOVERA ICUTA</t>
  </si>
  <si>
    <t>ELISABED</t>
  </si>
  <si>
    <t>MAMANI ANCASI</t>
  </si>
  <si>
    <t>4198002120158440.</t>
  </si>
  <si>
    <t>LIMBERT</t>
  </si>
  <si>
    <t>SENAIDA</t>
  </si>
  <si>
    <t>MARTINEZ CHOQUE</t>
  </si>
  <si>
    <t>419800212015846A</t>
  </si>
  <si>
    <t xml:space="preserve">3C </t>
  </si>
  <si>
    <t>619000142015123.</t>
  </si>
  <si>
    <t>RUDIGER HERIK</t>
  </si>
  <si>
    <t>MORON MONTAÑO</t>
  </si>
  <si>
    <t>4198002120158474.</t>
  </si>
  <si>
    <t>BISMARK</t>
  </si>
  <si>
    <t>NEGRETE FLORES</t>
  </si>
  <si>
    <t xml:space="preserve">MIRIAM </t>
  </si>
  <si>
    <t>CUETO SORUCO</t>
  </si>
  <si>
    <t>4198002120153669.</t>
  </si>
  <si>
    <t>OCHOA GUTIERREZ</t>
  </si>
  <si>
    <t>SABINA</t>
  </si>
  <si>
    <t>GARNICA VARGAS</t>
  </si>
  <si>
    <t>519800082014343.</t>
  </si>
  <si>
    <t>ISRAEL</t>
  </si>
  <si>
    <t>ORIAS COLQUE</t>
  </si>
  <si>
    <t>YUELY</t>
  </si>
  <si>
    <t>FERNANDEZ OSINAGA</t>
  </si>
  <si>
    <t>4198002120153415.</t>
  </si>
  <si>
    <t xml:space="preserve">BISMAR </t>
  </si>
  <si>
    <t>PANTOJA ZENTENO</t>
  </si>
  <si>
    <t>CLARITA SLEN</t>
  </si>
  <si>
    <t>ALVAREZ ROJAS</t>
  </si>
  <si>
    <t>4198002120158493.</t>
  </si>
  <si>
    <t>POLANCO ROBLEDO</t>
  </si>
  <si>
    <t>BARRIENTOS CARABALLO</t>
  </si>
  <si>
    <t>419800262016043.</t>
  </si>
  <si>
    <t>MOISES</t>
  </si>
  <si>
    <t>FERNANDEZ SANTILLAN</t>
  </si>
  <si>
    <t>4198002120153692.</t>
  </si>
  <si>
    <t>SERRUDO ONTIVEROS</t>
  </si>
  <si>
    <t>LITHZI</t>
  </si>
  <si>
    <t>PADILLA LIMON</t>
  </si>
  <si>
    <t>4198002120153726.</t>
  </si>
  <si>
    <t>SOTO LOPEZ</t>
  </si>
  <si>
    <t>BANUS ESTRADA</t>
  </si>
  <si>
    <t>GABRIELA</t>
  </si>
  <si>
    <t>4198007120155266.</t>
  </si>
  <si>
    <t xml:space="preserve">VASQUEZ  </t>
  </si>
  <si>
    <t>SAVINA</t>
  </si>
  <si>
    <t>LLANOS GUZMAN</t>
  </si>
  <si>
    <t>41980096201519.</t>
  </si>
  <si>
    <t>4198002120153790.</t>
  </si>
  <si>
    <t>ANCASI AGUILAR</t>
  </si>
  <si>
    <t>PEÑA COPA</t>
  </si>
  <si>
    <t>4198002120153821.</t>
  </si>
  <si>
    <t>ARANCIBIA BARRIENTOS</t>
  </si>
  <si>
    <t>RITA</t>
  </si>
  <si>
    <t>GONZALES FLORES</t>
  </si>
  <si>
    <t>819808172016057.</t>
  </si>
  <si>
    <t>419800262015493A</t>
  </si>
  <si>
    <t>VICTOR MANUEL</t>
  </si>
  <si>
    <t>CALIZAYA AYZA</t>
  </si>
  <si>
    <t>JUAQUINA</t>
  </si>
  <si>
    <t>419800302015749.</t>
  </si>
  <si>
    <t>4198002120147356.</t>
  </si>
  <si>
    <t>CESPEDES DURAN</t>
  </si>
  <si>
    <t>PACHACOPA TARDIO</t>
  </si>
  <si>
    <t>804800392014438.</t>
  </si>
  <si>
    <t>CHOQUE OLAZO</t>
  </si>
  <si>
    <t>DIANA</t>
  </si>
  <si>
    <t>RAPU NOZA</t>
  </si>
  <si>
    <t>4198002120147102.</t>
  </si>
  <si>
    <t>CHUMACERO CASTRO</t>
  </si>
  <si>
    <t>PADILLA ZENTENO</t>
  </si>
  <si>
    <t>4198002120147117.</t>
  </si>
  <si>
    <t>JOSE AGUSTIN</t>
  </si>
  <si>
    <t>CRUZ ORONOZ</t>
  </si>
  <si>
    <t>FERNANDEZ ORTIZ</t>
  </si>
  <si>
    <t>4198002120147394.</t>
  </si>
  <si>
    <t>WILSON</t>
  </si>
  <si>
    <t>FERNANDEZ DUCHEN</t>
  </si>
  <si>
    <t>4198002120154608.</t>
  </si>
  <si>
    <t>FLORES MAMANI</t>
  </si>
  <si>
    <t>MARIA MAGDALENA</t>
  </si>
  <si>
    <t>AGUILAR VIDAURRE</t>
  </si>
  <si>
    <t>4198002120147428.</t>
  </si>
  <si>
    <t>MARX BILL</t>
  </si>
  <si>
    <t>FELICIDAD</t>
  </si>
  <si>
    <t>PUMA ROSAS</t>
  </si>
  <si>
    <t>419800212014716A</t>
  </si>
  <si>
    <t>419800212013103.</t>
  </si>
  <si>
    <t>ALFREDO</t>
  </si>
  <si>
    <t>JUSTINIANO SUAREZ</t>
  </si>
  <si>
    <t>MERCADO LOPEZ</t>
  </si>
  <si>
    <t>4198002120147690.</t>
  </si>
  <si>
    <t>4198002120154335.</t>
  </si>
  <si>
    <t>419800212015434A</t>
  </si>
  <si>
    <t>MENDEZ LIMON</t>
  </si>
  <si>
    <t>PAULINA</t>
  </si>
  <si>
    <t>SANDOVAL GONZALES</t>
  </si>
  <si>
    <t>4198006620141A</t>
  </si>
  <si>
    <t>OILO ZARATE</t>
  </si>
  <si>
    <t>VALENTINA</t>
  </si>
  <si>
    <t>4198002120146766.</t>
  </si>
  <si>
    <t>4198002120154388.</t>
  </si>
  <si>
    <t>PELAEZ ARCE</t>
  </si>
  <si>
    <t>ANA EVELIN</t>
  </si>
  <si>
    <t>ESPINOZA FARREL</t>
  </si>
  <si>
    <t>419800312014246.</t>
  </si>
  <si>
    <t>4198002120147777.</t>
  </si>
  <si>
    <t>51980054201517829.</t>
  </si>
  <si>
    <t>NIELSEN</t>
  </si>
  <si>
    <t>RODRIGUEZ MARISCAL</t>
  </si>
  <si>
    <t>MIREYA</t>
  </si>
  <si>
    <t>MARTINEZ VARGAS</t>
  </si>
  <si>
    <t>4198002120147246.</t>
  </si>
  <si>
    <t>ROMERO RIVERA</t>
  </si>
  <si>
    <t>MARIELY</t>
  </si>
  <si>
    <t>HURTADO</t>
  </si>
  <si>
    <t>419800172014479.</t>
  </si>
  <si>
    <t>SALGUERO ORELLANA</t>
  </si>
  <si>
    <t>JUANA EDITH</t>
  </si>
  <si>
    <t>SALAZAR</t>
  </si>
  <si>
    <t>4198007120145034.</t>
  </si>
  <si>
    <t>SERRANO LOPEZ</t>
  </si>
  <si>
    <t>JACINTA</t>
  </si>
  <si>
    <t>4198002120154100.</t>
  </si>
  <si>
    <t>4198002120154134.</t>
  </si>
  <si>
    <t>4198002120147284.</t>
  </si>
  <si>
    <t>ACUÑA HERBAS</t>
  </si>
  <si>
    <t>LUCIA</t>
  </si>
  <si>
    <t>TORRICO VILLARRUEL</t>
  </si>
  <si>
    <t>4198002120153802.</t>
  </si>
  <si>
    <t>JILMAR</t>
  </si>
  <si>
    <t>CONDORI PATZI</t>
  </si>
  <si>
    <t>4198002120147318.</t>
  </si>
  <si>
    <t xml:space="preserve">BARRIGA  </t>
  </si>
  <si>
    <t>NELVY</t>
  </si>
  <si>
    <t>QUISPE LOPEZ</t>
  </si>
  <si>
    <t>4198002720151960.</t>
  </si>
  <si>
    <t>LUDVIG</t>
  </si>
  <si>
    <t>BRANER PESOA</t>
  </si>
  <si>
    <t>ANDRADE ROBLES</t>
  </si>
  <si>
    <t>CABRERA CALLEJAS</t>
  </si>
  <si>
    <t>FELIPA</t>
  </si>
  <si>
    <t>4198002120147045.</t>
  </si>
  <si>
    <t>CALLEJAS GUTIERREZ</t>
  </si>
  <si>
    <t>MARTINEZ UGARTECHE</t>
  </si>
  <si>
    <t>419800212014705A</t>
  </si>
  <si>
    <t>MICHEL</t>
  </si>
  <si>
    <t>CAMARA ROJAS</t>
  </si>
  <si>
    <t>YSABEL</t>
  </si>
  <si>
    <t>CEREZO RIVAS</t>
  </si>
  <si>
    <t>819808562016058.</t>
  </si>
  <si>
    <t xml:space="preserve">CALVIN </t>
  </si>
  <si>
    <t>CAREAGA CHAUQUE</t>
  </si>
  <si>
    <t>URIONA VELASQUEZ</t>
  </si>
  <si>
    <t>419800212013348.</t>
  </si>
  <si>
    <t>419800622018001.</t>
  </si>
  <si>
    <t>4198002120147083.</t>
  </si>
  <si>
    <t>ELDER</t>
  </si>
  <si>
    <t>CESPEDES FIGUEROA</t>
  </si>
  <si>
    <t xml:space="preserve">HORTENCIA </t>
  </si>
  <si>
    <t>LEAÑOS VERGARA</t>
  </si>
  <si>
    <t>419800642015235A</t>
  </si>
  <si>
    <t>CESPEDES SALAZAR</t>
  </si>
  <si>
    <t xml:space="preserve">GIOVANA </t>
  </si>
  <si>
    <t>MOREIRA VARGAS</t>
  </si>
  <si>
    <t>4198002120147098.</t>
  </si>
  <si>
    <t>VERENICE</t>
  </si>
  <si>
    <t>DORADO MONTENEGRO</t>
  </si>
  <si>
    <t>419800312014134.</t>
  </si>
  <si>
    <t>SIMION</t>
  </si>
  <si>
    <t>CRUZ REYNAGA</t>
  </si>
  <si>
    <t>COLQUE ROJAS</t>
  </si>
  <si>
    <t>4198002120147121.</t>
  </si>
  <si>
    <t>CLEOFE</t>
  </si>
  <si>
    <t>AZURDUY REVOLLO</t>
  </si>
  <si>
    <t>4198002120147174.</t>
  </si>
  <si>
    <t>AGUSTIN</t>
  </si>
  <si>
    <t>LAIME BALBOA</t>
  </si>
  <si>
    <t>HERRERA ANDRADE</t>
  </si>
  <si>
    <t>4198002120154684.</t>
  </si>
  <si>
    <t>4198002120147189.</t>
  </si>
  <si>
    <t>MENACHO SOLAR</t>
  </si>
  <si>
    <t>GARCIA</t>
  </si>
  <si>
    <t>419800272015447.</t>
  </si>
  <si>
    <t>MONTERO AGUILERA</t>
  </si>
  <si>
    <t>CHAVARRIA SANCHEZ</t>
  </si>
  <si>
    <t>4198002120147758.</t>
  </si>
  <si>
    <t>SAID</t>
  </si>
  <si>
    <t>RODRIGUEZ SILES</t>
  </si>
  <si>
    <t>818600042014420.</t>
  </si>
  <si>
    <t>4198002120154392.</t>
  </si>
  <si>
    <t>PEÑA RIVERA</t>
  </si>
  <si>
    <t>MOJICA GONZALES</t>
  </si>
  <si>
    <t>819010002014925.</t>
  </si>
  <si>
    <t>GASTON</t>
  </si>
  <si>
    <t>PINTO RAMO</t>
  </si>
  <si>
    <t>GRACIELA</t>
  </si>
  <si>
    <t>ORELLANA RISUEÑO</t>
  </si>
  <si>
    <t>21012025
/295/140
/660/0412</t>
  </si>
  <si>
    <t>4198002120154775.</t>
  </si>
  <si>
    <t>4198002120154077.</t>
  </si>
  <si>
    <t>BALFRED</t>
  </si>
  <si>
    <t>ROCHA PANIAGUA</t>
  </si>
  <si>
    <t>EVA DANCY</t>
  </si>
  <si>
    <t>FERNANDEZ LINO</t>
  </si>
  <si>
    <t xml:space="preserve"> </t>
  </si>
  <si>
    <t>419800722014993.</t>
  </si>
  <si>
    <t>ARAMAYO SANCHEZ</t>
  </si>
  <si>
    <t>8198012820141865.</t>
  </si>
  <si>
    <t>AGUILAR CABALLERO</t>
  </si>
  <si>
    <t>ACHACOLLO COLQUE</t>
  </si>
  <si>
    <t>4198002120153817.</t>
  </si>
  <si>
    <t>EDIL</t>
  </si>
  <si>
    <t>ALVIS PEÑA</t>
  </si>
  <si>
    <t>MELVY EUGENIA</t>
  </si>
  <si>
    <t>SARACHO VILLAGOMEZ</t>
  </si>
  <si>
    <t>41980065201441A</t>
  </si>
  <si>
    <t>4198002120154521.</t>
  </si>
  <si>
    <t>4198002120147322.</t>
  </si>
  <si>
    <t>CASTELLON ARINOSA</t>
  </si>
  <si>
    <t>AVILA ORTUÑO</t>
  </si>
  <si>
    <t>4198002120147079.</t>
  </si>
  <si>
    <t>CHICCHI CRUZ</t>
  </si>
  <si>
    <t>DIAZ ALVAREZ</t>
  </si>
  <si>
    <t>4198007320237606.</t>
  </si>
  <si>
    <t>419800212014738A</t>
  </si>
  <si>
    <t>ENRRIQUEZ SOTO</t>
  </si>
  <si>
    <t>ZARATE BARRIENTOS</t>
  </si>
  <si>
    <t>4198002120147409.</t>
  </si>
  <si>
    <t>419800312014160.</t>
  </si>
  <si>
    <t>CAMILO</t>
  </si>
  <si>
    <t>GALARZA MARISCAL</t>
  </si>
  <si>
    <t>CARMEN</t>
  </si>
  <si>
    <t>GALARZA GALVIS</t>
  </si>
  <si>
    <t>4198002120154610.</t>
  </si>
  <si>
    <t>RICARDO</t>
  </si>
  <si>
    <t>GONZALES ARAUZ</t>
  </si>
  <si>
    <t>NEISA</t>
  </si>
  <si>
    <t>819812532014135.</t>
  </si>
  <si>
    <t>GUTIERREZ ZABALAGA</t>
  </si>
  <si>
    <t>ILDA</t>
  </si>
  <si>
    <t>PIZARRO COPA</t>
  </si>
  <si>
    <t>4198002120147652.</t>
  </si>
  <si>
    <t>4198002120147667.</t>
  </si>
  <si>
    <t>JUAN ABAD</t>
  </si>
  <si>
    <t>GUZMAN TORREZ</t>
  </si>
  <si>
    <t>ESPERANZA</t>
  </si>
  <si>
    <t>FIGUEROA ALVAREZ</t>
  </si>
  <si>
    <t>419800302013328.</t>
  </si>
  <si>
    <t>JUAN DE DIOS ABAPORY</t>
  </si>
  <si>
    <t>LINA</t>
  </si>
  <si>
    <t>SOLIS GARNICA</t>
  </si>
  <si>
    <t>4198002120147447.</t>
  </si>
  <si>
    <t>LEAÑO BAUTISTA</t>
  </si>
  <si>
    <t>CRUZ BAUTISTA</t>
  </si>
  <si>
    <t>4198009120142059.</t>
  </si>
  <si>
    <t>MAMANI ACHAYA</t>
  </si>
  <si>
    <t>MONTAÑO CARDENAS</t>
  </si>
  <si>
    <t>EMI LENI</t>
  </si>
  <si>
    <t>4198002120147466.</t>
  </si>
  <si>
    <t>4198002120154369.</t>
  </si>
  <si>
    <t>4198007120144846.</t>
  </si>
  <si>
    <t>MONTENEGRO MONTENEGRO</t>
  </si>
  <si>
    <t>CINTHIA</t>
  </si>
  <si>
    <t>4198002120147193.</t>
  </si>
  <si>
    <t>4198002120147212.</t>
  </si>
  <si>
    <t>CIFUENTES</t>
  </si>
  <si>
    <t>419800362014617.</t>
  </si>
  <si>
    <t>NICASIO</t>
  </si>
  <si>
    <t>OSINAGA TORRICO</t>
  </si>
  <si>
    <t>EDUVID</t>
  </si>
  <si>
    <t>OSINAGA NOVA</t>
  </si>
  <si>
    <t>4198002820153610.</t>
  </si>
  <si>
    <t>RAMOS JACUME</t>
  </si>
  <si>
    <t>NOEMY</t>
  </si>
  <si>
    <t>TORRICO DAZA</t>
  </si>
  <si>
    <t>419800212015445A</t>
  </si>
  <si>
    <t>RUFINO</t>
  </si>
  <si>
    <t>RIVADINEIRA CRUZ</t>
  </si>
  <si>
    <t xml:space="preserve">EULALIA </t>
  </si>
  <si>
    <t>CORREA ZORAIDE</t>
  </si>
  <si>
    <t>4198007220153786.</t>
  </si>
  <si>
    <t>SALGUERO MARTINEZ</t>
  </si>
  <si>
    <t>GUEDY</t>
  </si>
  <si>
    <t>419800272015634.</t>
  </si>
  <si>
    <t>ORLANDO</t>
  </si>
  <si>
    <t>SANCHEZ ESCOBAR</t>
  </si>
  <si>
    <t>CUELLAR MENDOZA</t>
  </si>
  <si>
    <t>419800322014200.</t>
  </si>
  <si>
    <t>DAGOBERTO</t>
  </si>
  <si>
    <t>YAÑEZ CAMARGO</t>
  </si>
  <si>
    <t>MIOLET</t>
  </si>
  <si>
    <t>CEREZO GARCIA</t>
  </si>
  <si>
    <t>419800272013213.</t>
  </si>
  <si>
    <t>Duplicado</t>
  </si>
  <si>
    <t>CAMACHO</t>
  </si>
  <si>
    <t>PACO</t>
  </si>
  <si>
    <t>AGUADO FLORES</t>
  </si>
  <si>
    <t>AGUILAR LIMON</t>
  </si>
  <si>
    <t>ARAUZ CONDORI</t>
  </si>
  <si>
    <t>ARREDONDO CUELLAR</t>
  </si>
  <si>
    <t>BORDA ROMERO</t>
  </si>
  <si>
    <t>BURGOA ROJAS</t>
  </si>
  <si>
    <t>CABALLERO FIGUEROA</t>
  </si>
  <si>
    <t>CALLEJAS MENACHO</t>
  </si>
  <si>
    <t>CARLOS ROMERO</t>
  </si>
  <si>
    <t>COLQUE PACHA</t>
  </si>
  <si>
    <t>CUCHALLO ROBLEDO</t>
  </si>
  <si>
    <t>ESCALANTE BAIGORRIA</t>
  </si>
  <si>
    <t>GALVIZ MENDOZA</t>
  </si>
  <si>
    <t>GUTIERREZ ROMERO</t>
  </si>
  <si>
    <t>HURTADO AVARIPA</t>
  </si>
  <si>
    <t>LEAÑOS MORON</t>
  </si>
  <si>
    <t>LOPEZ LARA</t>
  </si>
  <si>
    <t>MONTAÑO MORON</t>
  </si>
  <si>
    <t>PACO YPURANI</t>
  </si>
  <si>
    <t>PADILLA MOLLO</t>
  </si>
  <si>
    <t>PEÑA RODRIGUEZ</t>
  </si>
  <si>
    <t>QUISPE CHAUQUE</t>
  </si>
  <si>
    <t>ROMAN PALENQUE</t>
  </si>
  <si>
    <t>SAGREDO CHUMACERO</t>
  </si>
  <si>
    <t>SANCHEZ CARRISALES</t>
  </si>
  <si>
    <t>SILES CHUMACERO</t>
  </si>
  <si>
    <t>YUCRA CARI CARI</t>
  </si>
  <si>
    <t>ZAPATA CORTEZ</t>
  </si>
  <si>
    <t>ARAMAYO VEIZAGA</t>
  </si>
  <si>
    <t>ARAUZ BALDERRAMA</t>
  </si>
  <si>
    <t>BALLESTEROS RODRIGUEZ</t>
  </si>
  <si>
    <t>CABRERA CARRISALES</t>
  </si>
  <si>
    <t>CARBALLO ORTIZ</t>
  </si>
  <si>
    <t>CARRIAZO JIMENEZ</t>
  </si>
  <si>
    <t>CARRILLO LEIVA</t>
  </si>
  <si>
    <t>CESPEDEZ MORALES</t>
  </si>
  <si>
    <t>CONDORI FERNANDEZ</t>
  </si>
  <si>
    <t>CRUZ MERCADO</t>
  </si>
  <si>
    <t>CUPARI SILVESTRE</t>
  </si>
  <si>
    <t>ESCOBAR CUELLAR</t>
  </si>
  <si>
    <t>ESPINOZA MORALES</t>
  </si>
  <si>
    <t>GUTIERREZ COA</t>
  </si>
  <si>
    <t>GUZMAN MARCANI</t>
  </si>
  <si>
    <t>LAQUE ZAMBRANA</t>
  </si>
  <si>
    <t>LOVERA BALLESTEROS</t>
  </si>
  <si>
    <t>MANGUTA MORALES</t>
  </si>
  <si>
    <t>MONTAÑO GARCIA</t>
  </si>
  <si>
    <t>ORTUÑO GARCIA</t>
  </si>
  <si>
    <t>PEREZ MORALES</t>
  </si>
  <si>
    <t>ROSADO RAMIREZ</t>
  </si>
  <si>
    <t>VARGAS ASILLO</t>
  </si>
  <si>
    <t>VARON FERNANDEZ</t>
  </si>
  <si>
    <t>VEIZAGA RIVADINEIRA</t>
  </si>
  <si>
    <t>VELASQUEZ FLORES</t>
  </si>
  <si>
    <t>ARAUZ CHAMBI</t>
  </si>
  <si>
    <t>BALLESTEROS ROJAS</t>
  </si>
  <si>
    <t>CALLEJAS MARQUEZ</t>
  </si>
  <si>
    <t>CARRIAZO RUEDA</t>
  </si>
  <si>
    <t>CARTAGENA VALVERDE</t>
  </si>
  <si>
    <t>CASTRO RAMIREZ</t>
  </si>
  <si>
    <t>COCA PINTO</t>
  </si>
  <si>
    <t>DABO CHOQUE</t>
  </si>
  <si>
    <t>FERREL MARTINEZ</t>
  </si>
  <si>
    <t>FLORES CABRERA</t>
  </si>
  <si>
    <t>GUAYGUA ACUÑA</t>
  </si>
  <si>
    <t>HUAYTA SOLIZ</t>
  </si>
  <si>
    <t>JALDIN ANCASI</t>
  </si>
  <si>
    <t>LARA TECO</t>
  </si>
  <si>
    <t>LOVERA MAMANI</t>
  </si>
  <si>
    <t>MEJIA MARTINEZ</t>
  </si>
  <si>
    <t>MOLINA PEREZ</t>
  </si>
  <si>
    <t>MORON MAMANI</t>
  </si>
  <si>
    <t>OCHOA GARNICA</t>
  </si>
  <si>
    <t>ORIAS FERNANDEZ</t>
  </si>
  <si>
    <t>PANTOJA ALVAREZ</t>
  </si>
  <si>
    <t>POLANCO BARRIENTOS</t>
  </si>
  <si>
    <t>ROQUE FERNANDEZ</t>
  </si>
  <si>
    <t>SERRUDO PADILLA</t>
  </si>
  <si>
    <t>SOTO BANUS</t>
  </si>
  <si>
    <t>VASQUEZ LLANOS</t>
  </si>
  <si>
    <t>ANCASI PEÑA</t>
  </si>
  <si>
    <t>ARANCIBIA GONZALES</t>
  </si>
  <si>
    <t>CALIZAYA FLORES</t>
  </si>
  <si>
    <t>CESPEDEZ PACHACOPA</t>
  </si>
  <si>
    <t>CHOQUE RAPU</t>
  </si>
  <si>
    <t>CHUMACERO PADILLA</t>
  </si>
  <si>
    <t>CRUZ FERNANDEZ</t>
  </si>
  <si>
    <t>FERNANDEZ MAMANI</t>
  </si>
  <si>
    <t>FLORES AGUILAR</t>
  </si>
  <si>
    <t>JUSTINIANO MERCADO</t>
  </si>
  <si>
    <t>MENDEZ SANDOVAL</t>
  </si>
  <si>
    <t>OILO FLORES</t>
  </si>
  <si>
    <t>PELAEZ ESPINOZA</t>
  </si>
  <si>
    <t>RODAS QUINTANA</t>
  </si>
  <si>
    <t>SALGUERO SALAZAR</t>
  </si>
  <si>
    <t>VEDIA ROBLEDO</t>
  </si>
  <si>
    <t>ARIAS RIVADINEIRA</t>
  </si>
  <si>
    <t>ASILLO CONDORI</t>
  </si>
  <si>
    <t>BARRIGA QUISPE</t>
  </si>
  <si>
    <t>CABRERA CRUZ</t>
  </si>
  <si>
    <t>CAMARA CEREZO</t>
  </si>
  <si>
    <t>CESPEDES LEAÑO</t>
  </si>
  <si>
    <t>GARNICA AZURDUY</t>
  </si>
  <si>
    <t>MENACHO GARCIA</t>
  </si>
  <si>
    <t>ROCHA FERNANDEZ</t>
  </si>
  <si>
    <t>AGUILAR ACHACOLLO</t>
  </si>
  <si>
    <t>CHICCHI DIAZ</t>
  </si>
  <si>
    <t>ENRRIQUEZ ZARATE</t>
  </si>
  <si>
    <t>GUZMAN FIGUEROA</t>
  </si>
  <si>
    <t>MAMANI MONTAÑO</t>
  </si>
  <si>
    <t>MARTINEZ FLORES</t>
  </si>
  <si>
    <t>MONTENEGRO RODRIGUEZ</t>
  </si>
  <si>
    <t>ORTUÑO CIFUENTES</t>
  </si>
  <si>
    <t>OSINAGA OSINAGA</t>
  </si>
  <si>
    <t>RAMOS TORRICO</t>
  </si>
  <si>
    <t>RIVADINEIRA CORREA</t>
  </si>
  <si>
    <t>YAÑEZ CEREZO</t>
  </si>
  <si>
    <t>AGUILAR  MENDOZA</t>
  </si>
  <si>
    <t>BELTRAN SICPORO</t>
  </si>
  <si>
    <t>CHAVEZ  MEJIA</t>
  </si>
  <si>
    <t>DURAN  GARCIA</t>
  </si>
  <si>
    <t>FLORES  HERRERA</t>
  </si>
  <si>
    <t>JAMIRA FERNANDEZ</t>
  </si>
  <si>
    <t>MURILLO  DORADO</t>
  </si>
  <si>
    <t>SORIA LEAÑO</t>
  </si>
  <si>
    <t>VALLE  TORREZ</t>
  </si>
  <si>
    <t>ALEJANDRO  COPA</t>
  </si>
  <si>
    <t>ASILLO  CONDORI</t>
  </si>
  <si>
    <t>DURAN  ALARCON</t>
  </si>
  <si>
    <t>FERNANDEZ  CABRERA</t>
  </si>
  <si>
    <t>JORDAN  MANSILLA</t>
  </si>
  <si>
    <t>LARA  TECO</t>
  </si>
  <si>
    <t>LIMON  LEON</t>
  </si>
  <si>
    <t>LOAYZA  COIMBRA</t>
  </si>
  <si>
    <t>MIRANDA  SEGARRA</t>
  </si>
  <si>
    <t>MORALES  SILES</t>
  </si>
  <si>
    <t>SALAZAR  ARATEA</t>
  </si>
  <si>
    <t>TORRICO  GONZALES</t>
  </si>
  <si>
    <t>ZAPATA  CORTEZ</t>
  </si>
  <si>
    <t>ARANCIBIA  ALCARAZ</t>
  </si>
  <si>
    <t>ARAUZ SORIA</t>
  </si>
  <si>
    <t>BARAHONA  CRUZ</t>
  </si>
  <si>
    <t>CARTAGENA  VALVERDE</t>
  </si>
  <si>
    <t>CHEMO HUIZA</t>
  </si>
  <si>
    <t>CHOQUE  CHOQUE</t>
  </si>
  <si>
    <t>CRUZ  VALLEJOS</t>
  </si>
  <si>
    <t>DONAIRE  VASQUEZ</t>
  </si>
  <si>
    <t>GARCIA BARRIGA</t>
  </si>
  <si>
    <t>HURTADO  HERRERA</t>
  </si>
  <si>
    <t>PEREZ PEREZ</t>
  </si>
  <si>
    <t>ROCHA RODRIGUEZ</t>
  </si>
  <si>
    <t>ROMERO  SERRUDO</t>
  </si>
  <si>
    <t>SOTO  BANUS</t>
  </si>
  <si>
    <t>TERAN RENGIPO</t>
  </si>
  <si>
    <t>YUCRA  MAMANI</t>
  </si>
  <si>
    <t>CHAUQUE  MAMANI</t>
  </si>
  <si>
    <t>CORONADO  ARANCIBIA</t>
  </si>
  <si>
    <t>ESCOBAR  MAMANI</t>
  </si>
  <si>
    <t>FLORES  AGUILAR</t>
  </si>
  <si>
    <t>JIRON  MARTINEZ</t>
  </si>
  <si>
    <t>PANIAGUA  ALVAREZ</t>
  </si>
  <si>
    <t>RAMOS  TORRICO</t>
  </si>
  <si>
    <t>SEAS  GARCIA</t>
  </si>
  <si>
    <t>SOLAR  DELGADO</t>
  </si>
  <si>
    <t>SOLIZ CABRERA</t>
  </si>
  <si>
    <t>ALVARES  ROJAS</t>
  </si>
  <si>
    <t>CARBALLO  ORTIZ</t>
  </si>
  <si>
    <t>GALARZA  HUAILLA</t>
  </si>
  <si>
    <t>PANTOJA  GONZALES</t>
  </si>
  <si>
    <t>PEÑA  MIRANDA</t>
  </si>
  <si>
    <t>RODRIGUEZ  RODRIGUEZ</t>
  </si>
  <si>
    <t>AGUADO  GUZMAN</t>
  </si>
  <si>
    <t>ARARIGUA BARRIGA</t>
  </si>
  <si>
    <t>CABALLERO  VACA</t>
  </si>
  <si>
    <t>LOPEZ  SAAVEDRA</t>
  </si>
  <si>
    <t>MENDEZ  SANDOVAL</t>
  </si>
  <si>
    <t>SEJAS  ALBA</t>
  </si>
  <si>
    <t>RODRIGUEZ MARTINEZ</t>
  </si>
  <si>
    <t>ROMERO HURTADO</t>
  </si>
  <si>
    <t>SERRANO RAMOS</t>
  </si>
  <si>
    <t>ACUÑA TORRICO</t>
  </si>
  <si>
    <t>BRANER ANDRADE</t>
  </si>
  <si>
    <t>CALLEJAS MARTINEZ</t>
  </si>
  <si>
    <t>CAREAGA  URIONA</t>
  </si>
  <si>
    <t>CESPEDES DIAZ</t>
  </si>
  <si>
    <t>CESPEDES MOREIRA</t>
  </si>
  <si>
    <t>COLQUE DORADO</t>
  </si>
  <si>
    <t>CRUZ COLQUE</t>
  </si>
  <si>
    <t>LAIME HERRERA</t>
  </si>
  <si>
    <t>MEDINA ESPINOZA</t>
  </si>
  <si>
    <t>MONTENEGRO TORRICO</t>
  </si>
  <si>
    <t>MONTERO CHAVARRIA</t>
  </si>
  <si>
    <t>ORIAS RODRIGUEZ</t>
  </si>
  <si>
    <t>PEÑA MOJICA</t>
  </si>
  <si>
    <t>ALVIS SARACHO</t>
  </si>
  <si>
    <t>CASTELLON AVILA</t>
  </si>
  <si>
    <t>GALARZA GALARZA</t>
  </si>
  <si>
    <t>GUTIERREZ PIZARRO</t>
  </si>
  <si>
    <t>LEAÑOS CRUZ</t>
  </si>
  <si>
    <t>SANCHEZ CUELLAR</t>
  </si>
  <si>
    <t>VALVERDE RODAS</t>
  </si>
  <si>
    <t>CALDERON  CHAVEZ</t>
  </si>
  <si>
    <t>CARREÑO  CARRILLO</t>
  </si>
  <si>
    <t>CHOQUE  CONDORI</t>
  </si>
  <si>
    <t>COLLAZO  MARTINEZ</t>
  </si>
  <si>
    <t>GARCIA  PRADO</t>
  </si>
  <si>
    <t>GUZMAN BALDERRAMA</t>
  </si>
  <si>
    <t>HUAILLA PADILLA</t>
  </si>
  <si>
    <t>LOPEZ  FLORES</t>
  </si>
  <si>
    <t>MARISCAL  AGUADO</t>
  </si>
  <si>
    <t>MEJIA  QUENTA</t>
  </si>
  <si>
    <t>MOREIRA  VARGAS</t>
  </si>
  <si>
    <t>PEÑA  SERRANO</t>
  </si>
  <si>
    <t>PEREIRA BONILLA</t>
  </si>
  <si>
    <t>RAMOS  GARCIA</t>
  </si>
  <si>
    <t>RODRIGUEZ  FIGUEROA</t>
  </si>
  <si>
    <t>SALAZAR CARABALLO</t>
  </si>
  <si>
    <t>TERRAZAS  RIVERA</t>
  </si>
  <si>
    <t>ZEBALLOS MAMANI</t>
  </si>
  <si>
    <t>CORONADO  VARGAS</t>
  </si>
  <si>
    <t>EGUEZ  MAMANI</t>
  </si>
  <si>
    <t>FLORES  MAMANI</t>
  </si>
  <si>
    <t>FLORES  PUMA</t>
  </si>
  <si>
    <t>GUTIERREZ  DURAN</t>
  </si>
  <si>
    <t>GUTIERREZ  ROMERO</t>
  </si>
  <si>
    <t>JIMENEZ  PEREYRA</t>
  </si>
  <si>
    <t>LLANOS  LIMA</t>
  </si>
  <si>
    <t>LOPEZ  LARA</t>
  </si>
  <si>
    <t>MAMANI  MONTAÑO</t>
  </si>
  <si>
    <t>NEGRETE  CHURATA</t>
  </si>
  <si>
    <t>ORIAS  RODRIGUEZ</t>
  </si>
  <si>
    <t>TOLEDO  ESPINOZA</t>
  </si>
  <si>
    <t>VARGAS  VELA</t>
  </si>
  <si>
    <t>ACUÑA  AIZA</t>
  </si>
  <si>
    <t>ALCARAZ APAZA</t>
  </si>
  <si>
    <t>CASTILLO  LAQUE</t>
  </si>
  <si>
    <t>CHILO  FERNANDEZ</t>
  </si>
  <si>
    <t>HERRERA GARCIA</t>
  </si>
  <si>
    <t>MARISCAL  FLORES</t>
  </si>
  <si>
    <t>MORALES CEREZO</t>
  </si>
  <si>
    <t>MOREIRA  RODRIGUEZ</t>
  </si>
  <si>
    <t>RAMOS  VILLARPANDO</t>
  </si>
  <si>
    <t>RIOS VIDAL</t>
  </si>
  <si>
    <t>SAAVEDRA SANDOVAL</t>
  </si>
  <si>
    <t>SAUZA  ARIAS</t>
  </si>
  <si>
    <t>VALBERDE  SALAZAR</t>
  </si>
  <si>
    <t>VEIZAGA FLORES</t>
  </si>
  <si>
    <t>ALDAYUS  GOMEZ</t>
  </si>
  <si>
    <t>ARANCIBIA  VILLCA</t>
  </si>
  <si>
    <t>AVERANGA  CRUZ</t>
  </si>
  <si>
    <t>FERREL  VACA</t>
  </si>
  <si>
    <t>GARCIA  MATURANO</t>
  </si>
  <si>
    <t>HINOJOSA  MERUBIA</t>
  </si>
  <si>
    <t>MENESES  HEREDIA</t>
  </si>
  <si>
    <t>MIRANDA  COPA</t>
  </si>
  <si>
    <t>MORALES  CESPEDES</t>
  </si>
  <si>
    <t>PEÑA  CONDORI</t>
  </si>
  <si>
    <t>RAMIREZ  COLQUE</t>
  </si>
  <si>
    <t>VIDAL  VILLAVICENCIO</t>
  </si>
  <si>
    <t>ACHO  GOMEZ</t>
  </si>
  <si>
    <t>AGUILAR  GUZMAN</t>
  </si>
  <si>
    <t>ARAUZ  CHOQUE</t>
  </si>
  <si>
    <t>CALIZAYA  FLORES</t>
  </si>
  <si>
    <t>CRUZ  COLQUE</t>
  </si>
  <si>
    <t>FERNANDEZ  MAMANI</t>
  </si>
  <si>
    <t>GARCIA  CASTRO</t>
  </si>
  <si>
    <t>HIPAMO  MAMANI</t>
  </si>
  <si>
    <t>NUÑEZ  BONIFAZ</t>
  </si>
  <si>
    <t>ORONOS  CUELLAR</t>
  </si>
  <si>
    <t>SOLIZ  ALDAPI</t>
  </si>
  <si>
    <t>VARGAS  ARCE</t>
  </si>
  <si>
    <t>VILLAGOMEZ  LAQUE</t>
  </si>
  <si>
    <t>AGUILAR  CARTAGENA</t>
  </si>
  <si>
    <t>BARRIENTOS  CUBA</t>
  </si>
  <si>
    <t>CASTELLON  AVILA</t>
  </si>
  <si>
    <t>ESCOBAR PUMA</t>
  </si>
  <si>
    <t>HUANACO  COLQUE</t>
  </si>
  <si>
    <t>LAQUE  ZAMBRANA</t>
  </si>
  <si>
    <t>LOPEZ  MAMANI</t>
  </si>
  <si>
    <t>MURILLO  CASTRO</t>
  </si>
  <si>
    <t>POIQUI  FAREL</t>
  </si>
  <si>
    <t>SILES PESSOA</t>
  </si>
  <si>
    <t>VALLEJOS  APAZA</t>
  </si>
  <si>
    <t>VARGAS  MANGUTA</t>
  </si>
  <si>
    <t>VARGAS ROMAN</t>
  </si>
  <si>
    <t>ZABALA ROBLES</t>
  </si>
  <si>
    <t>JUAN DE DIOS SOLIZ</t>
  </si>
  <si>
    <t>MALDONADO  FLORESZ</t>
  </si>
  <si>
    <t>DATOS DE APORTES</t>
  </si>
  <si>
    <t>4198002120146622.</t>
  </si>
  <si>
    <t>BELTRAN RAMOS</t>
  </si>
  <si>
    <t>BETANIA</t>
  </si>
  <si>
    <t>SICPORO RODRIGUEZ</t>
  </si>
  <si>
    <t>4198002120146584.</t>
  </si>
  <si>
    <t>419800262014693.</t>
  </si>
  <si>
    <t>CARREÑO CHACON</t>
  </si>
  <si>
    <t>LEIDY FABIOLA</t>
  </si>
  <si>
    <t>CARRILLO CORONADO</t>
  </si>
  <si>
    <t>41980021201340.</t>
  </si>
  <si>
    <t>419800212014216.</t>
  </si>
  <si>
    <t>EDMUNDO</t>
  </si>
  <si>
    <t>CHOQUE PUMA</t>
  </si>
  <si>
    <t>VITALIA</t>
  </si>
  <si>
    <t>CONDORI CRISPIN</t>
  </si>
  <si>
    <t>4198002120127749.</t>
  </si>
  <si>
    <t>CARLOS ALBERTO</t>
  </si>
  <si>
    <t>COLLAZO SERRATE</t>
  </si>
  <si>
    <t>MARTINEZ RICALDY</t>
  </si>
  <si>
    <t>419800312014363.</t>
  </si>
  <si>
    <t>DONATO</t>
  </si>
  <si>
    <t>DURAN COHANQUI</t>
  </si>
  <si>
    <t>FLORA</t>
  </si>
  <si>
    <t>GARCIA GOMEZ</t>
  </si>
  <si>
    <t>4198002120121152.</t>
  </si>
  <si>
    <t>CLEVER</t>
  </si>
  <si>
    <t>FLORES RODRIGUEZ</t>
  </si>
  <si>
    <t>HERRERA.</t>
  </si>
  <si>
    <t>10579.</t>
  </si>
  <si>
    <t>419800212013423.</t>
  </si>
  <si>
    <t>GARCIA ARCE</t>
  </si>
  <si>
    <t>SUSANA</t>
  </si>
  <si>
    <t>PRADO ASCARRAGA</t>
  </si>
  <si>
    <t>419800302013242.</t>
  </si>
  <si>
    <t>419800312013350.</t>
  </si>
  <si>
    <t>HUAILLA AGUILERA</t>
  </si>
  <si>
    <t>ERNESTINA</t>
  </si>
  <si>
    <t>PADILLA GAMBOA</t>
  </si>
  <si>
    <t>618400162014860.</t>
  </si>
  <si>
    <t>419800212013145.</t>
  </si>
  <si>
    <t>JAMIRA ARANIBAR</t>
  </si>
  <si>
    <t>FERNANDEZ ROJAS</t>
  </si>
  <si>
    <t>419800212013470.</t>
  </si>
  <si>
    <t>4198002120146694.</t>
  </si>
  <si>
    <t>MARISCAL ESCOBAR</t>
  </si>
  <si>
    <t>LEISY</t>
  </si>
  <si>
    <t>AGUADO CORTEZ</t>
  </si>
  <si>
    <t>419800722013121A</t>
  </si>
  <si>
    <t>FEDERICO</t>
  </si>
  <si>
    <t>MEJIA COIMBRA</t>
  </si>
  <si>
    <t>4198002120146330.</t>
  </si>
  <si>
    <t>MENDEZ GARCIA</t>
  </si>
  <si>
    <t>SANDOVAL LOPEZ</t>
  </si>
  <si>
    <t>4198003120123114.</t>
  </si>
  <si>
    <t>LEONARDO</t>
  </si>
  <si>
    <t>MOREIRA MONTAÑO</t>
  </si>
  <si>
    <t>PEREGRINA</t>
  </si>
  <si>
    <t>VARGAS CUCHALLO</t>
  </si>
  <si>
    <t>419800212014364.</t>
  </si>
  <si>
    <t>MURILLO CADIMA</t>
  </si>
  <si>
    <t>YINA DANIELA</t>
  </si>
  <si>
    <t>41980031201319A</t>
  </si>
  <si>
    <t>PEÑA PEREZ</t>
  </si>
  <si>
    <t>SERRANO BANEGAS</t>
  </si>
  <si>
    <t>4198007120132239.</t>
  </si>
  <si>
    <t>PEREIRA PEREZ</t>
  </si>
  <si>
    <t>JESIKA</t>
  </si>
  <si>
    <t>BONILLA GALVIZ</t>
  </si>
  <si>
    <t>419800262013243.</t>
  </si>
  <si>
    <t>RAMOS RODRIGUEZ</t>
  </si>
  <si>
    <t>419800712013281.</t>
  </si>
  <si>
    <t>NESTOR ANDRES</t>
  </si>
  <si>
    <t>JACQUELIN LILIAN</t>
  </si>
  <si>
    <t>4198002120146398.</t>
  </si>
  <si>
    <t>CARLITOS</t>
  </si>
  <si>
    <t>SALAZAR OCHOA</t>
  </si>
  <si>
    <t>SIRLEY</t>
  </si>
  <si>
    <t>CARABALLO OJEDA</t>
  </si>
  <si>
    <t>8041003720133100.</t>
  </si>
  <si>
    <t>JHONNY</t>
  </si>
  <si>
    <t>SORIA HINOJOSA</t>
  </si>
  <si>
    <t>NILCA</t>
  </si>
  <si>
    <t>LEAÑO VERGARA</t>
  </si>
  <si>
    <t>8198083220148081.</t>
  </si>
  <si>
    <t>DEMING CALEB</t>
  </si>
  <si>
    <t>TERRAZAS ENRIQUE</t>
  </si>
  <si>
    <t>RIVERA ROSSEL</t>
  </si>
  <si>
    <t>VALLE MONTAÑO</t>
  </si>
  <si>
    <t>JACKELIN</t>
  </si>
  <si>
    <t>419800212013299.</t>
  </si>
  <si>
    <t>JUAN MIGUEL</t>
  </si>
  <si>
    <t>ZEBALLOS YONIMA</t>
  </si>
  <si>
    <t>ALICIA</t>
  </si>
  <si>
    <t>MAMANI GARCIA</t>
  </si>
  <si>
    <t>4198006520141018.</t>
  </si>
  <si>
    <t>4198007120132444.</t>
  </si>
  <si>
    <t>YIMMY</t>
  </si>
  <si>
    <t>VILLCA COLQUE</t>
  </si>
  <si>
    <t>VILLCA CRUZ</t>
  </si>
  <si>
    <t>DAMIANA</t>
  </si>
  <si>
    <t>COLQUE QUISPE</t>
  </si>
  <si>
    <t>4198005820133493.</t>
  </si>
  <si>
    <t>GARCIA VARGAS</t>
  </si>
  <si>
    <t>419800212013444.</t>
  </si>
  <si>
    <t>EUGENIO</t>
  </si>
  <si>
    <t>ALEJANDRO RENJIFO</t>
  </si>
  <si>
    <t>COPA MAMANI</t>
  </si>
  <si>
    <t>4198002120146159.</t>
  </si>
  <si>
    <t>419800212013327.</t>
  </si>
  <si>
    <t>419800212012265.</t>
  </si>
  <si>
    <t>81981398201383.</t>
  </si>
  <si>
    <t>ERVIN</t>
  </si>
  <si>
    <t>DURAN LARA</t>
  </si>
  <si>
    <t>ALARCON GUZMAN</t>
  </si>
  <si>
    <t>419800212014613A</t>
  </si>
  <si>
    <t>HERLAN JESUS</t>
  </si>
  <si>
    <t>EGUEZ ROCA</t>
  </si>
  <si>
    <t>CONCEPCION MARINA</t>
  </si>
  <si>
    <t>MAMANI VALLEJOS</t>
  </si>
  <si>
    <t>4198007120135883.</t>
  </si>
  <si>
    <t>SALOMON DONATO</t>
  </si>
  <si>
    <t>FERNANDEZ QUINTEROS</t>
  </si>
  <si>
    <t>DOMINGA</t>
  </si>
  <si>
    <t>CABRERA ORTIZ</t>
  </si>
  <si>
    <t>419800212013402.</t>
  </si>
  <si>
    <t>FIDEL</t>
  </si>
  <si>
    <t>MAMANI DE FLORES</t>
  </si>
  <si>
    <t>419800212013439.</t>
  </si>
  <si>
    <t>41980021201392.</t>
  </si>
  <si>
    <t>GUTIERREZ IRUSTI</t>
  </si>
  <si>
    <t>DURAN MICHEL</t>
  </si>
  <si>
    <t>419800212013119.</t>
  </si>
  <si>
    <t>419800212013124.</t>
  </si>
  <si>
    <t>JIMENEZ OPORTO</t>
  </si>
  <si>
    <t>MARITZA</t>
  </si>
  <si>
    <t>419800212013150.</t>
  </si>
  <si>
    <t xml:space="preserve">GIL </t>
  </si>
  <si>
    <t>JORDAN ZALASAR</t>
  </si>
  <si>
    <t>ALBAIDA</t>
  </si>
  <si>
    <t>MANSILLA ALDANA</t>
  </si>
  <si>
    <t>4198000720131077.</t>
  </si>
  <si>
    <t>4198002120146288.</t>
  </si>
  <si>
    <t>ROSA</t>
  </si>
  <si>
    <t>LEON TORREZ</t>
  </si>
  <si>
    <t>419800212013391A</t>
  </si>
  <si>
    <t xml:space="preserve">BENIGNO </t>
  </si>
  <si>
    <t>LLANOS JIMENEZ</t>
  </si>
  <si>
    <t xml:space="preserve">LIDIA </t>
  </si>
  <si>
    <t>LIMA VARGAS</t>
  </si>
  <si>
    <t>4198002120146292.</t>
  </si>
  <si>
    <t>CHAMEL</t>
  </si>
  <si>
    <t>LOYZA MONTAÑO</t>
  </si>
  <si>
    <t>COIMBRA SOLIZ</t>
  </si>
  <si>
    <t>419800212013491.</t>
  </si>
  <si>
    <t>4198002120146320.</t>
  </si>
  <si>
    <t>419800212013514.</t>
  </si>
  <si>
    <t>N/R</t>
  </si>
  <si>
    <t>4198007220131281.</t>
  </si>
  <si>
    <t>YESSENI</t>
  </si>
  <si>
    <t>MATURANO ORIAS</t>
  </si>
  <si>
    <t>MATURANO PINTO</t>
  </si>
  <si>
    <t>ORIAS CALDERON</t>
  </si>
  <si>
    <t>419800212012398.</t>
  </si>
  <si>
    <t>HECTOR</t>
  </si>
  <si>
    <t>SEGARRA VARGAS</t>
  </si>
  <si>
    <t>419800212013192.</t>
  </si>
  <si>
    <t>WALDEMAR</t>
  </si>
  <si>
    <t>MORALES CAMPOS</t>
  </si>
  <si>
    <t>SILES NUÑEZ</t>
  </si>
  <si>
    <t>419800212013215.</t>
  </si>
  <si>
    <t>419800212013236.</t>
  </si>
  <si>
    <t>8186000420134785.</t>
  </si>
  <si>
    <t>4198003120123133.</t>
  </si>
  <si>
    <t>419800262013771.</t>
  </si>
  <si>
    <t>SALAZAR GALARZA</t>
  </si>
  <si>
    <t xml:space="preserve">JULITT </t>
  </si>
  <si>
    <t>ARATEA RIOS</t>
  </si>
  <si>
    <t>419800212013561.</t>
  </si>
  <si>
    <t>419800212012489.</t>
  </si>
  <si>
    <t>TOLEDO RODRIGUEZ</t>
  </si>
  <si>
    <t>ESPONOZA FARELL</t>
  </si>
  <si>
    <t>419800722013258.</t>
  </si>
  <si>
    <t>ADOLFO</t>
  </si>
  <si>
    <t>TORRICO LIJERON</t>
  </si>
  <si>
    <t>JUANITA</t>
  </si>
  <si>
    <t>419800212013278.</t>
  </si>
  <si>
    <t>VARGAS VENAVIDES</t>
  </si>
  <si>
    <t>ARMINDA</t>
  </si>
  <si>
    <t>VELA GARCIA</t>
  </si>
  <si>
    <t>419800212013306.</t>
  </si>
  <si>
    <t>8198107120126511.</t>
  </si>
  <si>
    <t>ACUÑA VASQUEZ</t>
  </si>
  <si>
    <t>4198002120146106.</t>
  </si>
  <si>
    <t>PASTOR</t>
  </si>
  <si>
    <t>ALCARAZ SANABRIA</t>
  </si>
  <si>
    <t>MARCIANA</t>
  </si>
  <si>
    <t>APAZA FLORES</t>
  </si>
  <si>
    <t>4198002120146110.</t>
  </si>
  <si>
    <t>4198002120131183.</t>
  </si>
  <si>
    <t>RODOLFO</t>
  </si>
  <si>
    <t>ARAUZ LIJERON</t>
  </si>
  <si>
    <t>SORIA MORON</t>
  </si>
  <si>
    <t>419800262013628.</t>
  </si>
  <si>
    <t>BARAHONA ZARATE</t>
  </si>
  <si>
    <t>HILARIA</t>
  </si>
  <si>
    <t>CRUZ ROMERO</t>
  </si>
  <si>
    <t>419800212014657A</t>
  </si>
  <si>
    <t>4198002120146201.</t>
  </si>
  <si>
    <t>JUAN FELIPE</t>
  </si>
  <si>
    <t xml:space="preserve">CASTILLO  </t>
  </si>
  <si>
    <t>FIDELIA</t>
  </si>
  <si>
    <t>LAQUE RAMOS</t>
  </si>
  <si>
    <t>419800212013353.</t>
  </si>
  <si>
    <t>RUBAL</t>
  </si>
  <si>
    <t>CHEMO CUELLAR</t>
  </si>
  <si>
    <t>HUISA ROMAN</t>
  </si>
  <si>
    <t>6190001420132074.</t>
  </si>
  <si>
    <t>RONY</t>
  </si>
  <si>
    <t>CHILO</t>
  </si>
  <si>
    <t>YULEIDY</t>
  </si>
  <si>
    <t>41980021201363.</t>
  </si>
  <si>
    <t>ELOGIO</t>
  </si>
  <si>
    <t>CHOQUE CORONADO</t>
  </si>
  <si>
    <t>PASCUALA</t>
  </si>
  <si>
    <t>CHOQUE BEJARANO</t>
  </si>
  <si>
    <t>4198002120146220.</t>
  </si>
  <si>
    <t>ERIBERTO</t>
  </si>
  <si>
    <t>CRUZ TORTOLAY</t>
  </si>
  <si>
    <t>419800212013374.</t>
  </si>
  <si>
    <t xml:space="preserve">DONAIRE </t>
  </si>
  <si>
    <t>DIONICIA</t>
  </si>
  <si>
    <t>VASQUEZ HIDALGO</t>
  </si>
  <si>
    <t>4198002120146599.</t>
  </si>
  <si>
    <t>GARCIA RODAS</t>
  </si>
  <si>
    <t>4198002120131509.</t>
  </si>
  <si>
    <t>CARLOS ANDRES</t>
  </si>
  <si>
    <t>MARIA FATIMA</t>
  </si>
  <si>
    <t>HERRERA REVOLLO</t>
  </si>
  <si>
    <t>419800212014668A</t>
  </si>
  <si>
    <t>NESTOR</t>
  </si>
  <si>
    <t>MORALES RIVERO</t>
  </si>
  <si>
    <t>CIERIDEY</t>
  </si>
  <si>
    <t>41980027201481.</t>
  </si>
  <si>
    <t>MOREIRA FERNANDEZ</t>
  </si>
  <si>
    <t>MARIA</t>
  </si>
  <si>
    <t>4198002120146713.</t>
  </si>
  <si>
    <t>RAMOS MURILLO</t>
  </si>
  <si>
    <t>VILLARPANDO AVILA</t>
  </si>
  <si>
    <t>4198009120142025.</t>
  </si>
  <si>
    <t>RIOS GUTIERREZ</t>
  </si>
  <si>
    <t>RUTH</t>
  </si>
  <si>
    <t>VIDAL</t>
  </si>
  <si>
    <t>519800202013381.</t>
  </si>
  <si>
    <t xml:space="preserve">ALEX </t>
  </si>
  <si>
    <t>ROCHA SALAZAR</t>
  </si>
  <si>
    <t>ARACELY</t>
  </si>
  <si>
    <t>RODRIGUEZ HURTADO</t>
  </si>
  <si>
    <t>4198007120132592.</t>
  </si>
  <si>
    <t>ADEMAR</t>
  </si>
  <si>
    <t>ROMERO GALVIZ</t>
  </si>
  <si>
    <t>SERRUDO GUERRA</t>
  </si>
  <si>
    <t>419800262014919.</t>
  </si>
  <si>
    <t>SAAVEDRA GARCIA</t>
  </si>
  <si>
    <t>SANDOVAL ALGARAÑAZ</t>
  </si>
  <si>
    <t>8198109120142367.</t>
  </si>
  <si>
    <t>4198002120146421.</t>
  </si>
  <si>
    <t xml:space="preserve">5C </t>
  </si>
  <si>
    <t>4198007120132391.</t>
  </si>
  <si>
    <t>TERAN MUÑOZ</t>
  </si>
  <si>
    <t>RENGIPO ZAPATA</t>
  </si>
  <si>
    <t>519800642011542.</t>
  </si>
  <si>
    <t>VALBERDE FLORES</t>
  </si>
  <si>
    <t>DOLLY</t>
  </si>
  <si>
    <t>419800212013283.</t>
  </si>
  <si>
    <t>MATILDE</t>
  </si>
  <si>
    <t>FLORES MAIZARES</t>
  </si>
  <si>
    <t>RICHAR</t>
  </si>
  <si>
    <t>YUCRA CABANA</t>
  </si>
  <si>
    <t>ELEONORA</t>
  </si>
  <si>
    <t>MAMANI RODRIGUEZ</t>
  </si>
  <si>
    <t>419800212013577.</t>
  </si>
  <si>
    <t>TRANSF</t>
  </si>
  <si>
    <t>JULIO CESAR</t>
  </si>
  <si>
    <t>ALDAYUS YEVARA</t>
  </si>
  <si>
    <t>LAURA ARACELY</t>
  </si>
  <si>
    <t>GOMEZ HIDALGO</t>
  </si>
  <si>
    <t>819812402013792.</t>
  </si>
  <si>
    <t>EFRAIN</t>
  </si>
  <si>
    <t>VILLCA FLORES</t>
  </si>
  <si>
    <t>41980048201236.</t>
  </si>
  <si>
    <t>AVERANGA CABALLERO</t>
  </si>
  <si>
    <t>CRUZ MATURANO</t>
  </si>
  <si>
    <t>81980512201343.</t>
  </si>
  <si>
    <t>NERIO</t>
  </si>
  <si>
    <t>CHAUQUE SEJAS</t>
  </si>
  <si>
    <t>41980021201214.</t>
  </si>
  <si>
    <t>ALEX</t>
  </si>
  <si>
    <t>CORONADO ZAPATA</t>
  </si>
  <si>
    <t>ARANCIBIA FIGUEROA</t>
  </si>
  <si>
    <t>4198002720134358.</t>
  </si>
  <si>
    <t>4198002720134343.</t>
  </si>
  <si>
    <t>8198067120134931.</t>
  </si>
  <si>
    <t>JHON TADEO</t>
  </si>
  <si>
    <t>ESCOBAR GONZALES</t>
  </si>
  <si>
    <t>4198007120125154.</t>
  </si>
  <si>
    <t>RICHARD</t>
  </si>
  <si>
    <t>FERREL TOLABA</t>
  </si>
  <si>
    <t>MARIANA</t>
  </si>
  <si>
    <t>VACA NOVA</t>
  </si>
  <si>
    <t>4198002620122419.</t>
  </si>
  <si>
    <t>419800212012111.</t>
  </si>
  <si>
    <t>419800302013520.</t>
  </si>
  <si>
    <t>MEDARDO</t>
  </si>
  <si>
    <t>HINOJOSA NOVA</t>
  </si>
  <si>
    <t>MERUBIA AVILA</t>
  </si>
  <si>
    <t>4198002120138101.</t>
  </si>
  <si>
    <t>JIRON SALAZAR</t>
  </si>
  <si>
    <t>YOVANA</t>
  </si>
  <si>
    <t>4198007120124860.</t>
  </si>
  <si>
    <t>MALDONADO LINO</t>
  </si>
  <si>
    <t>41980027201378.</t>
  </si>
  <si>
    <t>CARLOS YIMY</t>
  </si>
  <si>
    <t>MENESES TERRAZAS</t>
  </si>
  <si>
    <t>NEYDA YANETH</t>
  </si>
  <si>
    <t>HEREDIA RUBIO</t>
  </si>
  <si>
    <t>419800212013925.</t>
  </si>
  <si>
    <t>SEVERINO</t>
  </si>
  <si>
    <t>MIRANDA MAMANI</t>
  </si>
  <si>
    <t>COPA SALAZAR</t>
  </si>
  <si>
    <t>4198002120146493.</t>
  </si>
  <si>
    <t>EDILBERTO</t>
  </si>
  <si>
    <t>CELIDA</t>
  </si>
  <si>
    <t>CESPEDES CARRIAZO</t>
  </si>
  <si>
    <t>4198002620131109.</t>
  </si>
  <si>
    <t>PANIAGUA VALLEJOS</t>
  </si>
  <si>
    <t>ALVAREZ ORELLANA</t>
  </si>
  <si>
    <t>4198003120123148.</t>
  </si>
  <si>
    <t>PEÑA ROMERO</t>
  </si>
  <si>
    <t>ISABELA</t>
  </si>
  <si>
    <t>20012025/2</t>
  </si>
  <si>
    <t>4198002120132380.</t>
  </si>
  <si>
    <t xml:space="preserve">FRANK </t>
  </si>
  <si>
    <t>RAMIREZ GALVIZ</t>
  </si>
  <si>
    <t>SULMA TERESA</t>
  </si>
  <si>
    <t>COLQUE MIRANDA</t>
  </si>
  <si>
    <t>419800212012468.</t>
  </si>
  <si>
    <t>4198002120131566.</t>
  </si>
  <si>
    <t>SEAS HERNANDEZ</t>
  </si>
  <si>
    <t>419800212012494.</t>
  </si>
  <si>
    <t>SOLAR MONTENEGRO</t>
  </si>
  <si>
    <t>DELGADO LOPEZ</t>
  </si>
  <si>
    <t>419800212013951.</t>
  </si>
  <si>
    <t>HEVERT</t>
  </si>
  <si>
    <t>SOLIZ ESCOBAR</t>
  </si>
  <si>
    <t>CABRERA PANOZO</t>
  </si>
  <si>
    <t>419800302012383.</t>
  </si>
  <si>
    <t>ANIVAL</t>
  </si>
  <si>
    <t>VIDAL CABALLERO</t>
  </si>
  <si>
    <t>MARY GULDING</t>
  </si>
  <si>
    <t>VILLAVICENCIO CONTRERAS</t>
  </si>
  <si>
    <t>4198007220131129.</t>
  </si>
  <si>
    <t>804800182012336.</t>
  </si>
  <si>
    <t>JOSE FERNANDO</t>
  </si>
  <si>
    <t>LURDES</t>
  </si>
  <si>
    <t>GUZMAN LEDEZMA</t>
  </si>
  <si>
    <t>419800212012655.</t>
  </si>
  <si>
    <t>419800492011200.</t>
  </si>
  <si>
    <t>ARAUZ RODRIGUEZ</t>
  </si>
  <si>
    <t xml:space="preserve">SILVIA </t>
  </si>
  <si>
    <t>CHOQUE ESPINOZA</t>
  </si>
  <si>
    <t>41980027201479889.</t>
  </si>
  <si>
    <t>419800302013220A</t>
  </si>
  <si>
    <t>819812692013154.</t>
  </si>
  <si>
    <t>41980030201255A</t>
  </si>
  <si>
    <t>814301282012256.</t>
  </si>
  <si>
    <t>BERNO</t>
  </si>
  <si>
    <t>FANNY</t>
  </si>
  <si>
    <t>201M143411</t>
  </si>
  <si>
    <t>4198002720134487.</t>
  </si>
  <si>
    <t>GALARZA CUELLAR</t>
  </si>
  <si>
    <t>ADRIANA</t>
  </si>
  <si>
    <t>HUAILLA ORELLANA</t>
  </si>
  <si>
    <t>4198002120131494.</t>
  </si>
  <si>
    <t>FAVIAN</t>
  </si>
  <si>
    <t>GARCIA GUZMAN</t>
  </si>
  <si>
    <t>SALOME</t>
  </si>
  <si>
    <t>419800212012335.</t>
  </si>
  <si>
    <t>419800212013904.</t>
  </si>
  <si>
    <t>NUÑEZ CARDENAS</t>
  </si>
  <si>
    <t>NICOLAZA</t>
  </si>
  <si>
    <t>BONIFAZ ALVAREZ</t>
  </si>
  <si>
    <t>419800212012431.</t>
  </si>
  <si>
    <t>ORONOS VILLEGAS</t>
  </si>
  <si>
    <t>CUELLAR MOSCOSO</t>
  </si>
  <si>
    <t>4198002720134290.</t>
  </si>
  <si>
    <t xml:space="preserve">PANTOJA  </t>
  </si>
  <si>
    <t>GONZALES SERRANO</t>
  </si>
  <si>
    <t>419800212013126A</t>
  </si>
  <si>
    <t>NOEL</t>
  </si>
  <si>
    <t>SOLIZ BERRIOS</t>
  </si>
  <si>
    <t>ALDAPI GONZALES</t>
  </si>
  <si>
    <t>419800262013119A</t>
  </si>
  <si>
    <t>MONCADA AMADOR</t>
  </si>
  <si>
    <t>6042005420131227.</t>
  </si>
  <si>
    <t>4198007120145379.</t>
  </si>
  <si>
    <t>VILLAGOMEZ PEREDO</t>
  </si>
  <si>
    <t xml:space="preserve">MARLENI  </t>
  </si>
  <si>
    <t>419800312013639.</t>
  </si>
  <si>
    <t>BALDIR</t>
  </si>
  <si>
    <t>AGUADO PANIAGUA</t>
  </si>
  <si>
    <t>GUZMAN GARCIA</t>
  </si>
  <si>
    <t>UNION</t>
  </si>
  <si>
    <t>419800212013813.</t>
  </si>
  <si>
    <t>419800212013829.</t>
  </si>
  <si>
    <t>ARARIGUA OCHOA</t>
  </si>
  <si>
    <t>419800942012538.</t>
  </si>
  <si>
    <t>419800272013159.</t>
  </si>
  <si>
    <t>4A-6C</t>
  </si>
  <si>
    <t>CABALLERO CABRERA</t>
  </si>
  <si>
    <t>ANA ROSY</t>
  </si>
  <si>
    <t>VACA NOGALES</t>
  </si>
  <si>
    <t>41980021201295.</t>
  </si>
  <si>
    <t>419800212013860.</t>
  </si>
  <si>
    <t>41980021201289.</t>
  </si>
  <si>
    <t>MARTINEZ PADILLA</t>
  </si>
  <si>
    <t>419800072012206.</t>
  </si>
  <si>
    <t>4198002120131217.</t>
  </si>
  <si>
    <t>41980021201232A</t>
  </si>
  <si>
    <t>5B-6C</t>
  </si>
  <si>
    <t>419800212012106.</t>
  </si>
  <si>
    <t>WILFREDO ELOY</t>
  </si>
  <si>
    <t>HUANACO VALLE</t>
  </si>
  <si>
    <t>MARY LOURDES</t>
  </si>
  <si>
    <t>419800212012127.</t>
  </si>
  <si>
    <t>419800212012377.</t>
  </si>
  <si>
    <t>419800212012148.</t>
  </si>
  <si>
    <t>ALBARITO</t>
  </si>
  <si>
    <t>LOPEZ BEJARANO</t>
  </si>
  <si>
    <t>INGRID</t>
  </si>
  <si>
    <t>SAAVEDRA MANO</t>
  </si>
  <si>
    <t>41980021201210593.</t>
  </si>
  <si>
    <t>41980066201329.</t>
  </si>
  <si>
    <t>CLAUDIO</t>
  </si>
  <si>
    <t>MURILLO CHOQUE</t>
  </si>
  <si>
    <t>ELUTERIA</t>
  </si>
  <si>
    <t>CASTRO ARENAS</t>
  </si>
  <si>
    <t>419800212012169.</t>
  </si>
  <si>
    <t xml:space="preserve">ANGEL </t>
  </si>
  <si>
    <t>4198003120123167.</t>
  </si>
  <si>
    <t>SEJAS TELLEZ</t>
  </si>
  <si>
    <t>YESMY</t>
  </si>
  <si>
    <t>ALBA FLORES</t>
  </si>
  <si>
    <t>419800212013988.</t>
  </si>
  <si>
    <t>SILES HURTADO</t>
  </si>
  <si>
    <t>MAIBER</t>
  </si>
  <si>
    <t>PESSOA GARCIA</t>
  </si>
  <si>
    <t>819812422013909.</t>
  </si>
  <si>
    <t>419800212012195.</t>
  </si>
  <si>
    <t>EMIGDIO</t>
  </si>
  <si>
    <t>LILY</t>
  </si>
  <si>
    <t>MANGUTA ARARIYO</t>
  </si>
  <si>
    <t>419800212012202.</t>
  </si>
  <si>
    <t>DIETHER RIMER</t>
  </si>
  <si>
    <t>VARGAS CORDERO</t>
  </si>
  <si>
    <t>JAQUELIN</t>
  </si>
  <si>
    <t>419800262013878.</t>
  </si>
  <si>
    <t>CARMELITO</t>
  </si>
  <si>
    <t>ZABALA</t>
  </si>
  <si>
    <t>NELLY YASMINA</t>
  </si>
  <si>
    <t>ROBLES VALVERDE</t>
  </si>
  <si>
    <t>6189001820144034.</t>
  </si>
  <si>
    <t>EDWAR NEYMAR</t>
  </si>
  <si>
    <t xml:space="preserve">HIAN YAIR </t>
  </si>
  <si>
    <t>ANYELINE YULIETH</t>
  </si>
  <si>
    <t>AILAM ANDRE</t>
  </si>
  <si>
    <t>VALERIA</t>
  </si>
  <si>
    <t>BRIANA</t>
  </si>
  <si>
    <t>BRIYID MICHELL</t>
  </si>
  <si>
    <t>LUIS DANIEL</t>
  </si>
  <si>
    <t>MONSERRAT</t>
  </si>
  <si>
    <t>EMANUEL</t>
  </si>
  <si>
    <t xml:space="preserve">JESUS MIJAEL </t>
  </si>
  <si>
    <t>YAIL</t>
  </si>
  <si>
    <t>DHAYLA DENISS</t>
  </si>
  <si>
    <t>FABIANA</t>
  </si>
  <si>
    <t>SHEILA NAOMI</t>
  </si>
  <si>
    <t>JOSE MIGUEL</t>
  </si>
  <si>
    <t>CRISTHIAN</t>
  </si>
  <si>
    <t>DIANA LIZETH</t>
  </si>
  <si>
    <t>MATHIAS ALEJANDRO</t>
  </si>
  <si>
    <t>DYLAN MATIAS</t>
  </si>
  <si>
    <t>KETHERING RAFAELA</t>
  </si>
  <si>
    <t>ZAMARICH</t>
  </si>
  <si>
    <t>SAMIR</t>
  </si>
  <si>
    <t>DARIANA</t>
  </si>
  <si>
    <t>ARELY</t>
  </si>
  <si>
    <t>YHEZEBEL NICED</t>
  </si>
  <si>
    <t>YHOSELIN</t>
  </si>
  <si>
    <t>BRISA JHARIT</t>
  </si>
  <si>
    <t>THIAGO</t>
  </si>
  <si>
    <t>EMIL</t>
  </si>
  <si>
    <t>YELITZE</t>
  </si>
  <si>
    <t>YULITZE</t>
  </si>
  <si>
    <t>RASHELL CAMILA</t>
  </si>
  <si>
    <t>ALDAIL ALEXIS</t>
  </si>
  <si>
    <t>ANA SIBONEY</t>
  </si>
  <si>
    <t>BRAYAN</t>
  </si>
  <si>
    <t>CAMILA</t>
  </si>
  <si>
    <t>LUCIANNE ALEXIA</t>
  </si>
  <si>
    <t>YULIET  KAREN AYELEN</t>
  </si>
  <si>
    <t>KIM SARAY</t>
  </si>
  <si>
    <t>KETERIN MAITHE</t>
  </si>
  <si>
    <t>MARISABEL</t>
  </si>
  <si>
    <t>ZAHELY</t>
  </si>
  <si>
    <t>MILAN HANDEL</t>
  </si>
  <si>
    <t>YANDI</t>
  </si>
  <si>
    <t xml:space="preserve">PAULA LORENA </t>
  </si>
  <si>
    <t>SANTIAGO  HERNAN</t>
  </si>
  <si>
    <t>BRIANNA</t>
  </si>
  <si>
    <t>KIARA MELANIE</t>
  </si>
  <si>
    <t>DENER</t>
  </si>
  <si>
    <t>EYSA NICOL</t>
  </si>
  <si>
    <t>ASHLEY NICKOLE</t>
  </si>
  <si>
    <t>AILEEN BRIANA CASSANDRA</t>
  </si>
  <si>
    <t>DULCE ROMINA</t>
  </si>
  <si>
    <t>YORDY CRISTOBAL</t>
  </si>
  <si>
    <t>RADAMEL</t>
  </si>
  <si>
    <t>YAMIL</t>
  </si>
  <si>
    <t>NAYELY</t>
  </si>
  <si>
    <t>YINMY</t>
  </si>
  <si>
    <t>URIEL DANIEL</t>
  </si>
  <si>
    <t>DAYRA JASLIN</t>
  </si>
  <si>
    <t>GERARDO JESE</t>
  </si>
  <si>
    <t>DILAN JOSE</t>
  </si>
  <si>
    <t>JANA VICTORIA</t>
  </si>
  <si>
    <t>LUANI</t>
  </si>
  <si>
    <t xml:space="preserve">ERNESTO SAID </t>
  </si>
  <si>
    <t>JOSUE MATHIAS</t>
  </si>
  <si>
    <t>ANGEL GABRIEL</t>
  </si>
  <si>
    <t>DARIL MARIEL</t>
  </si>
  <si>
    <t>JOSUE</t>
  </si>
  <si>
    <t>YEICO YAMIL</t>
  </si>
  <si>
    <t>ARID FERNANDA</t>
  </si>
  <si>
    <t>AMELIA CAROLINA</t>
  </si>
  <si>
    <t>NEIVILE</t>
  </si>
  <si>
    <t>AYLIN LUCERO</t>
  </si>
  <si>
    <t>YARITZA</t>
  </si>
  <si>
    <t>YOSETH MIGUEL</t>
  </si>
  <si>
    <t>GLENDA</t>
  </si>
  <si>
    <t>SARAHI</t>
  </si>
  <si>
    <t>LUIS ANGEL</t>
  </si>
  <si>
    <t>LUCAS ALEXANDER</t>
  </si>
  <si>
    <t>MIA SIMONE</t>
  </si>
  <si>
    <t>YAMILETH</t>
  </si>
  <si>
    <t>JOEL NEIMAR</t>
  </si>
  <si>
    <t>MIGUEL ANGHELO</t>
  </si>
  <si>
    <t>DILAN LUIS</t>
  </si>
  <si>
    <t>ALEXIA FELICIA</t>
  </si>
  <si>
    <t>ALEXIS JENRY</t>
  </si>
  <si>
    <t>MILEISSA BRICELY</t>
  </si>
  <si>
    <t>ALIZON</t>
  </si>
  <si>
    <t>WENDY</t>
  </si>
  <si>
    <t>YOIHSY GABRIELA</t>
  </si>
  <si>
    <t>SAMIR SAID</t>
  </si>
  <si>
    <t xml:space="preserve"> JHANDI MELANY</t>
  </si>
  <si>
    <t>ANCEL GABRIEL</t>
  </si>
  <si>
    <t>NICOL</t>
  </si>
  <si>
    <t>ALEJANDRA</t>
  </si>
  <si>
    <t>JHULIANA</t>
  </si>
  <si>
    <t>DARIAN</t>
  </si>
  <si>
    <t>MEELL YERALDINE</t>
  </si>
  <si>
    <t>MARCELO</t>
  </si>
  <si>
    <t>ARIANE</t>
  </si>
  <si>
    <t>XIMENA MERLIN</t>
  </si>
  <si>
    <t>DAYANA VICTORIA</t>
  </si>
  <si>
    <t>DAIMI</t>
  </si>
  <si>
    <t>TANIA</t>
  </si>
  <si>
    <t>ALEXIA SAYURY</t>
  </si>
  <si>
    <t>MIA LIZZIE</t>
  </si>
  <si>
    <t>ORIANA</t>
  </si>
  <si>
    <t>YENNIFER YANDIRA</t>
  </si>
  <si>
    <t>JAIRO JESUS</t>
  </si>
  <si>
    <t>ADRIEL YUFEN</t>
  </si>
  <si>
    <t xml:space="preserve">KEYLER GERSON </t>
  </si>
  <si>
    <t>VALENTINA NICOLE</t>
  </si>
  <si>
    <t>LEIDY ANDREA</t>
  </si>
  <si>
    <t>MAX FARID</t>
  </si>
  <si>
    <t>KEVIN</t>
  </si>
  <si>
    <t xml:space="preserve">DAYMI </t>
  </si>
  <si>
    <t>LIBNI BELEN</t>
  </si>
  <si>
    <t>JOAB</t>
  </si>
  <si>
    <t>ROMINA</t>
  </si>
  <si>
    <t>RUTH JEYLI</t>
  </si>
  <si>
    <t>JHEIMY BRITTANY</t>
  </si>
  <si>
    <t>DANA PAOLA</t>
  </si>
  <si>
    <t>SHARIT</t>
  </si>
  <si>
    <t>YEIKOL</t>
  </si>
  <si>
    <t>CARMEN AMABELIT</t>
  </si>
  <si>
    <t>LUCAS YUCEF</t>
  </si>
  <si>
    <t>LUZ BELINDA</t>
  </si>
  <si>
    <t xml:space="preserve">DAVINIA </t>
  </si>
  <si>
    <t>SHARITH YERALDINE</t>
  </si>
  <si>
    <t xml:space="preserve"> ABDIEL MATEO</t>
  </si>
  <si>
    <t xml:space="preserve"> MARICELA</t>
  </si>
  <si>
    <t>CARLOS ALFREDO</t>
  </si>
  <si>
    <t>GRISDEL</t>
  </si>
  <si>
    <t>YARITZA BELEN</t>
  </si>
  <si>
    <t>CAMILA CARELY</t>
  </si>
  <si>
    <t>TANIA ARACELY</t>
  </si>
  <si>
    <t>JHAELY BRIGITTE</t>
  </si>
  <si>
    <t>LUZ ANGELICA</t>
  </si>
  <si>
    <t>AYELEN ZARITH</t>
  </si>
  <si>
    <t>JULIANA LIZBETH</t>
  </si>
  <si>
    <t>YESIBEL</t>
  </si>
  <si>
    <t xml:space="preserve">NEYMAR </t>
  </si>
  <si>
    <t>ANA CELESTE</t>
  </si>
  <si>
    <t>DIANE ANGELINE</t>
  </si>
  <si>
    <t>DARLING</t>
  </si>
  <si>
    <t>MAXIMILIANO</t>
  </si>
  <si>
    <t xml:space="preserve">ADRIEL </t>
  </si>
  <si>
    <t>JOSE ARIEL</t>
  </si>
  <si>
    <t>LUCIANA</t>
  </si>
  <si>
    <t>HILTON</t>
  </si>
  <si>
    <t>SHIRLEY MIKEILA</t>
  </si>
  <si>
    <t>ANMY LIZ</t>
  </si>
  <si>
    <t>JASMIN</t>
  </si>
  <si>
    <t>DANNA EMILY</t>
  </si>
  <si>
    <t>WILSON  GUILLERMO</t>
  </si>
  <si>
    <t>SEBASTIAN</t>
  </si>
  <si>
    <t xml:space="preserve"> FERNANDA LUCIA</t>
  </si>
  <si>
    <t>JUAN GERARDO</t>
  </si>
  <si>
    <t xml:space="preserve">JOSE DAVID </t>
  </si>
  <si>
    <t>JHON ANTONY</t>
  </si>
  <si>
    <t>OLIVER</t>
  </si>
  <si>
    <t>NICK EDISON</t>
  </si>
  <si>
    <t>IRIS ABRIL</t>
  </si>
  <si>
    <t>KEVIN ANDRE</t>
  </si>
  <si>
    <t>KENIA DARINKA</t>
  </si>
  <si>
    <t>YENERY</t>
  </si>
  <si>
    <t xml:space="preserve"> MARIANNA</t>
  </si>
  <si>
    <t xml:space="preserve"> LEIDY</t>
  </si>
  <si>
    <t xml:space="preserve"> YARITA</t>
  </si>
  <si>
    <t>SERGIO ANDRE</t>
  </si>
  <si>
    <t>JOEL DANNY</t>
  </si>
  <si>
    <t>DAIRA CRISTEL</t>
  </si>
  <si>
    <t xml:space="preserve">GERALDINNE </t>
  </si>
  <si>
    <t xml:space="preserve">JIMENA </t>
  </si>
  <si>
    <t>LUIS GERARDO</t>
  </si>
  <si>
    <t>ANNY MILEIDY</t>
  </si>
  <si>
    <t>GUSTAVO</t>
  </si>
  <si>
    <t>CARLOS DENILSON</t>
  </si>
  <si>
    <t>DUSAN JEREMY</t>
  </si>
  <si>
    <t>YENIFER</t>
  </si>
  <si>
    <t>LOU SEBASTIAN</t>
  </si>
  <si>
    <t>KEVIN DANIEL</t>
  </si>
  <si>
    <t>FAVIO ANDRES</t>
  </si>
  <si>
    <t>MILEY ANYELY</t>
  </si>
  <si>
    <t>YERAL ALEXANDER</t>
  </si>
  <si>
    <t>ANGEL NEIMAR</t>
  </si>
  <si>
    <t>BRUNO</t>
  </si>
  <si>
    <t>JOHAN DAVID</t>
  </si>
  <si>
    <t>JOSE ANGEL</t>
  </si>
  <si>
    <t xml:space="preserve"> FLAVIA ANDREA</t>
  </si>
  <si>
    <t>DANNA PAOLA</t>
  </si>
  <si>
    <t>MELANI</t>
  </si>
  <si>
    <t>LUCIANA MACIEL</t>
  </si>
  <si>
    <t>CELESTE AYLEN</t>
  </si>
  <si>
    <t>LUCIANE MARIELA</t>
  </si>
  <si>
    <t>NEGRETE CUETO</t>
  </si>
  <si>
    <t>ANGELY LIANET</t>
  </si>
  <si>
    <t>ISABELLA</t>
  </si>
  <si>
    <t>JAEL KEILA</t>
  </si>
  <si>
    <t>CHRISTEL DAVINIA</t>
  </si>
  <si>
    <t>MARLIN</t>
  </si>
  <si>
    <t>ISABELLA VICTORIA</t>
  </si>
  <si>
    <t>AMBERLY ARLEN</t>
  </si>
  <si>
    <t>ANDY LIONEL</t>
  </si>
  <si>
    <t>ALISSON CLARITZA</t>
  </si>
  <si>
    <t>CESAR ALEJANDRO</t>
  </si>
  <si>
    <t>MAICOL</t>
  </si>
  <si>
    <t>MARCELL EVANS</t>
  </si>
  <si>
    <t>YADIRA YEILY</t>
  </si>
  <si>
    <t>SHAID</t>
  </si>
  <si>
    <t>YOSTIN  ELIOBETH</t>
  </si>
  <si>
    <t>LEYTHO CAMILO</t>
  </si>
  <si>
    <t>ALISON MICHEL</t>
  </si>
  <si>
    <t>SKARLEEN</t>
  </si>
  <si>
    <t>FLAVIO CESAR</t>
  </si>
  <si>
    <t>EILEEN</t>
  </si>
  <si>
    <t>FLOR MAITE</t>
  </si>
  <si>
    <t>SHANNEY</t>
  </si>
  <si>
    <t>MAILYN DAYANA</t>
  </si>
  <si>
    <t>LISSY NAOMY</t>
  </si>
  <si>
    <t>DIANA BELEN</t>
  </si>
  <si>
    <t>NEYDA</t>
  </si>
  <si>
    <t>DANNA ALEXIA</t>
  </si>
  <si>
    <t>DANITZA JULIET</t>
  </si>
  <si>
    <t>JOSE MANUEL</t>
  </si>
  <si>
    <t>LEONIDES ALBERTO</t>
  </si>
  <si>
    <t>ALBEYRO</t>
  </si>
  <si>
    <t>KEILY MICHELLY</t>
  </si>
  <si>
    <t>JAAZIEL</t>
  </si>
  <si>
    <t>TATIANA</t>
  </si>
  <si>
    <t>CARLOS LEONEL</t>
  </si>
  <si>
    <t>JORGE MANUEL</t>
  </si>
  <si>
    <t>ABDIEL</t>
  </si>
  <si>
    <t>CAMILA MARIEL</t>
  </si>
  <si>
    <t>MAITE</t>
  </si>
  <si>
    <t>YERI EDUTH</t>
  </si>
  <si>
    <t>YHOISSY JASMIN</t>
  </si>
  <si>
    <t>JOADEL</t>
  </si>
  <si>
    <t>ZULEIDY</t>
  </si>
  <si>
    <t>JASMIN ANTONETH</t>
  </si>
  <si>
    <t>MAIQUELY CAMILA</t>
  </si>
  <si>
    <t>NAYER ANTHONY</t>
  </si>
  <si>
    <t>NAYELI</t>
  </si>
  <si>
    <t>DASTAN JADIEL</t>
  </si>
  <si>
    <t>MISAEL</t>
  </si>
  <si>
    <t>LUIS DAVID</t>
  </si>
  <si>
    <t>CARLA</t>
  </si>
  <si>
    <t>NICOL ESTEFANY</t>
  </si>
  <si>
    <t>NAOMY DAVINIA</t>
  </si>
  <si>
    <t>KEYLER GESIEL</t>
  </si>
  <si>
    <t>AURO JUNIOR</t>
  </si>
  <si>
    <t>SAMIRA DAYMI</t>
  </si>
  <si>
    <t>SELENY</t>
  </si>
  <si>
    <t>MARIA ANGELES</t>
  </si>
  <si>
    <t xml:space="preserve">MELANY MISHEL </t>
  </si>
  <si>
    <t>ANALIA</t>
  </si>
  <si>
    <t>YOMITH</t>
  </si>
  <si>
    <t>ESTHER NAOMI</t>
  </si>
  <si>
    <t>ALINY</t>
  </si>
  <si>
    <t>DARLING MALEN</t>
  </si>
  <si>
    <t>DIANA ESTEFANI</t>
  </si>
  <si>
    <t>NAHOMI BELEN</t>
  </si>
  <si>
    <t>NYLS DEYNAR</t>
  </si>
  <si>
    <t>YEKY</t>
  </si>
  <si>
    <t>ALBERT ERICK</t>
  </si>
  <si>
    <t xml:space="preserve"> CARLOS BRAYAN</t>
  </si>
  <si>
    <t>JHOSTYN ADOLFO</t>
  </si>
  <si>
    <t>ALISSON</t>
  </si>
  <si>
    <t>YENNIFER</t>
  </si>
  <si>
    <t>DEIBY</t>
  </si>
  <si>
    <t>AYHALEN</t>
  </si>
  <si>
    <t>YULENNI  GABRIELA</t>
  </si>
  <si>
    <t>NATIVIDAD</t>
  </si>
  <si>
    <t>MAYTE ZUZEL</t>
  </si>
  <si>
    <t>JOSE BENJAMIN</t>
  </si>
  <si>
    <t>MARIOLI</t>
  </si>
  <si>
    <t>FREDERICK</t>
  </si>
  <si>
    <t>MELISA</t>
  </si>
  <si>
    <t>ARIANA LUCIANA</t>
  </si>
  <si>
    <t>LUZ MERY</t>
  </si>
  <si>
    <t>EUNICE VICTORIA</t>
  </si>
  <si>
    <t>XIMENA</t>
  </si>
  <si>
    <t>ESTEFANI</t>
  </si>
  <si>
    <t>ALBEIRO</t>
  </si>
  <si>
    <t>HENRY ABDIEL</t>
  </si>
  <si>
    <t>YACIRA</t>
  </si>
  <si>
    <t>LIZETH</t>
  </si>
  <si>
    <t>VANESSA</t>
  </si>
  <si>
    <t>ALEXIS MIGUEL</t>
  </si>
  <si>
    <t>AYLIN</t>
  </si>
  <si>
    <t>MARIA FERNANDA</t>
  </si>
  <si>
    <t>CRISTIAN JAIR</t>
  </si>
  <si>
    <t>REYLI LEANDRO</t>
  </si>
  <si>
    <t>ALDAIR</t>
  </si>
  <si>
    <t>CARLA MARIZEL</t>
  </si>
  <si>
    <t>JHULEYDI</t>
  </si>
  <si>
    <t>FABRICIO</t>
  </si>
  <si>
    <t>ARIANNE</t>
  </si>
  <si>
    <t>MARIA PAULA</t>
  </si>
  <si>
    <t>AMARILIZ</t>
  </si>
  <si>
    <t>FABRIZIO</t>
  </si>
  <si>
    <t>SOLANGE YHULEIZY</t>
  </si>
  <si>
    <t>DAYRA LUCIANA</t>
  </si>
  <si>
    <t>MAYERLIN</t>
  </si>
  <si>
    <t>DAYMI DAVINIA</t>
  </si>
  <si>
    <t>CRISTIAN RONALDO</t>
  </si>
  <si>
    <t>ISRAEL URIEL</t>
  </si>
  <si>
    <t>WENDY YHANINE</t>
  </si>
  <si>
    <t>FRANS OLIVER</t>
  </si>
  <si>
    <t>DAMARIS</t>
  </si>
  <si>
    <t>JOSUE ABEL</t>
  </si>
  <si>
    <t>EMILSEN</t>
  </si>
  <si>
    <t>THIAGO ALEXIS</t>
  </si>
  <si>
    <t>XAVI ALCIDES</t>
  </si>
  <si>
    <t>AVRIL</t>
  </si>
  <si>
    <t xml:space="preserve">YEMINA ELIANA </t>
  </si>
  <si>
    <t>DAMARIS YAHIBEL</t>
  </si>
  <si>
    <t>ABRIL</t>
  </si>
  <si>
    <t>ELISABETH TABITA</t>
  </si>
  <si>
    <t>RUTH KEILA</t>
  </si>
  <si>
    <t>ESTHER SARAY</t>
  </si>
  <si>
    <t>MAIKOL IKER</t>
  </si>
  <si>
    <t>CLIVER</t>
  </si>
  <si>
    <t>SISSI</t>
  </si>
  <si>
    <t>MIGUEL ANGEL</t>
  </si>
  <si>
    <t>HANS BERTH</t>
  </si>
  <si>
    <t>ANDERSON</t>
  </si>
  <si>
    <t>ANDRES JHOEL</t>
  </si>
  <si>
    <t xml:space="preserve">CRISTHIAN ANDRES </t>
  </si>
  <si>
    <t>MIREISA</t>
  </si>
  <si>
    <t>FERNANDA</t>
  </si>
  <si>
    <t>DIEBERSSON</t>
  </si>
  <si>
    <t>MARIA BELEN</t>
  </si>
  <si>
    <t>LIZ DUBEYSA</t>
  </si>
  <si>
    <t>ANYELINE</t>
  </si>
  <si>
    <t>MILENA</t>
  </si>
  <si>
    <t>EVERY BRIANA</t>
  </si>
  <si>
    <t>HEIMY ANYELI</t>
  </si>
  <si>
    <t>JOSELITO</t>
  </si>
  <si>
    <t>GILIANY</t>
  </si>
  <si>
    <t>BETSABE</t>
  </si>
  <si>
    <t>ANGEL DANIEL</t>
  </si>
  <si>
    <t>FIORI</t>
  </si>
  <si>
    <t>JOSUE MOISES</t>
  </si>
  <si>
    <t>CARLOS MATIAS</t>
  </si>
  <si>
    <t>ALEXEI</t>
  </si>
  <si>
    <t>RICHARD EDUARDO</t>
  </si>
  <si>
    <t>LIZ MARICELY</t>
  </si>
  <si>
    <t>JHON KEVIN</t>
  </si>
  <si>
    <t xml:space="preserve">OSWALD ALAIN </t>
  </si>
  <si>
    <t>MAILY MARELY</t>
  </si>
  <si>
    <t>SALLY YERAMEL</t>
  </si>
  <si>
    <t>LIS HILLARY</t>
  </si>
  <si>
    <t>YUREN</t>
  </si>
  <si>
    <t>ANNETH MELODI</t>
  </si>
  <si>
    <t>YULIANA</t>
  </si>
  <si>
    <t>LEYRE PATRICIA</t>
  </si>
  <si>
    <t>JHON DEALER</t>
  </si>
  <si>
    <t>SARAI LIA</t>
  </si>
  <si>
    <t>JHARETH LIBIAN</t>
  </si>
  <si>
    <t>CARLA SIRELY</t>
  </si>
  <si>
    <t>ALEJANDRO</t>
  </si>
  <si>
    <t>NAYOVY PADME</t>
  </si>
  <si>
    <t>CAROL YESSENIA</t>
  </si>
  <si>
    <t>ANNALEE GENESIS</t>
  </si>
  <si>
    <t>JUAN HERNESTO</t>
  </si>
  <si>
    <t>YASMINKA</t>
  </si>
  <si>
    <t>SAID CASIANO</t>
  </si>
  <si>
    <t>HERLAN YAMIL</t>
  </si>
  <si>
    <t>NIKOL ANGELYN</t>
  </si>
  <si>
    <t>MARK HENRY</t>
  </si>
  <si>
    <t>SAMIR YANDEL</t>
  </si>
  <si>
    <t>JHONATAN CHARLY</t>
  </si>
  <si>
    <t>EXNAIDER</t>
  </si>
  <si>
    <t>CAROLINY</t>
  </si>
  <si>
    <t>MARIA ESTEFANY</t>
  </si>
  <si>
    <t>ARIANY NICOL</t>
  </si>
  <si>
    <t>ANA SHUELLY</t>
  </si>
  <si>
    <t>NAYARA</t>
  </si>
  <si>
    <t>LUIS SANTIAGO</t>
  </si>
  <si>
    <t>LUKAS ZAHID</t>
  </si>
  <si>
    <t>ARLETH SMITH</t>
  </si>
  <si>
    <t>OSMAR</t>
  </si>
  <si>
    <t>EVANS DONOVAN</t>
  </si>
  <si>
    <t>YORGELY VIANNEY</t>
  </si>
  <si>
    <t>MATEO</t>
  </si>
  <si>
    <t>LUZ BELEN</t>
  </si>
  <si>
    <t>EMILI</t>
  </si>
  <si>
    <t>LUIS MIGUEL</t>
  </si>
  <si>
    <t>NELLY MICHEL</t>
  </si>
  <si>
    <t>ALVARO</t>
  </si>
  <si>
    <t>MAGDIEL</t>
  </si>
  <si>
    <t>ELDA</t>
  </si>
  <si>
    <t>ANGELYNE YULEIDY</t>
  </si>
  <si>
    <t>IVER</t>
  </si>
  <si>
    <t>JEIDY</t>
  </si>
  <si>
    <t>MAITANE</t>
  </si>
  <si>
    <t>JOSE DAVID</t>
  </si>
  <si>
    <t>ARIO KEYLER</t>
  </si>
  <si>
    <t>LEONEL OMAR</t>
  </si>
  <si>
    <t>ANABEL</t>
  </si>
  <si>
    <t>NORAH SOFIA</t>
  </si>
  <si>
    <t>NURIAN</t>
  </si>
  <si>
    <t xml:space="preserve">CARLOS DANIEL </t>
  </si>
  <si>
    <t>RUTH FERNANDA</t>
  </si>
  <si>
    <t>ESMERALDA BELEN</t>
  </si>
  <si>
    <t>EDIL NEYHER</t>
  </si>
  <si>
    <t>ELIAS</t>
  </si>
  <si>
    <t>CESAR ANDRES</t>
  </si>
  <si>
    <t>BIANCA DIARNI</t>
  </si>
  <si>
    <t>LUCERO</t>
  </si>
  <si>
    <t>ALEXANDRA</t>
  </si>
  <si>
    <t>SHARON ITZEL</t>
  </si>
  <si>
    <t>KEISY</t>
  </si>
  <si>
    <t>DIXON JAIRO</t>
  </si>
  <si>
    <t>JHOEL EDISON</t>
  </si>
  <si>
    <t>LENNY</t>
  </si>
  <si>
    <t>CAMILA DE LOS ANGELES</t>
  </si>
  <si>
    <t>JHAIR DANIEL</t>
  </si>
  <si>
    <t>DAVID JESUS</t>
  </si>
  <si>
    <t>JHEIMY YOSSBEL</t>
  </si>
  <si>
    <t>ANA LUCERO</t>
  </si>
  <si>
    <t>FRANK ALEXANDER</t>
  </si>
  <si>
    <t>ANDREA</t>
  </si>
  <si>
    <t>ANITA</t>
  </si>
  <si>
    <t>NADIA</t>
  </si>
  <si>
    <t>MASSIEL  MADELEINE</t>
  </si>
  <si>
    <t>DILAN GUSTAVO</t>
  </si>
  <si>
    <t>DANIEL FERNANDO</t>
  </si>
  <si>
    <t>JIMMY</t>
  </si>
  <si>
    <t>KATHERINE GISSEL</t>
  </si>
  <si>
    <t>EVA MARIA</t>
  </si>
  <si>
    <t>LIZBETH</t>
  </si>
  <si>
    <t>VANIA DANIELA</t>
  </si>
  <si>
    <t>ALIS SEFORA</t>
  </si>
  <si>
    <t>LEIDY MARIAN</t>
  </si>
  <si>
    <t>ASLY YUSSARA</t>
  </si>
  <si>
    <t>MOISES OLIVER</t>
  </si>
  <si>
    <t>GUILIA NAVIT</t>
  </si>
  <si>
    <t>MAYA</t>
  </si>
  <si>
    <t>BEIMAR STEVEN</t>
  </si>
  <si>
    <t>JHOEL</t>
  </si>
  <si>
    <t>MARIA MONTSERRAT</t>
  </si>
  <si>
    <t>CIELO MARLENE</t>
  </si>
  <si>
    <t>BELKYS</t>
  </si>
  <si>
    <t>LUIS FRANKLIN</t>
  </si>
  <si>
    <t>AYERLIN DEYSI</t>
  </si>
  <si>
    <t>EMILY</t>
  </si>
  <si>
    <t>YECID</t>
  </si>
  <si>
    <t>LUCIANA VALERIA</t>
  </si>
  <si>
    <t>KARLA NAYELY</t>
  </si>
  <si>
    <t>DANNA MARELY</t>
  </si>
  <si>
    <t>YARA DANA</t>
  </si>
  <si>
    <t>HELEN</t>
  </si>
  <si>
    <t>YHAN KARLA</t>
  </si>
  <si>
    <t>JUAN ALEJANDRO</t>
  </si>
  <si>
    <t>SHEYLA MASSIEL</t>
  </si>
  <si>
    <t>CRISTHIAN YUREM</t>
  </si>
  <si>
    <t>DAVINIA YADIRA</t>
  </si>
  <si>
    <t>DERLYN</t>
  </si>
  <si>
    <t>JOSEPH DEIVY</t>
  </si>
  <si>
    <t>FABIANA ISABEL</t>
  </si>
  <si>
    <t>SHIRLEY ANUSHA</t>
  </si>
  <si>
    <t>DIANA JHILLARY</t>
  </si>
  <si>
    <t>GLORIA ANGHELA</t>
  </si>
  <si>
    <t>GENERO</t>
  </si>
  <si>
    <t>M</t>
  </si>
  <si>
    <t>F</t>
  </si>
  <si>
    <t>ESTRADA  BOCANEGRA</t>
  </si>
  <si>
    <t>ITEMS</t>
  </si>
  <si>
    <t>TARIFA CRUZ</t>
  </si>
  <si>
    <t>JORGE RODRIGO</t>
  </si>
  <si>
    <t>FERREL</t>
  </si>
  <si>
    <t>MOLINA</t>
  </si>
  <si>
    <t xml:space="preserve">PEREZ </t>
  </si>
  <si>
    <t>NREG/NOMBRE</t>
  </si>
  <si>
    <t>VALVERDE</t>
  </si>
  <si>
    <t>RODAS</t>
  </si>
  <si>
    <t>NREG</t>
  </si>
  <si>
    <t>N/SINREGISTRO</t>
  </si>
  <si>
    <t>TORRICO CASTRO</t>
  </si>
  <si>
    <t>REV. RECI.</t>
  </si>
  <si>
    <t>DOBLE</t>
  </si>
  <si>
    <t>SEVERICHE BALDELOMAR</t>
  </si>
  <si>
    <t>OJO52</t>
  </si>
  <si>
    <t>CATALINA ROMELIA</t>
  </si>
  <si>
    <t>OJOOBS</t>
  </si>
  <si>
    <t>VEDIA</t>
  </si>
  <si>
    <t>ROBLEDO</t>
  </si>
  <si>
    <t>PAMELA 
LEONESA</t>
  </si>
  <si>
    <t>CONSUELO 
MILENKA</t>
  </si>
  <si>
    <t>JOSSELIN 
ROSARIO</t>
  </si>
  <si>
    <t>MARIA
 MAGDALENA</t>
  </si>
  <si>
    <t>ANGELICA 
GUDELIA</t>
  </si>
  <si>
    <t>PATRICIA
 CLAUDIA</t>
  </si>
  <si>
    <t>MARLENI 
SOLEDAD</t>
  </si>
  <si>
    <t>AVIGAIL 
ELEYDE</t>
  </si>
  <si>
    <t>YESSICA
  PAOLA</t>
  </si>
  <si>
    <t>LENNY
 MARIELA</t>
  </si>
  <si>
    <t>TANIA
MARCELA</t>
  </si>
  <si>
    <t>MARIA 
ESTEFANI</t>
  </si>
  <si>
    <t>YUSETH 
JHAMEY</t>
  </si>
  <si>
    <t>TANIA 
ANDREINA</t>
  </si>
  <si>
    <t>TERESA
 ANDREA</t>
  </si>
  <si>
    <t>JULIO 
BERNARDO</t>
  </si>
  <si>
    <t>FERNANDO 
GEORGE</t>
  </si>
  <si>
    <t>GUILLERNO
 MARIO</t>
  </si>
  <si>
    <t>NESTOR 
RAMIRO</t>
  </si>
  <si>
    <t>RODRIGO 
ALBARO</t>
  </si>
  <si>
    <t>DIEGO 
ARMANDO</t>
  </si>
  <si>
    <t>JORGE 
ARMANDO</t>
  </si>
  <si>
    <t>EDGAR 
WILFREDO</t>
  </si>
  <si>
    <t>GERARDO
 GABRIEL</t>
  </si>
  <si>
    <t>#KARDEX</t>
  </si>
  <si>
    <t>CHerman0</t>
  </si>
  <si>
    <t>8719
82601</t>
  </si>
  <si>
    <t>8677
8600/</t>
  </si>
  <si>
    <t>8737-
64154
56019</t>
  </si>
  <si>
    <t>82556
8746</t>
  </si>
  <si>
    <t>8667
8734</t>
  </si>
  <si>
    <t>82594
50%</t>
  </si>
  <si>
    <t>doble</t>
  </si>
  <si>
    <t>8658
-82571</t>
  </si>
  <si>
    <t>MONTO</t>
  </si>
  <si>
    <t>4A-6B</t>
  </si>
  <si>
    <t>LUIS ARMANDO</t>
  </si>
  <si>
    <t>FLORES</t>
  </si>
  <si>
    <t>CHOQUE LLANOS</t>
  </si>
  <si>
    <t>TUTOR5A</t>
  </si>
  <si>
    <t xml:space="preserve">ESCOBAR   </t>
  </si>
  <si>
    <t>PUMA</t>
  </si>
  <si>
    <t>SIN REGISTRO</t>
  </si>
  <si>
    <t xml:space="preserve">1A  </t>
  </si>
  <si>
    <t>REV</t>
  </si>
  <si>
    <t>82602
56034</t>
  </si>
  <si>
    <t>propio</t>
  </si>
  <si>
    <t xml:space="preserve">tutor </t>
  </si>
  <si>
    <t>CABELLO VALLEJO</t>
  </si>
  <si>
    <t>CATHIA</t>
  </si>
  <si>
    <t>ORTIZ CRUZ</t>
  </si>
  <si>
    <t>vericado</t>
  </si>
  <si>
    <t>8657
56273</t>
  </si>
  <si>
    <t>GOMEZ MARTINEZ</t>
  </si>
  <si>
    <t>tutor</t>
  </si>
  <si>
    <t>PUMACAYO</t>
  </si>
  <si>
    <t>CARVALHO</t>
  </si>
  <si>
    <t>TUTOR1A</t>
  </si>
  <si>
    <r>
      <t xml:space="preserve">JUNTA ESCOLAR NN. UU 
</t>
    </r>
    <r>
      <rPr>
        <sz val="14"/>
        <color theme="0"/>
        <rFont val="Trebuchet MS"/>
        <family val="2"/>
        <scheme val="minor"/>
      </rPr>
      <t>Nivel secundaria turno mañana</t>
    </r>
  </si>
  <si>
    <t>REGISTRO DE PADRES</t>
  </si>
  <si>
    <t>NOMBRES PADRE</t>
  </si>
  <si>
    <t>APELLIDOS MADRE</t>
  </si>
  <si>
    <t>NROREF2</t>
  </si>
  <si>
    <t>APELLIDOS PADRE</t>
  </si>
  <si>
    <t>NOMBRES MADRE</t>
  </si>
  <si>
    <t>NOMBRES TUTOR</t>
  </si>
  <si>
    <t>NROREF1.</t>
  </si>
  <si>
    <t>NRO KARDEX</t>
  </si>
  <si>
    <t>NOMBRE COMPLETO TUTOR</t>
  </si>
  <si>
    <t>REGISTRO DE ALUMNOS GESTION 2025</t>
  </si>
  <si>
    <t>OBLIGACIONES DE LOS PADRES</t>
  </si>
  <si>
    <t>RAUL MARTINEZ AGUANTA</t>
  </si>
  <si>
    <t>CHISTHIAN FRANCO</t>
  </si>
  <si>
    <t>LEON</t>
  </si>
  <si>
    <t>BUSQUEDAS DE REGISTROS JUNTA ESCOLAR NACIONES UNIDAS</t>
  </si>
  <si>
    <t>MINGA</t>
  </si>
  <si>
    <t>TOTAL</t>
  </si>
  <si>
    <t>DATOS DE LA BUSQUEDA</t>
  </si>
  <si>
    <t>KARDEX</t>
  </si>
  <si>
    <t>NOMBRE PADRE</t>
  </si>
  <si>
    <t>APELLIDOS PADRES</t>
  </si>
  <si>
    <t>NRO CI</t>
  </si>
  <si>
    <t>NOMBRE MADRE</t>
  </si>
  <si>
    <t>APELLIDOS MADRES</t>
  </si>
  <si>
    <t>NOMBRE DEL TUTOR</t>
  </si>
  <si>
    <t>TELEFONO1</t>
  </si>
  <si>
    <t>TELEFONO 2</t>
  </si>
  <si>
    <t>TUTOR</t>
  </si>
  <si>
    <t>NRO CI2</t>
  </si>
  <si>
    <t>APELLIDOS PP.FF</t>
  </si>
  <si>
    <t xml:space="preserve">BUSQUEDA DE LOS ALUMNOS </t>
  </si>
  <si>
    <t>APELLIDOS ESTUDIANTE</t>
  </si>
  <si>
    <t>DATOS DE BUSQUEDA</t>
  </si>
  <si>
    <t>RUDE ESTUDIANTTE</t>
  </si>
  <si>
    <t>NRO KARDEX PADRE</t>
  </si>
  <si>
    <t>FLORES MARTINEZ</t>
  </si>
  <si>
    <t>NRO KARDEX PADRES 
RUDE ESTUDIANTE</t>
  </si>
  <si>
    <t>OBLIGACIONES PENDIENTES</t>
  </si>
  <si>
    <t>INTRODUCIR APELLIDOS DEL 
PADRE O MADRE DE FAMILIA</t>
  </si>
  <si>
    <t>APELLIDOS DEL ESTUDIANTE</t>
  </si>
  <si>
    <t xml:space="preserve">LISTADO DE ALUMNO Y PADRES DE FAMILIA </t>
  </si>
  <si>
    <t>NOMBRE CURSO</t>
  </si>
  <si>
    <t>NOMBRE</t>
  </si>
  <si>
    <t>NOMBRE TUTOR</t>
  </si>
  <si>
    <t>NELFY RODAS</t>
  </si>
  <si>
    <t>INSTRODUCIR CURSO</t>
  </si>
  <si>
    <t>DATOS DEL PADRE DE FAMILIA:</t>
  </si>
  <si>
    <t>NRO KARDEX:</t>
  </si>
  <si>
    <t>DATOS DEL TUTOR:</t>
  </si>
  <si>
    <t>REGISTRO DE APORTES 2025</t>
  </si>
  <si>
    <t>D=SI.ERROR(BUSCARV([@NROKARDEX];BDPADRES;8;FALSO);"Sin registrado")</t>
  </si>
  <si>
    <t>NOMBRECOMPLETOS</t>
  </si>
  <si>
    <t>NRORECIBO</t>
  </si>
  <si>
    <t>FECHA</t>
  </si>
  <si>
    <t xml:space="preserve">MONTO APROBADO EN ASAMBLEA </t>
  </si>
  <si>
    <t>FECHA2</t>
  </si>
  <si>
    <t>S=SI(D8="NO";165;"0")</t>
  </si>
  <si>
    <t>OBSERVACION</t>
  </si>
  <si>
    <t>REGISTROS DE LAS ASAMBLEAS</t>
  </si>
  <si>
    <t>MONTO DE MULTA POR FALTA:</t>
  </si>
  <si>
    <t xml:space="preserve">NOMBRE COMPLETO </t>
  </si>
  <si>
    <t>ASAMBLEA1</t>
  </si>
  <si>
    <t>ASAMBLEA2</t>
  </si>
  <si>
    <t>ASAMBLEA3</t>
  </si>
  <si>
    <t>ASAMBLEA4</t>
  </si>
  <si>
    <t>ASAMBLEA5</t>
  </si>
  <si>
    <t>FECHAS ASAMBLEAS</t>
  </si>
  <si>
    <t>REGISTRO DE BTH 2025</t>
  </si>
  <si>
    <t>REGISTROS DE LAS MINGAS</t>
  </si>
  <si>
    <t>MINGA1</t>
  </si>
  <si>
    <t>MINGA2</t>
  </si>
  <si>
    <t>MINGA3</t>
  </si>
  <si>
    <t>FECHAS MINGA</t>
  </si>
  <si>
    <t>ASAMBLEA</t>
  </si>
  <si>
    <t>DELEGADOS</t>
  </si>
  <si>
    <t>TERESA  ANDREA</t>
  </si>
  <si>
    <t>PAMELA LEONESA</t>
  </si>
  <si>
    <t>JOSSELIN ROSARIO</t>
  </si>
  <si>
    <t>YESSICA  PAOLA</t>
  </si>
  <si>
    <t>RODRIGO ALBARO</t>
  </si>
  <si>
    <t>ANGELICA GUDELIA</t>
  </si>
  <si>
    <t>JORGE ARMANDO</t>
  </si>
  <si>
    <t>EDGAR WILFREDO</t>
  </si>
  <si>
    <t>GUILLERNO MARIO</t>
  </si>
  <si>
    <t>JULIO BERNARDO</t>
  </si>
  <si>
    <t>AVIGAIL ELEYDE</t>
  </si>
  <si>
    <t>TANIA ANDREINA</t>
  </si>
  <si>
    <t>DIEGO ARMANDO</t>
  </si>
  <si>
    <t>TANIA MARCELA</t>
  </si>
  <si>
    <t>MARLENI SOLEDAD</t>
  </si>
  <si>
    <t>GERARDO GABRIEL</t>
  </si>
  <si>
    <t>CONSUELO MILENKA</t>
  </si>
  <si>
    <t>FERNANDO GEORGE</t>
  </si>
  <si>
    <t>MARIA ESTEFANI</t>
  </si>
  <si>
    <t>LENNY MARIELA</t>
  </si>
  <si>
    <t>NESTOR RAMIRO</t>
  </si>
  <si>
    <t>YUSETH JHAMEY</t>
  </si>
  <si>
    <t>PATRICIA CLAUDIA</t>
  </si>
  <si>
    <t>SR1</t>
  </si>
  <si>
    <t>SR2</t>
  </si>
  <si>
    <t>SR3</t>
  </si>
  <si>
    <t>SR4</t>
  </si>
  <si>
    <t>SR5</t>
  </si>
  <si>
    <t>SR6</t>
  </si>
  <si>
    <t>SR7</t>
  </si>
  <si>
    <t>SR8</t>
  </si>
  <si>
    <t>SR9</t>
  </si>
  <si>
    <t>SR10</t>
  </si>
  <si>
    <t>SR11</t>
  </si>
  <si>
    <t>SR12</t>
  </si>
  <si>
    <t>SR13</t>
  </si>
  <si>
    <t>SR14</t>
  </si>
  <si>
    <t>SR15</t>
  </si>
  <si>
    <t>SR16</t>
  </si>
  <si>
    <t>SR17</t>
  </si>
  <si>
    <t>SR18</t>
  </si>
  <si>
    <t>SR19</t>
  </si>
  <si>
    <t>SR20</t>
  </si>
  <si>
    <t>SR21</t>
  </si>
  <si>
    <t>SR22</t>
  </si>
  <si>
    <t>SR23</t>
  </si>
  <si>
    <t>SR24</t>
  </si>
  <si>
    <t>SR25</t>
  </si>
  <si>
    <t>SR26</t>
  </si>
  <si>
    <t>SR27</t>
  </si>
  <si>
    <t>SR28</t>
  </si>
  <si>
    <t>SR29</t>
  </si>
  <si>
    <t>SR30</t>
  </si>
  <si>
    <t>SR31</t>
  </si>
  <si>
    <t>SR32</t>
  </si>
  <si>
    <t>SR33</t>
  </si>
  <si>
    <t>SR34</t>
  </si>
  <si>
    <t>SR35</t>
  </si>
  <si>
    <t>SR36</t>
  </si>
  <si>
    <t>SR37</t>
  </si>
  <si>
    <t>SR38</t>
  </si>
  <si>
    <t>SR40</t>
  </si>
  <si>
    <t>SR41</t>
  </si>
  <si>
    <t>SR42</t>
  </si>
  <si>
    <t>SR39</t>
  </si>
  <si>
    <t>SR43</t>
  </si>
  <si>
    <t>//=SI.ERROR(BUSCARV([@NROKARDEX];Tabla3;12;FALSO);"NO PAGO")</t>
  </si>
  <si>
    <t>A=SI(BUSCARV(B8;BDREGISTROAPORTES2025;5;FALSO)="165";0;"165")</t>
  </si>
  <si>
    <t>REGISTROS DE LAS ACTIVIDADES CURSO</t>
  </si>
  <si>
    <t>REUNIO</t>
  </si>
  <si>
    <t>FEST1</t>
  </si>
  <si>
    <t>FEST2</t>
  </si>
  <si>
    <t>OLIM</t>
  </si>
  <si>
    <t>OTRAS</t>
  </si>
  <si>
    <t>SOLI</t>
  </si>
  <si>
    <t>|</t>
  </si>
  <si>
    <t>ALISON CABRERA CRUZ</t>
  </si>
  <si>
    <t>minga</t>
  </si>
  <si>
    <t xml:space="preserve">rita gonzales </t>
  </si>
  <si>
    <t xml:space="preserve">trabajo en la ming </t>
  </si>
  <si>
    <t>verifcar en el cuaderno</t>
  </si>
  <si>
    <t xml:space="preserve">julieta mollo </t>
  </si>
  <si>
    <t>dos asamblea</t>
  </si>
  <si>
    <t>hacer recibo</t>
  </si>
  <si>
    <t>moises Donaire se entrego la libreta  verificar 4 sellos y minga</t>
  </si>
  <si>
    <t>rosalia galarza</t>
  </si>
  <si>
    <t>3 sellos y una minga</t>
  </si>
  <si>
    <t>4c</t>
  </si>
  <si>
    <t>pago multa de reunion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</si>
</sst>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4" x14ac:knownFonts="1">
    <font>
      <sz val="11"/>
      <color theme="1"/>
      <name val="Trebuchet MS"/>
      <family val="2"/>
      <scheme val="minor"/>
    </font>
    <font>
      <sz val="11"/>
      <color rgb="FF9C0006"/>
      <name val="Trebuchet MS"/>
      <family val="2"/>
      <scheme val="minor"/>
    </font>
    <font>
      <b/>
      <sz val="11"/>
      <color theme="0"/>
      <name val="Trebuchet MS"/>
      <family val="2"/>
      <scheme val="minor"/>
    </font>
    <font>
      <sz val="10"/>
      <color rgb="FF000000"/>
      <name val="Times New Roman"/>
      <family val="1"/>
    </font>
    <font>
      <b/>
      <sz val="11"/>
      <color theme="1"/>
      <name val="Trebuchet MS"/>
      <family val="2"/>
      <scheme val="minor"/>
    </font>
    <font>
      <sz val="8"/>
      <name val="Trebuchet MS"/>
      <family val="2"/>
      <scheme val="minor"/>
    </font>
    <font>
      <sz val="26"/>
      <color theme="1"/>
      <name val="Algerian"/>
      <family val="5"/>
    </font>
    <font>
      <sz val="11"/>
      <color rgb="FFFF0000"/>
      <name val="Trebuchet MS"/>
      <family val="2"/>
      <scheme val="minor"/>
    </font>
    <font>
      <sz val="11"/>
      <name val="Trebuchet MS"/>
      <family val="2"/>
      <scheme val="minor"/>
    </font>
    <font>
      <sz val="11"/>
      <color theme="3" tint="0.249977111117893"/>
      <name val="Trebuchet MS"/>
      <family val="2"/>
      <scheme val="minor"/>
    </font>
    <font>
      <sz val="11"/>
      <color rgb="FFC00000"/>
      <name val="Trebuchet MS"/>
      <family val="2"/>
      <scheme val="minor"/>
    </font>
    <font>
      <sz val="11"/>
      <color rgb="FF002060"/>
      <name val="Trebuchet MS"/>
      <family val="2"/>
      <scheme val="minor"/>
    </font>
    <font>
      <sz val="11"/>
      <color rgb="FF7030A0"/>
      <name val="Trebuchet MS"/>
      <family val="2"/>
      <scheme val="minor"/>
    </font>
    <font>
      <sz val="11"/>
      <color theme="0"/>
      <name val="Trebuchet MS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9"/>
      <color theme="1"/>
      <name val="Trebuchet MS"/>
      <family val="2"/>
      <scheme val="minor"/>
    </font>
    <font>
      <sz val="9"/>
      <color theme="1"/>
      <name val="Arial"/>
      <family val="2"/>
    </font>
    <font>
      <sz val="9"/>
      <color rgb="FFFF0000"/>
      <name val="Trebuchet MS"/>
      <family val="2"/>
      <scheme val="minor"/>
    </font>
    <font>
      <sz val="8"/>
      <color theme="1"/>
      <name val="Trebuchet MS"/>
      <family val="2"/>
      <scheme val="minor"/>
    </font>
    <font>
      <b/>
      <sz val="9"/>
      <color theme="0"/>
      <name val="Calibri"/>
      <family val="2"/>
    </font>
    <font>
      <sz val="9"/>
      <color theme="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11"/>
      <color theme="1"/>
      <name val="Calibri"/>
      <family val="2"/>
    </font>
    <font>
      <sz val="11"/>
      <color theme="1"/>
      <name val="Trebuchet MS"/>
      <family val="2"/>
      <scheme val="minor"/>
    </font>
    <font>
      <sz val="26"/>
      <color theme="0"/>
      <name val="Trebuchet MS"/>
      <family val="2"/>
      <scheme val="minor"/>
    </font>
    <font>
      <sz val="10"/>
      <color theme="1"/>
      <name val="Trebuchet MS"/>
      <family val="2"/>
      <scheme val="minor"/>
    </font>
    <font>
      <sz val="14"/>
      <color theme="0"/>
      <name val="Trebuchet MS"/>
      <family val="2"/>
      <scheme val="minor"/>
    </font>
    <font>
      <sz val="8"/>
      <color theme="1"/>
      <name val="Arial"/>
      <family val="2"/>
    </font>
    <font>
      <sz val="8"/>
      <color rgb="FFFF0000"/>
      <name val="Arial"/>
      <family val="2"/>
    </font>
    <font>
      <sz val="8"/>
      <color rgb="FFC00000"/>
      <name val="Arial"/>
      <family val="2"/>
    </font>
    <font>
      <b/>
      <sz val="22"/>
      <color theme="0"/>
      <name val="Trebuchet MS"/>
      <family val="2"/>
      <scheme val="minor"/>
    </font>
    <font>
      <sz val="11"/>
      <color rgb="FFFA7D00"/>
      <name val="Trebuchet MS"/>
      <family val="2"/>
      <scheme val="minor"/>
    </font>
    <font>
      <b/>
      <sz val="20"/>
      <color theme="0"/>
      <name val="Trebuchet MS"/>
      <family val="2"/>
      <scheme val="minor"/>
    </font>
    <font>
      <sz val="22"/>
      <color theme="0"/>
      <name val="Arial Black"/>
      <family val="2"/>
    </font>
    <font>
      <sz val="16"/>
      <color theme="5" tint="-0.499984740745262"/>
      <name val="Trebuchet MS"/>
      <family val="2"/>
      <scheme val="minor"/>
    </font>
    <font>
      <sz val="9"/>
      <color theme="5" tint="-0.249977111117893"/>
      <name val="Trebuchet MS"/>
      <family val="2"/>
      <scheme val="minor"/>
    </font>
    <font>
      <sz val="11"/>
      <color theme="9" tint="-0.499984740745262"/>
      <name val="Trebuchet MS"/>
      <family val="2"/>
      <scheme val="minor"/>
    </font>
    <font>
      <sz val="16"/>
      <color theme="9" tint="-0.499984740745262"/>
      <name val="Trebuchet MS"/>
      <family val="2"/>
      <scheme val="minor"/>
    </font>
    <font>
      <sz val="9"/>
      <color theme="9" tint="-0.499984740745262"/>
      <name val="Trebuchet MS"/>
      <family val="2"/>
      <scheme val="minor"/>
    </font>
    <font>
      <b/>
      <sz val="11"/>
      <color theme="5" tint="-0.499984740745262"/>
      <name val="Trebuchet MS"/>
      <family val="2"/>
      <scheme val="minor"/>
    </font>
    <font>
      <sz val="11"/>
      <color theme="5" tint="-0.499984740745262"/>
      <name val="Trebuchet MS"/>
      <family val="2"/>
      <scheme val="minor"/>
    </font>
    <font>
      <sz val="8"/>
      <color theme="5" tint="-0.249977111117893"/>
      <name val="Trebuchet MS"/>
      <family val="2"/>
      <scheme val="minor"/>
    </font>
    <font>
      <sz val="11"/>
      <color theme="2" tint="-9.9978637043366805E-2"/>
      <name val="Trebuchet MS"/>
      <family val="2"/>
      <scheme val="minor"/>
    </font>
    <font>
      <b/>
      <sz val="18"/>
      <color theme="0"/>
      <name val="Arial"/>
      <family val="2"/>
    </font>
    <font>
      <b/>
      <sz val="8"/>
      <color theme="1"/>
      <name val="Agency FB"/>
      <family val="2"/>
    </font>
    <font>
      <sz val="24"/>
      <color theme="0"/>
      <name val="Amasis MT Pro Black"/>
      <family val="1"/>
    </font>
    <font>
      <b/>
      <sz val="14"/>
      <color theme="0"/>
      <name val="Trebuchet MS"/>
      <family val="2"/>
      <scheme val="minor"/>
    </font>
    <font>
      <sz val="24"/>
      <color theme="0"/>
      <name val="Arial"/>
      <family val="2"/>
    </font>
    <font>
      <sz val="11"/>
      <color theme="1"/>
      <name val="Arial"/>
      <family val="2"/>
    </font>
    <font>
      <sz val="18"/>
      <color theme="1"/>
      <name val="Arial"/>
      <family val="2"/>
    </font>
    <font>
      <sz val="11"/>
      <color rgb="FF000000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79998168889431442"/>
        <bgColor indexed="64"/>
      </patternFill>
    </fill>
  </fills>
  <borders count="4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3" tint="9.9978637043366805E-2"/>
      </left>
      <right style="thin">
        <color indexed="64"/>
      </right>
      <top style="medium">
        <color theme="3" tint="9.9978637043366805E-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theme="3" tint="9.9978637043366805E-2"/>
      </top>
      <bottom style="thin">
        <color indexed="64"/>
      </bottom>
      <diagonal/>
    </border>
    <border>
      <left style="medium">
        <color theme="3" tint="9.9978637043366805E-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3" tint="9.9978637043366805E-2"/>
      </left>
      <right style="thin">
        <color indexed="64"/>
      </right>
      <top style="thin">
        <color indexed="64"/>
      </top>
      <bottom style="medium">
        <color theme="3" tint="9.9978637043366805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theme="3" tint="9.9978637043366805E-2"/>
      </bottom>
      <diagonal/>
    </border>
    <border>
      <left style="thin">
        <color theme="3" tint="9.9978637043366805E-2"/>
      </left>
      <right style="thin">
        <color theme="3" tint="9.9978637043366805E-2"/>
      </right>
      <top style="thin">
        <color theme="3" tint="9.9978637043366805E-2"/>
      </top>
      <bottom style="thin">
        <color theme="3" tint="9.9978637043366805E-2"/>
      </bottom>
      <diagonal/>
    </border>
    <border>
      <left style="thin">
        <color indexed="64"/>
      </left>
      <right/>
      <top style="medium">
        <color theme="3" tint="9.9978637043366805E-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theme="3" tint="9.9978637043366805E-2"/>
      </bottom>
      <diagonal/>
    </border>
    <border>
      <left style="medium">
        <color theme="3" tint="9.9978637043366805E-2"/>
      </left>
      <right style="thin">
        <color theme="3" tint="9.9978637043366805E-2"/>
      </right>
      <top style="medium">
        <color theme="3" tint="9.9978637043366805E-2"/>
      </top>
      <bottom style="thin">
        <color theme="3" tint="9.9978637043366805E-2"/>
      </bottom>
      <diagonal/>
    </border>
    <border>
      <left style="thin">
        <color theme="3" tint="9.9978637043366805E-2"/>
      </left>
      <right style="thin">
        <color theme="3" tint="9.9978637043366805E-2"/>
      </right>
      <top style="medium">
        <color theme="3" tint="9.9978637043366805E-2"/>
      </top>
      <bottom style="thin">
        <color theme="3" tint="9.9978637043366805E-2"/>
      </bottom>
      <diagonal/>
    </border>
    <border>
      <left style="thin">
        <color theme="3" tint="9.9978637043366805E-2"/>
      </left>
      <right style="medium">
        <color theme="3" tint="9.9978637043366805E-2"/>
      </right>
      <top style="medium">
        <color theme="3" tint="9.9978637043366805E-2"/>
      </top>
      <bottom style="thin">
        <color theme="3" tint="9.9978637043366805E-2"/>
      </bottom>
      <diagonal/>
    </border>
    <border>
      <left style="medium">
        <color theme="3" tint="9.9978637043366805E-2"/>
      </left>
      <right style="thin">
        <color theme="3" tint="9.9978637043366805E-2"/>
      </right>
      <top style="thin">
        <color theme="3" tint="9.9978637043366805E-2"/>
      </top>
      <bottom style="thin">
        <color theme="3" tint="9.9978637043366805E-2"/>
      </bottom>
      <diagonal/>
    </border>
    <border>
      <left style="thin">
        <color theme="3" tint="9.9978637043366805E-2"/>
      </left>
      <right style="medium">
        <color theme="3" tint="9.9978637043366805E-2"/>
      </right>
      <top style="thin">
        <color theme="3" tint="9.9978637043366805E-2"/>
      </top>
      <bottom style="thin">
        <color theme="3" tint="9.9978637043366805E-2"/>
      </bottom>
      <diagonal/>
    </border>
    <border>
      <left style="medium">
        <color theme="3" tint="9.9978637043366805E-2"/>
      </left>
      <right style="thin">
        <color theme="3" tint="9.9978637043366805E-2"/>
      </right>
      <top style="thin">
        <color theme="3" tint="9.9978637043366805E-2"/>
      </top>
      <bottom style="medium">
        <color theme="3" tint="9.9978637043366805E-2"/>
      </bottom>
      <diagonal/>
    </border>
    <border>
      <left style="thin">
        <color theme="3" tint="9.9978637043366805E-2"/>
      </left>
      <right style="thin">
        <color theme="3" tint="9.9978637043366805E-2"/>
      </right>
      <top style="thin">
        <color theme="3" tint="9.9978637043366805E-2"/>
      </top>
      <bottom style="medium">
        <color theme="3" tint="9.9978637043366805E-2"/>
      </bottom>
      <diagonal/>
    </border>
    <border>
      <left style="thin">
        <color theme="3" tint="9.9978637043366805E-2"/>
      </left>
      <right style="medium">
        <color theme="3" tint="9.9978637043366805E-2"/>
      </right>
      <top style="thin">
        <color theme="3" tint="9.9978637043366805E-2"/>
      </top>
      <bottom style="medium">
        <color theme="3" tint="9.9978637043366805E-2"/>
      </bottom>
      <diagonal/>
    </border>
    <border>
      <left style="thin">
        <color theme="3" tint="9.9978637043366805E-2"/>
      </left>
      <right/>
      <top style="medium">
        <color theme="3" tint="9.9978637043366805E-2"/>
      </top>
      <bottom style="thin">
        <color theme="3" tint="9.9978637043366805E-2"/>
      </bottom>
      <diagonal/>
    </border>
    <border>
      <left style="thin">
        <color theme="3" tint="9.9978637043366805E-2"/>
      </left>
      <right/>
      <top style="thin">
        <color theme="3" tint="9.9978637043366805E-2"/>
      </top>
      <bottom style="thin">
        <color theme="3" tint="9.9978637043366805E-2"/>
      </bottom>
      <diagonal/>
    </border>
    <border>
      <left style="thin">
        <color theme="3" tint="9.9978637043366805E-2"/>
      </left>
      <right/>
      <top style="thin">
        <color theme="3" tint="9.9978637043366805E-2"/>
      </top>
      <bottom style="medium">
        <color theme="3" tint="9.9978637043366805E-2"/>
      </bottom>
      <diagonal/>
    </border>
    <border>
      <left/>
      <right style="thin">
        <color theme="3" tint="9.9978637043366805E-2"/>
      </right>
      <top style="medium">
        <color theme="3" tint="9.9978637043366805E-2"/>
      </top>
      <bottom style="thin">
        <color theme="3" tint="9.9978637043366805E-2"/>
      </bottom>
      <diagonal/>
    </border>
    <border>
      <left/>
      <right style="thin">
        <color theme="3" tint="9.9978637043366805E-2"/>
      </right>
      <top style="thin">
        <color theme="3" tint="9.9978637043366805E-2"/>
      </top>
      <bottom style="thin">
        <color theme="3" tint="9.9978637043366805E-2"/>
      </bottom>
      <diagonal/>
    </border>
    <border>
      <left/>
      <right style="thin">
        <color theme="3" tint="9.9978637043366805E-2"/>
      </right>
      <top style="thin">
        <color theme="3" tint="9.9978637043366805E-2"/>
      </top>
      <bottom style="medium">
        <color theme="3" tint="9.9978637043366805E-2"/>
      </bottom>
      <diagonal/>
    </border>
    <border>
      <left style="medium">
        <color theme="3" tint="9.9978637043366805E-2"/>
      </left>
      <right style="medium">
        <color theme="3" tint="9.9978637043366805E-2"/>
      </right>
      <top style="medium">
        <color theme="3" tint="9.9978637043366805E-2"/>
      </top>
      <bottom style="thin">
        <color theme="3" tint="9.9978637043366805E-2"/>
      </bottom>
      <diagonal/>
    </border>
    <border>
      <left style="medium">
        <color theme="3" tint="9.9978637043366805E-2"/>
      </left>
      <right style="medium">
        <color theme="3" tint="9.9978637043366805E-2"/>
      </right>
      <top style="thin">
        <color theme="3" tint="9.9978637043366805E-2"/>
      </top>
      <bottom style="thin">
        <color theme="3" tint="9.9978637043366805E-2"/>
      </bottom>
      <diagonal/>
    </border>
    <border>
      <left style="medium">
        <color theme="3" tint="9.9978637043366805E-2"/>
      </left>
      <right style="medium">
        <color theme="3" tint="9.9978637043366805E-2"/>
      </right>
      <top style="thin">
        <color theme="3" tint="9.9978637043366805E-2"/>
      </top>
      <bottom style="medium">
        <color theme="3" tint="9.9978637043366805E-2"/>
      </bottom>
      <diagonal/>
    </border>
    <border>
      <left/>
      <right/>
      <top/>
      <bottom style="double">
        <color rgb="FFFF800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 style="medium">
        <color theme="5" tint="-0.499984740745262"/>
      </left>
      <right style="medium">
        <color theme="5" tint="-0.499984740745262"/>
      </right>
      <top style="medium">
        <color theme="5" tint="-0.499984740745262"/>
      </top>
      <bottom style="medium">
        <color theme="5" tint="-0.499984740745262"/>
      </bottom>
      <diagonal/>
    </border>
  </borders>
  <cellStyleXfs count="14">
    <xf numFmtId="0" fontId="0" fillId="0" borderId="0"/>
    <xf numFmtId="0" fontId="1" fillId="2" borderId="0" applyNumberFormat="0" applyBorder="0" applyAlignment="0" applyProtection="0"/>
    <xf numFmtId="0" fontId="3" fillId="0" borderId="0"/>
    <xf numFmtId="0" fontId="26" fillId="14" borderId="0" applyNumberFormat="0" applyBorder="0" applyAlignment="0" applyProtection="0"/>
    <xf numFmtId="0" fontId="13" fillId="15" borderId="0" applyNumberFormat="0" applyBorder="0" applyAlignment="0" applyProtection="0"/>
    <xf numFmtId="0" fontId="26" fillId="16" borderId="0" applyNumberFormat="0" applyBorder="0" applyAlignment="0" applyProtection="0"/>
    <xf numFmtId="0" fontId="34" fillId="0" borderId="38" applyNumberFormat="0" applyFill="0" applyAlignment="0" applyProtection="0"/>
    <xf numFmtId="0" fontId="13" fillId="17" borderId="0" applyNumberFormat="0" applyBorder="0" applyAlignment="0" applyProtection="0"/>
    <xf numFmtId="0" fontId="26" fillId="18" borderId="0" applyNumberFormat="0" applyBorder="0" applyAlignment="0" applyProtection="0"/>
    <xf numFmtId="0" fontId="26" fillId="19" borderId="0" applyNumberFormat="0" applyBorder="0" applyAlignment="0" applyProtection="0"/>
    <xf numFmtId="0" fontId="13" fillId="20" borderId="0" applyNumberFormat="0" applyBorder="0" applyAlignment="0" applyProtection="0"/>
    <xf numFmtId="0" fontId="26" fillId="21" borderId="0" applyNumberFormat="0" applyBorder="0" applyAlignment="0" applyProtection="0"/>
    <xf numFmtId="0" fontId="26" fillId="22" borderId="0" applyNumberFormat="0" applyBorder="0" applyAlignment="0" applyProtection="0"/>
    <xf numFmtId="0" fontId="26" fillId="30" borderId="0" applyNumberFormat="0" applyBorder="0" applyAlignment="0" applyProtection="0"/>
  </cellStyleXfs>
  <cellXfs count="176">
    <xf numFmtId="0" fontId="0" fillId="0" borderId="0" xfId="0"/>
    <xf numFmtId="0" fontId="0" fillId="0" borderId="0" xfId="0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4" borderId="1" xfId="0" applyFont="1" applyFill="1" applyBorder="1" applyAlignment="1">
      <alignment horizontal="left"/>
    </xf>
    <xf numFmtId="0" fontId="4" fillId="0" borderId="5" xfId="0" applyFont="1" applyBorder="1"/>
    <xf numFmtId="0" fontId="4" fillId="0" borderId="4" xfId="0" applyFont="1" applyBorder="1"/>
    <xf numFmtId="0" fontId="0" fillId="3" borderId="0" xfId="0" applyFill="1"/>
    <xf numFmtId="0" fontId="7" fillId="0" borderId="0" xfId="0" applyFont="1" applyAlignment="1">
      <alignment horizontal="center"/>
    </xf>
    <xf numFmtId="0" fontId="0" fillId="0" borderId="0" xfId="0" applyAlignment="1">
      <alignment horizontal="left" vertical="top"/>
    </xf>
    <xf numFmtId="0" fontId="0" fillId="3" borderId="0" xfId="0" applyFill="1" applyAlignment="1">
      <alignment horizontal="center"/>
    </xf>
    <xf numFmtId="0" fontId="6" fillId="0" borderId="0" xfId="0" applyFont="1" applyAlignment="1">
      <alignment horizontal="left"/>
    </xf>
    <xf numFmtId="0" fontId="4" fillId="0" borderId="5" xfId="0" applyFont="1" applyBorder="1" applyAlignment="1">
      <alignment horizontal="left"/>
    </xf>
    <xf numFmtId="0" fontId="4" fillId="0" borderId="3" xfId="0" applyFont="1" applyBorder="1" applyAlignment="1">
      <alignment horizontal="left"/>
    </xf>
    <xf numFmtId="0" fontId="8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 wrapText="1"/>
    </xf>
    <xf numFmtId="0" fontId="10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0" fillId="0" borderId="3" xfId="0" applyBorder="1"/>
    <xf numFmtId="0" fontId="0" fillId="0" borderId="5" xfId="0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0" fillId="10" borderId="0" xfId="0" applyFill="1"/>
    <xf numFmtId="0" fontId="2" fillId="4" borderId="1" xfId="0" applyFont="1" applyFill="1" applyBorder="1" applyAlignment="1">
      <alignment horizontal="center" vertical="top"/>
    </xf>
    <xf numFmtId="0" fontId="2" fillId="11" borderId="0" xfId="0" applyFont="1" applyFill="1" applyAlignment="1">
      <alignment horizontal="center"/>
    </xf>
    <xf numFmtId="0" fontId="14" fillId="0" borderId="0" xfId="0" applyFont="1" applyAlignment="1">
      <alignment horizontal="center"/>
    </xf>
    <xf numFmtId="0" fontId="14" fillId="0" borderId="0" xfId="0" applyFont="1" applyAlignment="1">
      <alignment horizontal="left"/>
    </xf>
    <xf numFmtId="0" fontId="14" fillId="0" borderId="0" xfId="0" applyFont="1"/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4" fillId="3" borderId="0" xfId="0" applyFont="1" applyFill="1"/>
    <xf numFmtId="0" fontId="14" fillId="3" borderId="0" xfId="0" applyFont="1" applyFill="1" applyAlignment="1">
      <alignment horizontal="center"/>
    </xf>
    <xf numFmtId="0" fontId="14" fillId="0" borderId="0" xfId="0" applyFont="1" applyAlignment="1">
      <alignment horizontal="center" wrapText="1"/>
    </xf>
    <xf numFmtId="0" fontId="14" fillId="0" borderId="0" xfId="0" applyFont="1" applyAlignment="1">
      <alignment horizontal="left" wrapText="1"/>
    </xf>
    <xf numFmtId="0" fontId="12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0" xfId="0" applyFont="1" applyAlignment="1">
      <alignment horizontal="left"/>
    </xf>
    <xf numFmtId="0" fontId="18" fillId="0" borderId="0" xfId="0" applyFont="1" applyAlignment="1">
      <alignment horizontal="center"/>
    </xf>
    <xf numFmtId="0" fontId="17" fillId="3" borderId="0" xfId="0" applyFont="1" applyFill="1" applyAlignment="1">
      <alignment horizontal="center"/>
    </xf>
    <xf numFmtId="0" fontId="18" fillId="3" borderId="0" xfId="0" applyFont="1" applyFill="1" applyAlignment="1">
      <alignment horizontal="center"/>
    </xf>
    <xf numFmtId="0" fontId="17" fillId="5" borderId="0" xfId="0" applyFont="1" applyFill="1" applyAlignment="1">
      <alignment horizontal="center"/>
    </xf>
    <xf numFmtId="0" fontId="19" fillId="0" borderId="0" xfId="0" applyFont="1" applyAlignment="1">
      <alignment horizontal="center"/>
    </xf>
    <xf numFmtId="0" fontId="18" fillId="5" borderId="0" xfId="0" applyFont="1" applyFill="1" applyAlignment="1">
      <alignment horizontal="center"/>
    </xf>
    <xf numFmtId="0" fontId="17" fillId="12" borderId="0" xfId="0" applyFont="1" applyFill="1" applyAlignment="1">
      <alignment horizontal="center"/>
    </xf>
    <xf numFmtId="0" fontId="18" fillId="7" borderId="0" xfId="0" applyFont="1" applyFill="1" applyAlignment="1">
      <alignment horizontal="center"/>
    </xf>
    <xf numFmtId="0" fontId="17" fillId="8" borderId="0" xfId="0" applyFont="1" applyFill="1" applyAlignment="1">
      <alignment horizontal="center"/>
    </xf>
    <xf numFmtId="0" fontId="18" fillId="8" borderId="0" xfId="0" applyFont="1" applyFill="1" applyAlignment="1">
      <alignment horizontal="center"/>
    </xf>
    <xf numFmtId="0" fontId="17" fillId="7" borderId="0" xfId="0" applyFont="1" applyFill="1" applyAlignment="1">
      <alignment horizontal="center"/>
    </xf>
    <xf numFmtId="0" fontId="17" fillId="6" borderId="0" xfId="0" applyFont="1" applyFill="1" applyAlignment="1">
      <alignment horizontal="center"/>
    </xf>
    <xf numFmtId="9" fontId="17" fillId="0" borderId="0" xfId="0" applyNumberFormat="1" applyFont="1" applyAlignment="1">
      <alignment horizontal="center"/>
    </xf>
    <xf numFmtId="0" fontId="17" fillId="9" borderId="0" xfId="0" applyFont="1" applyFill="1" applyAlignment="1">
      <alignment horizontal="center"/>
    </xf>
    <xf numFmtId="0" fontId="7" fillId="0" borderId="0" xfId="0" applyFont="1" applyAlignment="1">
      <alignment horizontal="center" wrapText="1"/>
    </xf>
    <xf numFmtId="0" fontId="0" fillId="13" borderId="0" xfId="0" applyFill="1" applyAlignment="1">
      <alignment horizontal="center"/>
    </xf>
    <xf numFmtId="0" fontId="20" fillId="3" borderId="0" xfId="0" applyFont="1" applyFill="1" applyAlignment="1">
      <alignment horizontal="center"/>
    </xf>
    <xf numFmtId="0" fontId="8" fillId="0" borderId="0" xfId="0" applyFont="1" applyAlignment="1">
      <alignment horizontal="center" wrapText="1"/>
    </xf>
    <xf numFmtId="0" fontId="7" fillId="3" borderId="0" xfId="0" applyFont="1" applyFill="1" applyAlignment="1">
      <alignment horizontal="center"/>
    </xf>
    <xf numFmtId="0" fontId="0" fillId="0" borderId="11" xfId="0" applyBorder="1" applyAlignment="1">
      <alignment horizontal="center"/>
    </xf>
    <xf numFmtId="0" fontId="25" fillId="0" borderId="0" xfId="0" applyFont="1" applyAlignment="1">
      <alignment horizontal="center"/>
    </xf>
    <xf numFmtId="0" fontId="28" fillId="0" borderId="0" xfId="0" applyFont="1"/>
    <xf numFmtId="0" fontId="30" fillId="0" borderId="0" xfId="0" applyFont="1" applyAlignment="1">
      <alignment horizontal="center"/>
    </xf>
    <xf numFmtId="0" fontId="30" fillId="0" borderId="0" xfId="0" applyFont="1" applyAlignment="1">
      <alignment horizontal="left"/>
    </xf>
    <xf numFmtId="0" fontId="31" fillId="0" borderId="0" xfId="0" applyFont="1" applyAlignment="1">
      <alignment horizontal="center"/>
    </xf>
    <xf numFmtId="0" fontId="30" fillId="3" borderId="0" xfId="0" applyFont="1" applyFill="1" applyAlignment="1">
      <alignment horizontal="center"/>
    </xf>
    <xf numFmtId="0" fontId="32" fillId="0" borderId="0" xfId="0" applyFont="1" applyAlignment="1">
      <alignment horizontal="center"/>
    </xf>
    <xf numFmtId="0" fontId="21" fillId="0" borderId="7" xfId="0" applyFont="1" applyBorder="1" applyAlignment="1">
      <alignment horizontal="center"/>
    </xf>
    <xf numFmtId="0" fontId="22" fillId="0" borderId="8" xfId="0" applyFont="1" applyBorder="1"/>
    <xf numFmtId="0" fontId="22" fillId="0" borderId="9" xfId="0" applyFont="1" applyBorder="1"/>
    <xf numFmtId="0" fontId="22" fillId="0" borderId="9" xfId="0" applyFont="1" applyBorder="1" applyAlignment="1">
      <alignment horizontal="center"/>
    </xf>
    <xf numFmtId="0" fontId="22" fillId="0" borderId="10" xfId="0" applyFont="1" applyBorder="1"/>
    <xf numFmtId="0" fontId="22" fillId="0" borderId="6" xfId="0" applyFont="1" applyBorder="1"/>
    <xf numFmtId="0" fontId="22" fillId="0" borderId="6" xfId="0" applyFont="1" applyBorder="1" applyAlignment="1">
      <alignment horizontal="center"/>
    </xf>
    <xf numFmtId="0" fontId="22" fillId="0" borderId="6" xfId="0" applyFont="1" applyBorder="1" applyAlignment="1">
      <alignment vertical="center"/>
    </xf>
    <xf numFmtId="0" fontId="23" fillId="0" borderId="6" xfId="1" applyFont="1" applyFill="1" applyBorder="1" applyAlignment="1">
      <alignment vertical="center" wrapText="1"/>
    </xf>
    <xf numFmtId="0" fontId="30" fillId="0" borderId="11" xfId="0" applyFont="1" applyBorder="1" applyAlignment="1">
      <alignment horizontal="left"/>
    </xf>
    <xf numFmtId="0" fontId="30" fillId="0" borderId="11" xfId="0" applyFont="1" applyBorder="1"/>
    <xf numFmtId="0" fontId="30" fillId="0" borderId="12" xfId="0" applyFont="1" applyBorder="1" applyAlignment="1">
      <alignment horizontal="left"/>
    </xf>
    <xf numFmtId="0" fontId="30" fillId="0" borderId="13" xfId="0" applyFont="1" applyBorder="1" applyAlignment="1">
      <alignment horizontal="left"/>
    </xf>
    <xf numFmtId="0" fontId="30" fillId="0" borderId="14" xfId="0" applyFont="1" applyBorder="1" applyAlignment="1">
      <alignment horizontal="left"/>
    </xf>
    <xf numFmtId="0" fontId="30" fillId="0" borderId="14" xfId="0" applyFont="1" applyBorder="1" applyAlignment="1">
      <alignment horizontal="left" wrapText="1"/>
    </xf>
    <xf numFmtId="0" fontId="30" fillId="0" borderId="15" xfId="0" applyFont="1" applyBorder="1" applyAlignment="1">
      <alignment horizontal="left"/>
    </xf>
    <xf numFmtId="0" fontId="30" fillId="0" borderId="16" xfId="0" applyFont="1" applyBorder="1" applyAlignment="1">
      <alignment horizontal="left"/>
    </xf>
    <xf numFmtId="0" fontId="30" fillId="0" borderId="18" xfId="0" applyFont="1" applyBorder="1"/>
    <xf numFmtId="0" fontId="30" fillId="0" borderId="19" xfId="0" applyFont="1" applyBorder="1"/>
    <xf numFmtId="0" fontId="30" fillId="3" borderId="19" xfId="0" applyFont="1" applyFill="1" applyBorder="1"/>
    <xf numFmtId="0" fontId="30" fillId="0" borderId="19" xfId="0" applyFont="1" applyBorder="1" applyAlignment="1">
      <alignment horizontal="center"/>
    </xf>
    <xf numFmtId="0" fontId="30" fillId="0" borderId="20" xfId="0" applyFont="1" applyBorder="1"/>
    <xf numFmtId="0" fontId="30" fillId="0" borderId="17" xfId="0" applyFont="1" applyBorder="1" applyAlignment="1">
      <alignment horizontal="left"/>
    </xf>
    <xf numFmtId="0" fontId="30" fillId="0" borderId="21" xfId="0" applyFont="1" applyBorder="1" applyAlignment="1">
      <alignment horizontal="left"/>
    </xf>
    <xf numFmtId="0" fontId="30" fillId="0" borderId="22" xfId="0" applyFont="1" applyBorder="1" applyAlignment="1">
      <alignment horizontal="left"/>
    </xf>
    <xf numFmtId="0" fontId="30" fillId="0" borderId="23" xfId="0" applyFont="1" applyBorder="1" applyAlignment="1">
      <alignment horizontal="center"/>
    </xf>
    <xf numFmtId="0" fontId="30" fillId="0" borderId="24" xfId="0" applyFont="1" applyBorder="1" applyAlignment="1">
      <alignment horizontal="left"/>
    </xf>
    <xf numFmtId="0" fontId="30" fillId="0" borderId="25" xfId="0" applyFont="1" applyBorder="1" applyAlignment="1">
      <alignment horizontal="center"/>
    </xf>
    <xf numFmtId="0" fontId="30" fillId="0" borderId="24" xfId="0" applyFont="1" applyBorder="1" applyAlignment="1">
      <alignment horizontal="left" wrapText="1"/>
    </xf>
    <xf numFmtId="0" fontId="30" fillId="3" borderId="25" xfId="0" applyFont="1" applyFill="1" applyBorder="1" applyAlignment="1">
      <alignment horizontal="center"/>
    </xf>
    <xf numFmtId="0" fontId="30" fillId="0" borderId="26" xfId="0" applyFont="1" applyBorder="1" applyAlignment="1">
      <alignment horizontal="left"/>
    </xf>
    <xf numFmtId="0" fontId="30" fillId="0" borderId="27" xfId="0" applyFont="1" applyBorder="1" applyAlignment="1">
      <alignment horizontal="left"/>
    </xf>
    <xf numFmtId="0" fontId="30" fillId="0" borderId="28" xfId="0" applyFont="1" applyBorder="1" applyAlignment="1">
      <alignment horizontal="center"/>
    </xf>
    <xf numFmtId="0" fontId="30" fillId="10" borderId="25" xfId="0" applyFont="1" applyFill="1" applyBorder="1" applyAlignment="1">
      <alignment horizontal="center"/>
    </xf>
    <xf numFmtId="0" fontId="30" fillId="0" borderId="29" xfId="0" applyFont="1" applyBorder="1" applyAlignment="1">
      <alignment horizontal="center"/>
    </xf>
    <xf numFmtId="0" fontId="30" fillId="0" borderId="30" xfId="0" applyFont="1" applyBorder="1" applyAlignment="1">
      <alignment horizontal="center"/>
    </xf>
    <xf numFmtId="0" fontId="30" fillId="3" borderId="30" xfId="0" applyFont="1" applyFill="1" applyBorder="1" applyAlignment="1">
      <alignment horizontal="center"/>
    </xf>
    <xf numFmtId="0" fontId="30" fillId="0" borderId="31" xfId="0" applyFont="1" applyBorder="1" applyAlignment="1">
      <alignment horizontal="center"/>
    </xf>
    <xf numFmtId="0" fontId="30" fillId="0" borderId="32" xfId="0" applyFont="1" applyBorder="1" applyAlignment="1">
      <alignment horizontal="center"/>
    </xf>
    <xf numFmtId="0" fontId="30" fillId="0" borderId="33" xfId="0" applyFont="1" applyBorder="1" applyAlignment="1">
      <alignment horizontal="center"/>
    </xf>
    <xf numFmtId="0" fontId="30" fillId="3" borderId="33" xfId="0" applyFont="1" applyFill="1" applyBorder="1" applyAlignment="1">
      <alignment horizontal="center"/>
    </xf>
    <xf numFmtId="0" fontId="30" fillId="0" borderId="34" xfId="0" applyFont="1" applyBorder="1" applyAlignment="1">
      <alignment horizontal="center"/>
    </xf>
    <xf numFmtId="0" fontId="30" fillId="0" borderId="35" xfId="0" applyFont="1" applyBorder="1"/>
    <xf numFmtId="0" fontId="30" fillId="0" borderId="36" xfId="0" applyFont="1" applyBorder="1"/>
    <xf numFmtId="0" fontId="30" fillId="0" borderId="36" xfId="0" applyFont="1" applyBorder="1" applyAlignment="1">
      <alignment horizontal="left"/>
    </xf>
    <xf numFmtId="0" fontId="30" fillId="0" borderId="37" xfId="0" applyFont="1" applyBorder="1"/>
    <xf numFmtId="0" fontId="13" fillId="15" borderId="0" xfId="4" applyAlignment="1">
      <alignment horizontal="center"/>
    </xf>
    <xf numFmtId="0" fontId="2" fillId="11" borderId="39" xfId="0" applyFont="1" applyFill="1" applyBorder="1" applyAlignment="1">
      <alignment horizontal="center"/>
    </xf>
    <xf numFmtId="0" fontId="0" fillId="23" borderId="39" xfId="0" applyFill="1" applyBorder="1" applyAlignment="1">
      <alignment horizontal="center"/>
    </xf>
    <xf numFmtId="0" fontId="23" fillId="0" borderId="6" xfId="0" applyFont="1" applyBorder="1" applyAlignment="1">
      <alignment vertical="center" wrapText="1"/>
    </xf>
    <xf numFmtId="0" fontId="21" fillId="0" borderId="0" xfId="0" applyFont="1" applyAlignment="1">
      <alignment horizontal="center"/>
    </xf>
    <xf numFmtId="0" fontId="23" fillId="0" borderId="9" xfId="0" applyFont="1" applyBorder="1" applyAlignment="1">
      <alignment vertical="center" wrapText="1"/>
    </xf>
    <xf numFmtId="0" fontId="23" fillId="0" borderId="6" xfId="2" applyFont="1" applyBorder="1" applyAlignment="1">
      <alignment vertical="center" wrapText="1"/>
    </xf>
    <xf numFmtId="0" fontId="24" fillId="0" borderId="6" xfId="2" applyFont="1" applyBorder="1"/>
    <xf numFmtId="0" fontId="23" fillId="0" borderId="6" xfId="0" applyFont="1" applyBorder="1" applyAlignment="1">
      <alignment horizontal="left" vertical="center"/>
    </xf>
    <xf numFmtId="0" fontId="23" fillId="0" borderId="6" xfId="0" applyFont="1" applyBorder="1" applyAlignment="1">
      <alignment horizontal="left" vertical="center" wrapText="1"/>
    </xf>
    <xf numFmtId="0" fontId="23" fillId="0" borderId="6" xfId="0" applyFont="1" applyBorder="1" applyAlignment="1">
      <alignment vertical="center"/>
    </xf>
    <xf numFmtId="0" fontId="22" fillId="0" borderId="6" xfId="0" applyFont="1" applyBorder="1" applyAlignment="1">
      <alignment vertical="center" wrapText="1"/>
    </xf>
    <xf numFmtId="0" fontId="24" fillId="0" borderId="6" xfId="2" applyFont="1" applyBorder="1" applyAlignment="1">
      <alignment vertical="center"/>
    </xf>
    <xf numFmtId="0" fontId="0" fillId="25" borderId="40" xfId="0" applyFill="1" applyBorder="1"/>
    <xf numFmtId="0" fontId="37" fillId="0" borderId="0" xfId="0" applyFont="1"/>
    <xf numFmtId="0" fontId="38" fillId="0" borderId="0" xfId="0" applyFont="1"/>
    <xf numFmtId="0" fontId="0" fillId="26" borderId="0" xfId="0" applyFill="1"/>
    <xf numFmtId="0" fontId="13" fillId="27" borderId="0" xfId="12" applyFont="1" applyFill="1" applyAlignment="1">
      <alignment horizontal="center"/>
    </xf>
    <xf numFmtId="0" fontId="39" fillId="0" borderId="0" xfId="0" applyFont="1"/>
    <xf numFmtId="0" fontId="40" fillId="0" borderId="0" xfId="0" applyFont="1"/>
    <xf numFmtId="0" fontId="41" fillId="0" borderId="0" xfId="0" applyFont="1" applyAlignment="1">
      <alignment wrapText="1"/>
    </xf>
    <xf numFmtId="0" fontId="29" fillId="28" borderId="0" xfId="0" applyFont="1" applyFill="1" applyAlignment="1">
      <alignment horizontal="center"/>
    </xf>
    <xf numFmtId="0" fontId="42" fillId="0" borderId="0" xfId="0" applyFont="1"/>
    <xf numFmtId="0" fontId="0" fillId="28" borderId="0" xfId="0" applyFill="1" applyAlignment="1">
      <alignment horizontal="center"/>
    </xf>
    <xf numFmtId="0" fontId="43" fillId="0" borderId="0" xfId="0" applyFont="1"/>
    <xf numFmtId="0" fontId="44" fillId="0" borderId="0" xfId="0" applyFont="1" applyAlignment="1">
      <alignment wrapText="1"/>
    </xf>
    <xf numFmtId="0" fontId="0" fillId="25" borderId="0" xfId="0" applyFill="1"/>
    <xf numFmtId="0" fontId="45" fillId="29" borderId="0" xfId="0" applyFont="1" applyFill="1" applyAlignment="1">
      <alignment horizontal="center"/>
    </xf>
    <xf numFmtId="0" fontId="34" fillId="21" borderId="38" xfId="6" applyFill="1" applyAlignment="1">
      <alignment horizontal="left"/>
    </xf>
    <xf numFmtId="0" fontId="34" fillId="21" borderId="38" xfId="6" applyFill="1" applyAlignment="1">
      <alignment horizontal="center"/>
    </xf>
    <xf numFmtId="0" fontId="0" fillId="31" borderId="41" xfId="0" applyFill="1" applyBorder="1"/>
    <xf numFmtId="0" fontId="34" fillId="24" borderId="38" xfId="6" applyFill="1" applyAlignment="1">
      <alignment horizontal="center"/>
    </xf>
    <xf numFmtId="0" fontId="47" fillId="0" borderId="0" xfId="0" applyFont="1"/>
    <xf numFmtId="0" fontId="26" fillId="30" borderId="0" xfId="13" applyAlignment="1">
      <alignment horizontal="center"/>
    </xf>
    <xf numFmtId="0" fontId="13" fillId="15" borderId="0" xfId="4"/>
    <xf numFmtId="0" fontId="0" fillId="32" borderId="0" xfId="0" applyFill="1"/>
    <xf numFmtId="0" fontId="0" fillId="23" borderId="1" xfId="0" applyFill="1" applyBorder="1"/>
    <xf numFmtId="0" fontId="49" fillId="28" borderId="0" xfId="0" applyFont="1" applyFill="1" applyAlignment="1">
      <alignment horizontal="center"/>
    </xf>
    <xf numFmtId="0" fontId="51" fillId="0" borderId="0" xfId="0" applyFont="1"/>
    <xf numFmtId="0" fontId="51" fillId="0" borderId="0" xfId="0" applyFont="1" applyAlignment="1">
      <alignment horizontal="center"/>
    </xf>
    <xf numFmtId="0" fontId="30" fillId="0" borderId="0" xfId="0" applyFont="1"/>
    <xf numFmtId="0" fontId="51" fillId="0" borderId="42" xfId="0" applyFont="1" applyBorder="1"/>
    <xf numFmtId="0" fontId="52" fillId="0" borderId="42" xfId="0" applyFont="1" applyBorder="1"/>
    <xf numFmtId="0" fontId="52" fillId="0" borderId="0" xfId="0" applyFont="1"/>
    <xf numFmtId="0" fontId="30" fillId="0" borderId="0" xfId="0" applyFont="1" applyAlignment="1">
      <alignment horizontal="right"/>
    </xf>
    <xf numFmtId="0" fontId="53" fillId="0" borderId="0" xfId="0" applyFont="1"/>
    <xf numFmtId="0" fontId="53" fillId="0" borderId="0" xfId="0" applyFont="1" applyAlignment="1">
      <alignment horizontal="center"/>
    </xf>
    <xf numFmtId="0" fontId="33" fillId="16" borderId="0" xfId="5" applyFont="1" applyAlignment="1">
      <alignment horizontal="center" vertical="center"/>
    </xf>
    <xf numFmtId="0" fontId="27" fillId="12" borderId="0" xfId="0" applyFont="1" applyFill="1" applyAlignment="1">
      <alignment horizontal="center" vertical="top" wrapText="1"/>
    </xf>
    <xf numFmtId="0" fontId="27" fillId="12" borderId="0" xfId="0" applyFont="1" applyFill="1" applyAlignment="1">
      <alignment horizontal="center" vertical="top"/>
    </xf>
    <xf numFmtId="0" fontId="43" fillId="0" borderId="0" xfId="0" applyFont="1" applyAlignment="1">
      <alignment horizontal="right"/>
    </xf>
    <xf numFmtId="0" fontId="0" fillId="32" borderId="0" xfId="0" applyFill="1" applyAlignment="1">
      <alignment horizontal="center"/>
    </xf>
    <xf numFmtId="0" fontId="50" fillId="19" borderId="0" xfId="9" applyFont="1" applyAlignment="1">
      <alignment horizontal="center" vertical="center"/>
    </xf>
    <xf numFmtId="0" fontId="51" fillId="0" borderId="0" xfId="0" applyFont="1" applyAlignment="1">
      <alignment horizontal="center"/>
    </xf>
    <xf numFmtId="0" fontId="48" fillId="19" borderId="0" xfId="9" applyFont="1" applyAlignment="1">
      <alignment horizontal="center" vertical="center"/>
    </xf>
    <xf numFmtId="0" fontId="33" fillId="15" borderId="0" xfId="4" applyFont="1" applyAlignment="1">
      <alignment horizontal="center"/>
    </xf>
    <xf numFmtId="0" fontId="13" fillId="15" borderId="0" xfId="4" applyAlignment="1">
      <alignment horizontal="center"/>
    </xf>
    <xf numFmtId="0" fontId="43" fillId="25" borderId="0" xfId="8" applyFont="1" applyFill="1" applyAlignment="1">
      <alignment horizontal="center"/>
    </xf>
    <xf numFmtId="0" fontId="35" fillId="17" borderId="0" xfId="7" applyFont="1" applyAlignment="1">
      <alignment horizontal="center"/>
    </xf>
    <xf numFmtId="0" fontId="39" fillId="25" borderId="0" xfId="0" applyFont="1" applyFill="1"/>
    <xf numFmtId="0" fontId="36" fillId="19" borderId="0" xfId="9" applyFont="1" applyAlignment="1">
      <alignment horizontal="center" vertical="center"/>
    </xf>
    <xf numFmtId="0" fontId="27" fillId="14" borderId="0" xfId="3" applyFont="1" applyAlignment="1">
      <alignment horizontal="center"/>
    </xf>
    <xf numFmtId="0" fontId="46" fillId="20" borderId="0" xfId="10" applyFont="1" applyAlignment="1">
      <alignment horizontal="center"/>
    </xf>
    <xf numFmtId="0" fontId="26" fillId="21" borderId="0" xfId="11"/>
  </cellXfs>
  <cellStyles count="14">
    <cellStyle name="20% - Énfasis2" xfId="8" builtinId="34"/>
    <cellStyle name="40% - Énfasis2" xfId="13" builtinId="35"/>
    <cellStyle name="60% - Énfasis1" xfId="3" builtinId="32"/>
    <cellStyle name="60% - Énfasis2" xfId="9" builtinId="36"/>
    <cellStyle name="60% - Énfasis3" xfId="11" builtinId="40"/>
    <cellStyle name="60% - Énfasis4" xfId="12" builtinId="44"/>
    <cellStyle name="60% - Énfasis6" xfId="5" builtinId="52"/>
    <cellStyle name="Celda vinculada" xfId="6" builtinId="24"/>
    <cellStyle name="Énfasis1" xfId="7" builtinId="29"/>
    <cellStyle name="Énfasis2" xfId="4" builtinId="33"/>
    <cellStyle name="Énfasis3" xfId="10" builtinId="37"/>
    <cellStyle name="Incorrecto" xfId="1" builtinId="27"/>
    <cellStyle name="Normal" xfId="0" builtinId="0"/>
    <cellStyle name="Normal 2" xfId="2" xr:uid="{50A8FEAD-8D85-4064-B461-1C193B7644F0}"/>
  </cellStyles>
  <dxfs count="106"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8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theme="3" tint="9.9978637043366805E-2"/>
        </left>
        <right style="medium">
          <color theme="3" tint="9.9978637043366805E-2"/>
        </right>
        <top style="thin">
          <color theme="3" tint="9.9978637043366805E-2"/>
        </top>
        <bottom style="thin">
          <color theme="3" tint="9.9978637043366805E-2"/>
        </bottom>
        <vertical style="thin">
          <color theme="3" tint="9.9978637043366805E-2"/>
        </vertical>
        <horizontal style="thin">
          <color theme="3" tint="9.9978637043366805E-2"/>
        </horizontal>
      </border>
    </dxf>
    <dxf>
      <font>
        <strike val="0"/>
        <outline val="0"/>
        <shadow val="0"/>
        <u val="none"/>
        <vertAlign val="baseline"/>
        <sz val="8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medium">
          <color theme="3" tint="9.9978637043366805E-2"/>
        </left>
        <right style="thin">
          <color theme="3" tint="9.9978637043366805E-2"/>
        </right>
        <top style="thin">
          <color theme="3" tint="9.9978637043366805E-2"/>
        </top>
        <bottom style="thin">
          <color theme="3" tint="9.9978637043366805E-2"/>
        </bottom>
        <vertical style="thin">
          <color theme="3" tint="9.9978637043366805E-2"/>
        </vertical>
        <horizontal style="thin">
          <color theme="3" tint="9.9978637043366805E-2"/>
        </horizontal>
      </border>
    </dxf>
    <dxf>
      <font>
        <strike val="0"/>
        <outline val="0"/>
        <shadow val="0"/>
        <u val="none"/>
        <vertAlign val="baseline"/>
        <sz val="8"/>
        <name val="Arial"/>
        <family val="2"/>
        <scheme val="none"/>
      </font>
      <numFmt numFmtId="0" formatCode="General"/>
      <border diagonalUp="0" diagonalDown="0">
        <left style="medium">
          <color theme="3" tint="9.9978637043366805E-2"/>
        </left>
        <right style="medium">
          <color theme="3" tint="9.9978637043366805E-2"/>
        </right>
        <top style="thin">
          <color theme="3" tint="9.9978637043366805E-2"/>
        </top>
        <bottom style="thin">
          <color theme="3" tint="9.9978637043366805E-2"/>
        </bottom>
        <vertical/>
        <horizontal style="thin">
          <color theme="3" tint="9.9978637043366805E-2"/>
        </horizontal>
      </border>
    </dxf>
    <dxf>
      <font>
        <strike val="0"/>
        <outline val="0"/>
        <shadow val="0"/>
        <u val="none"/>
        <vertAlign val="baseline"/>
        <sz val="8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theme="3" tint="9.9978637043366805E-2"/>
        </left>
        <right style="medium">
          <color theme="3" tint="9.9978637043366805E-2"/>
        </right>
        <top style="thin">
          <color theme="3" tint="9.9978637043366805E-2"/>
        </top>
        <bottom style="thin">
          <color theme="3" tint="9.9978637043366805E-2"/>
        </bottom>
        <vertical style="thin">
          <color theme="3" tint="9.9978637043366805E-2"/>
        </vertical>
        <horizontal style="thin">
          <color theme="3" tint="9.9978637043366805E-2"/>
        </horizontal>
      </border>
    </dxf>
    <dxf>
      <font>
        <strike val="0"/>
        <outline val="0"/>
        <shadow val="0"/>
        <u val="none"/>
        <vertAlign val="baseline"/>
        <sz val="8"/>
        <name val="Arial"/>
        <family val="2"/>
        <scheme val="none"/>
      </font>
      <alignment horizontal="left" vertical="bottom" textRotation="0" wrapText="0" indent="0" justifyLastLine="0" shrinkToFit="0" readingOrder="0"/>
      <border diagonalUp="0" diagonalDown="0">
        <left style="thin">
          <color theme="3" tint="9.9978637043366805E-2"/>
        </left>
        <right style="thin">
          <color theme="3" tint="9.9978637043366805E-2"/>
        </right>
        <top style="thin">
          <color theme="3" tint="9.9978637043366805E-2"/>
        </top>
        <bottom style="thin">
          <color theme="3" tint="9.9978637043366805E-2"/>
        </bottom>
        <vertical style="thin">
          <color theme="3" tint="9.9978637043366805E-2"/>
        </vertical>
        <horizontal style="thin">
          <color theme="3" tint="9.9978637043366805E-2"/>
        </horizontal>
      </border>
    </dxf>
    <dxf>
      <font>
        <strike val="0"/>
        <outline val="0"/>
        <shadow val="0"/>
        <u val="none"/>
        <vertAlign val="baseline"/>
        <sz val="8"/>
        <name val="Arial"/>
        <family val="2"/>
        <scheme val="none"/>
      </font>
      <alignment horizontal="left" vertical="bottom" textRotation="0" wrapText="0" indent="0" justifyLastLine="0" shrinkToFit="0" readingOrder="0"/>
      <border diagonalUp="0" diagonalDown="0">
        <left style="medium">
          <color theme="3" tint="9.9978637043366805E-2"/>
        </left>
        <right style="thin">
          <color theme="3" tint="9.9978637043366805E-2"/>
        </right>
        <top style="thin">
          <color theme="3" tint="9.9978637043366805E-2"/>
        </top>
        <bottom style="thin">
          <color theme="3" tint="9.9978637043366805E-2"/>
        </bottom>
        <vertical style="thin">
          <color theme="3" tint="9.9978637043366805E-2"/>
        </vertical>
        <horizontal style="thin">
          <color theme="3" tint="9.9978637043366805E-2"/>
        </horizontal>
      </border>
    </dxf>
    <dxf>
      <font>
        <strike val="0"/>
        <outline val="0"/>
        <shadow val="0"/>
        <u val="none"/>
        <vertAlign val="baseline"/>
        <sz val="8"/>
        <name val="Arial"/>
        <family val="2"/>
        <scheme val="none"/>
      </font>
      <border diagonalUp="0" diagonalDown="0">
        <left style="thin">
          <color indexed="64"/>
        </left>
        <right style="medium">
          <color theme="3" tint="9.9978637043366805E-2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8"/>
        <name val="Arial"/>
        <family val="2"/>
        <scheme val="none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8"/>
        <name val="Arial"/>
        <family val="2"/>
        <scheme val="none"/>
      </font>
      <alignment horizontal="left" vertical="bottom" textRotation="0" wrapText="0" indent="0" justifyLastLine="0" shrinkToFit="0" readingOrder="0"/>
      <border diagonalUp="0" diagonalDown="0">
        <left style="medium">
          <color theme="3" tint="9.9978637043366805E-2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8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8"/>
        <name val="Arial"/>
        <family val="2"/>
        <scheme val="none"/>
      </font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textRotation="0" wrapText="0" indent="0" justifyLastLine="0" shrinkToFit="0" readingOrder="0"/>
    </dxf>
    <dxf>
      <numFmt numFmtId="0" formatCode="General"/>
      <alignment horizontal="center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textRotation="0" wrapText="0" indent="0" justifyLastLine="0" shrinkToFit="0" readingOrder="0"/>
    </dxf>
    <dxf>
      <numFmt numFmtId="0" formatCode="General"/>
      <alignment horizontal="center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0"/>
        </top>
        <bottom/>
      </border>
    </dxf>
    <dxf>
      <border outline="0">
        <left style="thin">
          <color theme="0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251460</xdr:colOff>
      <xdr:row>6</xdr:row>
      <xdr:rowOff>30480</xdr:rowOff>
    </xdr:from>
    <xdr:to>
      <xdr:col>3</xdr:col>
      <xdr:colOff>769620</xdr:colOff>
      <xdr:row>11</xdr:row>
      <xdr:rowOff>38100</xdr:rowOff>
    </xdr:to>
    <xdr:sp macro="[0]!PADRE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191018E5-A906-D2BB-04DD-0608EF0F9909}"/>
            </a:ext>
          </a:extLst>
        </xdr:cNvPr>
        <xdr:cNvSpPr/>
      </xdr:nvSpPr>
      <xdr:spPr>
        <a:xfrm>
          <a:off x="251460" y="1371600"/>
          <a:ext cx="2895600" cy="922020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ES" sz="22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  <a:latin typeface="Abadi" panose="020F0502020204030204" pitchFamily="34" charset="0"/>
              <a:cs typeface="Aharoni" panose="020F0502020204030204" pitchFamily="2" charset="-79"/>
            </a:rPr>
            <a:t>REGISTRO DE PADRES</a:t>
          </a:r>
        </a:p>
      </xdr:txBody>
    </xdr:sp>
    <xdr:clientData/>
  </xdr:twoCellAnchor>
  <xdr:twoCellAnchor>
    <xdr:from>
      <xdr:col>7</xdr:col>
      <xdr:colOff>106680</xdr:colOff>
      <xdr:row>6</xdr:row>
      <xdr:rowOff>30480</xdr:rowOff>
    </xdr:from>
    <xdr:to>
      <xdr:col>10</xdr:col>
      <xdr:colOff>609600</xdr:colOff>
      <xdr:row>11</xdr:row>
      <xdr:rowOff>38100</xdr:rowOff>
    </xdr:to>
    <xdr:sp macro="[0]!ALUMNO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5AE1E647-7229-49BD-BD04-4F580DCB3C36}"/>
            </a:ext>
          </a:extLst>
        </xdr:cNvPr>
        <xdr:cNvSpPr/>
      </xdr:nvSpPr>
      <xdr:spPr>
        <a:xfrm>
          <a:off x="5654040" y="1371600"/>
          <a:ext cx="2880360" cy="922020"/>
        </a:xfrm>
        <a:prstGeom prst="roundRect">
          <a:avLst/>
        </a:prstGeom>
        <a:ln>
          <a:solidFill>
            <a:schemeClr val="tx2">
              <a:lumMod val="75000"/>
              <a:lumOff val="25000"/>
            </a:schemeClr>
          </a:solidFill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22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Abadi" panose="020B0604020104020204" pitchFamily="34" charset="0"/>
            </a:rPr>
            <a:t>REGISTRO DE ALUMNO</a:t>
          </a:r>
        </a:p>
      </xdr:txBody>
    </xdr:sp>
    <xdr:clientData/>
  </xdr:twoCellAnchor>
  <xdr:twoCellAnchor>
    <xdr:from>
      <xdr:col>7</xdr:col>
      <xdr:colOff>152400</xdr:colOff>
      <xdr:row>17</xdr:row>
      <xdr:rowOff>0</xdr:rowOff>
    </xdr:from>
    <xdr:to>
      <xdr:col>10</xdr:col>
      <xdr:colOff>655320</xdr:colOff>
      <xdr:row>22</xdr:row>
      <xdr:rowOff>7620</xdr:rowOff>
    </xdr:to>
    <xdr:sp macro="[0]!OBLIGACIONES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34335FB1-F3E3-4E1C-B491-635051FE2AE3}"/>
            </a:ext>
          </a:extLst>
        </xdr:cNvPr>
        <xdr:cNvSpPr/>
      </xdr:nvSpPr>
      <xdr:spPr>
        <a:xfrm>
          <a:off x="5699760" y="3352800"/>
          <a:ext cx="2880360" cy="922020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es-ES" sz="2200" b="1" cap="none" spc="0">
              <a:ln/>
              <a:solidFill>
                <a:schemeClr val="accent3"/>
              </a:solidFill>
              <a:effectLst/>
              <a:latin typeface="Abadi" panose="020B0604020104020204" pitchFamily="34" charset="0"/>
            </a:rPr>
            <a:t>OBLIGACIONES</a:t>
          </a:r>
          <a:r>
            <a:rPr lang="es-ES" sz="1100" b="1" cap="none" spc="0" baseline="0">
              <a:ln/>
              <a:solidFill>
                <a:schemeClr val="accent3"/>
              </a:solidFill>
              <a:effectLst/>
              <a:latin typeface="Abadi" panose="020B0604020104020204" pitchFamily="34" charset="0"/>
            </a:rPr>
            <a:t> </a:t>
          </a:r>
          <a:endParaRPr lang="es-ES" sz="1100" b="1" cap="none" spc="0">
            <a:ln/>
            <a:solidFill>
              <a:schemeClr val="accent3"/>
            </a:solidFill>
            <a:effectLst/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243840</xdr:colOff>
      <xdr:row>17</xdr:row>
      <xdr:rowOff>76200</xdr:rowOff>
    </xdr:from>
    <xdr:to>
      <xdr:col>3</xdr:col>
      <xdr:colOff>746760</xdr:colOff>
      <xdr:row>22</xdr:row>
      <xdr:rowOff>83820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90CEECE4-92A3-42B7-B45D-177BE9AE4FC3}"/>
            </a:ext>
          </a:extLst>
        </xdr:cNvPr>
        <xdr:cNvSpPr/>
      </xdr:nvSpPr>
      <xdr:spPr>
        <a:xfrm>
          <a:off x="243840" y="3429000"/>
          <a:ext cx="2880360" cy="922020"/>
        </a:xfrm>
        <a:prstGeom prst="roundRect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22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ASAMBLEAS</a:t>
          </a:r>
        </a:p>
      </xdr:txBody>
    </xdr:sp>
    <xdr:clientData/>
  </xdr:twoCellAnchor>
  <xdr:twoCellAnchor>
    <xdr:from>
      <xdr:col>3</xdr:col>
      <xdr:colOff>114300</xdr:colOff>
      <xdr:row>23</xdr:row>
      <xdr:rowOff>22860</xdr:rowOff>
    </xdr:from>
    <xdr:to>
      <xdr:col>8</xdr:col>
      <xdr:colOff>15240</xdr:colOff>
      <xdr:row>25</xdr:row>
      <xdr:rowOff>38100</xdr:rowOff>
    </xdr:to>
    <xdr:sp macro="[0]!MBusquedaPadres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B13084D3-347F-58DF-40B0-5C2FA5BD299A}"/>
            </a:ext>
          </a:extLst>
        </xdr:cNvPr>
        <xdr:cNvSpPr/>
      </xdr:nvSpPr>
      <xdr:spPr>
        <a:xfrm>
          <a:off x="2491740" y="4472940"/>
          <a:ext cx="3863340" cy="38100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2000"/>
            <a:t>BUSQUEDA DE REGISTROS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426720</xdr:colOff>
      <xdr:row>8</xdr:row>
      <xdr:rowOff>45720</xdr:rowOff>
    </xdr:from>
    <xdr:to>
      <xdr:col>2</xdr:col>
      <xdr:colOff>670560</xdr:colOff>
      <xdr:row>10</xdr:row>
      <xdr:rowOff>167640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8710C5E-7AB7-E881-F11E-1D107041D776}"/>
            </a:ext>
          </a:extLst>
        </xdr:cNvPr>
        <xdr:cNvSpPr/>
      </xdr:nvSpPr>
      <xdr:spPr>
        <a:xfrm>
          <a:off x="426720" y="1508760"/>
          <a:ext cx="1828800" cy="48768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800">
              <a:solidFill>
                <a:schemeClr val="bg1"/>
              </a:solidFill>
              <a:latin typeface="Amasis MT Pro Black" panose="02040A04050005020304" pitchFamily="18" charset="0"/>
            </a:rPr>
            <a:t>APORTES</a:t>
          </a:r>
        </a:p>
      </xdr:txBody>
    </xdr:sp>
    <xdr:clientData/>
  </xdr:twoCellAnchor>
  <xdr:twoCellAnchor>
    <xdr:from>
      <xdr:col>3</xdr:col>
      <xdr:colOff>45720</xdr:colOff>
      <xdr:row>8</xdr:row>
      <xdr:rowOff>45720</xdr:rowOff>
    </xdr:from>
    <xdr:to>
      <xdr:col>5</xdr:col>
      <xdr:colOff>289560</xdr:colOff>
      <xdr:row>10</xdr:row>
      <xdr:rowOff>167640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D1DAD843-AECE-4089-8FA2-4CAD4ADEE920}"/>
            </a:ext>
          </a:extLst>
        </xdr:cNvPr>
        <xdr:cNvSpPr/>
      </xdr:nvSpPr>
      <xdr:spPr>
        <a:xfrm>
          <a:off x="2423160" y="1508760"/>
          <a:ext cx="1828800" cy="48768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ES" sz="1800">
              <a:solidFill>
                <a:schemeClr val="bg1"/>
              </a:solidFill>
              <a:latin typeface="Amasis MT Pro Black" panose="02040A04050005020304" pitchFamily="18" charset="0"/>
            </a:rPr>
            <a:t>ASAMBLEAS</a:t>
          </a:r>
        </a:p>
      </xdr:txBody>
    </xdr:sp>
    <xdr:clientData/>
  </xdr:twoCellAnchor>
  <xdr:twoCellAnchor>
    <xdr:from>
      <xdr:col>5</xdr:col>
      <xdr:colOff>617220</xdr:colOff>
      <xdr:row>8</xdr:row>
      <xdr:rowOff>53340</xdr:rowOff>
    </xdr:from>
    <xdr:to>
      <xdr:col>8</xdr:col>
      <xdr:colOff>22860</xdr:colOff>
      <xdr:row>10</xdr:row>
      <xdr:rowOff>175260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D9C32905-5C7F-4B2B-9B4A-FDDFA118BC67}"/>
            </a:ext>
          </a:extLst>
        </xdr:cNvPr>
        <xdr:cNvSpPr/>
      </xdr:nvSpPr>
      <xdr:spPr>
        <a:xfrm>
          <a:off x="4579620" y="1516380"/>
          <a:ext cx="1828800" cy="48768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800">
              <a:solidFill>
                <a:schemeClr val="bg1"/>
              </a:solidFill>
              <a:latin typeface="Amasis MT Pro Black" panose="02040A04050005020304" pitchFamily="18" charset="0"/>
            </a:rPr>
            <a:t>BTH</a:t>
          </a:r>
        </a:p>
      </xdr:txBody>
    </xdr:sp>
    <xdr:clientData/>
  </xdr:twoCellAnchor>
  <xdr:twoCellAnchor>
    <xdr:from>
      <xdr:col>8</xdr:col>
      <xdr:colOff>289560</xdr:colOff>
      <xdr:row>8</xdr:row>
      <xdr:rowOff>38100</xdr:rowOff>
    </xdr:from>
    <xdr:to>
      <xdr:col>10</xdr:col>
      <xdr:colOff>533400</xdr:colOff>
      <xdr:row>10</xdr:row>
      <xdr:rowOff>160020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410B8399-CAB3-4B4A-9EDB-01CE7B09B9CF}"/>
            </a:ext>
          </a:extLst>
        </xdr:cNvPr>
        <xdr:cNvSpPr/>
      </xdr:nvSpPr>
      <xdr:spPr>
        <a:xfrm>
          <a:off x="6675120" y="1501140"/>
          <a:ext cx="1828800" cy="48768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800">
              <a:solidFill>
                <a:schemeClr val="bg1"/>
              </a:solidFill>
              <a:latin typeface="Amasis MT Pro Black" panose="02040A04050005020304" pitchFamily="18" charset="0"/>
            </a:rPr>
            <a:t>MINGAS</a:t>
          </a:r>
        </a:p>
      </xdr:txBody>
    </xdr:sp>
    <xdr:clientData/>
  </xdr:twoCellAnchor>
  <xdr:twoCellAnchor>
    <xdr:from>
      <xdr:col>2</xdr:col>
      <xdr:colOff>502920</xdr:colOff>
      <xdr:row>11</xdr:row>
      <xdr:rowOff>99060</xdr:rowOff>
    </xdr:from>
    <xdr:to>
      <xdr:col>8</xdr:col>
      <xdr:colOff>144780</xdr:colOff>
      <xdr:row>14</xdr:row>
      <xdr:rowOff>38100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019A866D-0FEC-4453-8EEE-0F58DFDC26B4}"/>
            </a:ext>
          </a:extLst>
        </xdr:cNvPr>
        <xdr:cNvSpPr/>
      </xdr:nvSpPr>
      <xdr:spPr>
        <a:xfrm>
          <a:off x="2087880" y="2110740"/>
          <a:ext cx="4442460" cy="48768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800">
              <a:solidFill>
                <a:schemeClr val="bg1"/>
              </a:solidFill>
              <a:latin typeface="Amasis MT Pro Black" panose="02040A04050005020304" pitchFamily="18" charset="0"/>
            </a:rPr>
            <a:t>REPORTE</a:t>
          </a:r>
          <a:r>
            <a:rPr lang="es-ES" sz="1800" baseline="0">
              <a:solidFill>
                <a:schemeClr val="bg1"/>
              </a:solidFill>
              <a:latin typeface="Amasis MT Pro Black" panose="02040A04050005020304" pitchFamily="18" charset="0"/>
            </a:rPr>
            <a:t> TOTAL</a:t>
          </a:r>
          <a:endParaRPr lang="es-ES" sz="1800">
            <a:solidFill>
              <a:schemeClr val="bg1"/>
            </a:solidFill>
            <a:latin typeface="Amasis MT Pro Black" panose="02040A040500050203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7620</xdr:rowOff>
    </xdr:from>
    <xdr:to>
      <xdr:col>2</xdr:col>
      <xdr:colOff>381000</xdr:colOff>
      <xdr:row>4</xdr:row>
      <xdr:rowOff>7620</xdr:rowOff>
    </xdr:to>
    <xdr:sp macro="[0]!ALMENU" textlink="">
      <xdr:nvSpPr>
        <xdr:cNvPr id="2" name="Flecha: hacia la izquierda 1">
          <a:extLst>
            <a:ext uri="{FF2B5EF4-FFF2-40B4-BE49-F238E27FC236}">
              <a16:creationId xmlns:a16="http://schemas.microsoft.com/office/drawing/2014/main" id="{BB9CD3B7-3748-4A95-B621-73E0E593CB63}"/>
            </a:ext>
          </a:extLst>
        </xdr:cNvPr>
        <xdr:cNvSpPr/>
      </xdr:nvSpPr>
      <xdr:spPr>
        <a:xfrm>
          <a:off x="190500" y="190500"/>
          <a:ext cx="1470660" cy="365760"/>
        </a:xfrm>
        <a:prstGeom prst="leftArrow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2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</a:rPr>
            <a:t>VOLVER MENU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91440</xdr:colOff>
      <xdr:row>0</xdr:row>
      <xdr:rowOff>99060</xdr:rowOff>
    </xdr:from>
    <xdr:to>
      <xdr:col>2</xdr:col>
      <xdr:colOff>838200</xdr:colOff>
      <xdr:row>2</xdr:row>
      <xdr:rowOff>160020</xdr:rowOff>
    </xdr:to>
    <xdr:sp macro="[0]!ALMENU" textlink="">
      <xdr:nvSpPr>
        <xdr:cNvPr id="2" name="Flecha: hacia la izquierda 1">
          <a:extLst>
            <a:ext uri="{FF2B5EF4-FFF2-40B4-BE49-F238E27FC236}">
              <a16:creationId xmlns:a16="http://schemas.microsoft.com/office/drawing/2014/main" id="{02097656-C4FB-A995-4A5A-5835C73F46CD}"/>
            </a:ext>
          </a:extLst>
        </xdr:cNvPr>
        <xdr:cNvSpPr/>
      </xdr:nvSpPr>
      <xdr:spPr>
        <a:xfrm>
          <a:off x="883920" y="99060"/>
          <a:ext cx="1402080" cy="426720"/>
        </a:xfrm>
        <a:prstGeom prst="leftArrow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800">
              <a:solidFill>
                <a:schemeClr val="accent2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VOLVER MENU</a:t>
          </a:r>
        </a:p>
      </xdr:txBody>
    </xdr:sp>
    <xdr:clientData/>
  </xdr:twoCellAnchor>
  <xdr:twoCellAnchor>
    <xdr:from>
      <xdr:col>5</xdr:col>
      <xdr:colOff>7620</xdr:colOff>
      <xdr:row>4</xdr:row>
      <xdr:rowOff>0</xdr:rowOff>
    </xdr:from>
    <xdr:to>
      <xdr:col>6</xdr:col>
      <xdr:colOff>723900</xdr:colOff>
      <xdr:row>6</xdr:row>
      <xdr:rowOff>259080</xdr:rowOff>
    </xdr:to>
    <xdr:sp macro="[0]!BAlumno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A2DFA3AD-5C4C-3B07-620F-E69A22EE007F}"/>
            </a:ext>
          </a:extLst>
        </xdr:cNvPr>
        <xdr:cNvSpPr/>
      </xdr:nvSpPr>
      <xdr:spPr>
        <a:xfrm>
          <a:off x="6012180" y="731520"/>
          <a:ext cx="1790700" cy="62484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>
              <a:solidFill>
                <a:schemeClr val="accent2">
                  <a:lumMod val="50000"/>
                </a:schemeClr>
              </a:solidFill>
            </a:rPr>
            <a:t>VER</a:t>
          </a:r>
          <a:r>
            <a:rPr lang="es-ES" sz="1100" baseline="0">
              <a:solidFill>
                <a:schemeClr val="accent2">
                  <a:lumMod val="50000"/>
                </a:schemeClr>
              </a:solidFill>
            </a:rPr>
            <a:t> DATOS</a:t>
          </a:r>
          <a:r>
            <a:rPr lang="es-ES" sz="1100">
              <a:solidFill>
                <a:schemeClr val="accent2">
                  <a:lumMod val="50000"/>
                </a:schemeClr>
              </a:solidFill>
            </a:rPr>
            <a:t> ALUMNOS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91440</xdr:colOff>
      <xdr:row>1</xdr:row>
      <xdr:rowOff>152400</xdr:rowOff>
    </xdr:from>
    <xdr:to>
      <xdr:col>1</xdr:col>
      <xdr:colOff>419100</xdr:colOff>
      <xdr:row>3</xdr:row>
      <xdr:rowOff>91440</xdr:rowOff>
    </xdr:to>
    <xdr:sp macro="[0]!MBusqueda" textlink="">
      <xdr:nvSpPr>
        <xdr:cNvPr id="2" name="Flecha: hacia la izquierda 1">
          <a:extLst>
            <a:ext uri="{FF2B5EF4-FFF2-40B4-BE49-F238E27FC236}">
              <a16:creationId xmlns:a16="http://schemas.microsoft.com/office/drawing/2014/main" id="{AA4561A2-F284-1141-ABF4-C88EE1825ED5}"/>
            </a:ext>
          </a:extLst>
        </xdr:cNvPr>
        <xdr:cNvSpPr/>
      </xdr:nvSpPr>
      <xdr:spPr>
        <a:xfrm>
          <a:off x="91440" y="335280"/>
          <a:ext cx="1600200" cy="441960"/>
        </a:xfrm>
        <a:prstGeom prst="lef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Volver a</a:t>
          </a:r>
          <a:r>
            <a:rPr lang="es-ES" sz="1100" baseline="0"/>
            <a:t> Busqueda</a:t>
          </a:r>
          <a:endParaRPr lang="es-ES" sz="1100"/>
        </a:p>
      </xdr:txBody>
    </xdr:sp>
    <xdr:clientData/>
  </xdr:twoCellAnchor>
  <xdr:twoCellAnchor>
    <xdr:from>
      <xdr:col>3</xdr:col>
      <xdr:colOff>7620</xdr:colOff>
      <xdr:row>6</xdr:row>
      <xdr:rowOff>15240</xdr:rowOff>
    </xdr:from>
    <xdr:to>
      <xdr:col>3</xdr:col>
      <xdr:colOff>1165860</xdr:colOff>
      <xdr:row>6</xdr:row>
      <xdr:rowOff>312420</xdr:rowOff>
    </xdr:to>
    <xdr:sp macro="[0]!BListaCurs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1015FAB7-6CCE-F5D2-AAAF-2B3ED70EE8EF}"/>
            </a:ext>
          </a:extLst>
        </xdr:cNvPr>
        <xdr:cNvSpPr/>
      </xdr:nvSpPr>
      <xdr:spPr>
        <a:xfrm>
          <a:off x="3977640" y="1417320"/>
          <a:ext cx="1158240" cy="2971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 AL CURSO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160020</xdr:colOff>
      <xdr:row>1</xdr:row>
      <xdr:rowOff>121920</xdr:rowOff>
    </xdr:from>
    <xdr:to>
      <xdr:col>1</xdr:col>
      <xdr:colOff>967740</xdr:colOff>
      <xdr:row>3</xdr:row>
      <xdr:rowOff>121920</xdr:rowOff>
    </xdr:to>
    <xdr:sp macro="[0]!ALMENU" textlink="">
      <xdr:nvSpPr>
        <xdr:cNvPr id="2" name="Flecha: hacia la izquierda 1">
          <a:extLst>
            <a:ext uri="{FF2B5EF4-FFF2-40B4-BE49-F238E27FC236}">
              <a16:creationId xmlns:a16="http://schemas.microsoft.com/office/drawing/2014/main" id="{E84B8D31-D7C3-4FAB-B56C-B6480AFFDC4B}"/>
            </a:ext>
          </a:extLst>
        </xdr:cNvPr>
        <xdr:cNvSpPr/>
      </xdr:nvSpPr>
      <xdr:spPr>
        <a:xfrm>
          <a:off x="160020" y="304800"/>
          <a:ext cx="1470660" cy="365760"/>
        </a:xfrm>
        <a:prstGeom prst="leftArrow">
          <a:avLst/>
        </a:prstGeom>
        <a:ln/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 cap="none" spc="50">
              <a:ln w="9525" cmpd="sng">
                <a:solidFill>
                  <a:schemeClr val="accent1"/>
                </a:solidFill>
                <a:prstDash val="solid"/>
              </a:ln>
              <a:solidFill>
                <a:srgbClr val="70AD47">
                  <a:tint val="1000"/>
                </a:srgbClr>
              </a:solidFill>
              <a:effectLst>
                <a:glow rad="38100">
                  <a:schemeClr val="accent1">
                    <a:alpha val="40000"/>
                  </a:schemeClr>
                </a:glow>
              </a:effectLst>
            </a:rPr>
            <a:t>VOLVER MENU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0</xdr:row>
      <xdr:rowOff>0</xdr:rowOff>
    </xdr:from>
    <xdr:to>
      <xdr:col>1</xdr:col>
      <xdr:colOff>480060</xdr:colOff>
      <xdr:row>1</xdr:row>
      <xdr:rowOff>167640</xdr:rowOff>
    </xdr:to>
    <xdr:sp macro="[0]!BAlumnos" textlink="">
      <xdr:nvSpPr>
        <xdr:cNvPr id="2" name="Flecha: hacia la izquierda 1">
          <a:extLst>
            <a:ext uri="{FF2B5EF4-FFF2-40B4-BE49-F238E27FC236}">
              <a16:creationId xmlns:a16="http://schemas.microsoft.com/office/drawing/2014/main" id="{0C83BDFD-77E3-BC25-65B5-94513AC87388}"/>
            </a:ext>
          </a:extLst>
        </xdr:cNvPr>
        <xdr:cNvSpPr/>
      </xdr:nvSpPr>
      <xdr:spPr>
        <a:xfrm>
          <a:off x="114300" y="0"/>
          <a:ext cx="1615440" cy="350520"/>
        </a:xfrm>
        <a:prstGeom prst="lef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900">
              <a:latin typeface="Arial" panose="020B0604020202020204" pitchFamily="34" charset="0"/>
              <a:cs typeface="Arial" panose="020B0604020202020204" pitchFamily="34" charset="0"/>
            </a:rPr>
            <a:t>VOLVER</a:t>
          </a:r>
          <a:r>
            <a:rPr lang="es-ES" sz="900" baseline="0">
              <a:latin typeface="Arial" panose="020B0604020202020204" pitchFamily="34" charset="0"/>
              <a:cs typeface="Arial" panose="020B0604020202020204" pitchFamily="34" charset="0"/>
            </a:rPr>
            <a:t> A BUSQUEDA</a:t>
          </a:r>
          <a:endParaRPr lang="es-ES" sz="9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472440</xdr:colOff>
      <xdr:row>0</xdr:row>
      <xdr:rowOff>91440</xdr:rowOff>
    </xdr:from>
    <xdr:to>
      <xdr:col>2</xdr:col>
      <xdr:colOff>0</xdr:colOff>
      <xdr:row>2</xdr:row>
      <xdr:rowOff>91440</xdr:rowOff>
    </xdr:to>
    <xdr:sp macro="[0]!ALMENU" textlink="">
      <xdr:nvSpPr>
        <xdr:cNvPr id="2" name="Flecha: hacia la izquierda 1">
          <a:extLst>
            <a:ext uri="{FF2B5EF4-FFF2-40B4-BE49-F238E27FC236}">
              <a16:creationId xmlns:a16="http://schemas.microsoft.com/office/drawing/2014/main" id="{FB948434-60D6-DD42-E6BD-66779754C7C2}"/>
            </a:ext>
          </a:extLst>
        </xdr:cNvPr>
        <xdr:cNvSpPr/>
      </xdr:nvSpPr>
      <xdr:spPr>
        <a:xfrm>
          <a:off x="472440" y="91440"/>
          <a:ext cx="1455420" cy="365760"/>
        </a:xfrm>
        <a:prstGeom prst="leftArrow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es-ES" sz="1200" b="1" cap="none" spc="0">
              <a:ln/>
              <a:solidFill>
                <a:schemeClr val="accent3"/>
              </a:solidFill>
              <a:effectLst/>
            </a:rPr>
            <a:t>VOLVER MENU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464820</xdr:colOff>
      <xdr:row>2</xdr:row>
      <xdr:rowOff>137160</xdr:rowOff>
    </xdr:from>
    <xdr:to>
      <xdr:col>4</xdr:col>
      <xdr:colOff>457200</xdr:colOff>
      <xdr:row>4</xdr:row>
      <xdr:rowOff>77400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14235D31-730B-497B-B970-A3AF56FCF7A1}"/>
            </a:ext>
          </a:extLst>
        </xdr:cNvPr>
        <xdr:cNvSpPr/>
      </xdr:nvSpPr>
      <xdr:spPr>
        <a:xfrm>
          <a:off x="1257300" y="502920"/>
          <a:ext cx="3451860" cy="306000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731520</xdr:colOff>
          <xdr:row>2</xdr:row>
          <xdr:rowOff>137160</xdr:rowOff>
        </xdr:from>
        <xdr:to>
          <xdr:col>5</xdr:col>
          <xdr:colOff>541020</xdr:colOff>
          <xdr:row>4</xdr:row>
          <xdr:rowOff>22860</xdr:rowOff>
        </xdr:to>
        <xdr:sp macro="" textlink="">
          <xdr:nvSpPr>
            <xdr:cNvPr id="6145" name="TextBox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F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2442ADC-76C0-4911-AF58-2E4B5ABB009F}" name="BDREGISTROASAMBLEA2025" displayName="BDREGISTROASAMBLEA2025" ref="A8:H524" totalsRowShown="0" headerRowDxfId="98" dataDxfId="97">
  <autoFilter ref="A8:H524" xr:uid="{42442ADC-76C0-4911-AF58-2E4B5ABB009F}"/>
  <tableColumns count="8">
    <tableColumn id="1" xr3:uid="{27357419-A3E7-45F3-B390-090EEE55A0A6}" name="NROKARDEX" dataDxfId="96">
      <calculatedColumnFormula>ROW(A1)</calculatedColumnFormula>
    </tableColumn>
    <tableColumn id="2" xr3:uid="{17467195-D41C-44AE-8B73-80E9B0E3C611}" name="NOMBRE COMPLETO " dataDxfId="95">
      <calculatedColumnFormula>IFERROR(VLOOKUP(BDREGISTROASAMBLEA2025[[#This Row],[NROKARDEX]],BDPADRES[],8,FALSE),"Sin registrado")</calculatedColumnFormula>
    </tableColumn>
    <tableColumn id="3" xr3:uid="{9869B2C8-F29C-4957-A1D7-2670E91E3BCF}" name="ASAMBLEA1" dataDxfId="94"/>
    <tableColumn id="4" xr3:uid="{728EA765-6742-4115-9C28-C76E8C82D1AD}" name="ASAMBLEA2" dataDxfId="93"/>
    <tableColumn id="5" xr3:uid="{0C5F9F7E-C6D5-4ED9-97C8-14C43A8EDFB5}" name="ASAMBLEA3" dataDxfId="92"/>
    <tableColumn id="6" xr3:uid="{0720338F-A772-43B7-AE8F-03A6794ECED0}" name="ASAMBLEA4" dataDxfId="91"/>
    <tableColumn id="7" xr3:uid="{5417EAFB-6785-424A-81A7-2D54DAABAAC0}" name="ASAMBLEA5" dataDxfId="90"/>
    <tableColumn id="8" xr3:uid="{14966FE4-2C4D-4C31-AEC6-4B1347EFE353}" name="TOTAL" dataDxfId="8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E5C524F-D938-4832-8B68-8A5761AB7582}" name="BDREGISTROMINGA2025" displayName="BDREGISTROMINGA2025" ref="B8:G524" totalsRowShown="0" headerRowDxfId="88" dataDxfId="87">
  <autoFilter ref="B8:G524" xr:uid="{42442ADC-76C0-4911-AF58-2E4B5ABB009F}"/>
  <tableColumns count="6">
    <tableColumn id="1" xr3:uid="{BDDE0DB7-C935-4372-B0E1-C32DB1579B55}" name="NROKARDEX" dataDxfId="86">
      <calculatedColumnFormula>ROW(A1)</calculatedColumnFormula>
    </tableColumn>
    <tableColumn id="2" xr3:uid="{84E1B98C-4EC6-45C7-A780-412BD763BCEF}" name="NOMBRE COMPLETO " dataDxfId="85">
      <calculatedColumnFormula>IFERROR(VLOOKUP(BDREGISTROMINGA2025[[#This Row],[NROKARDEX]],BDPADRES[],8,FALSE),"Sin registrado")</calculatedColumnFormula>
    </tableColumn>
    <tableColumn id="3" xr3:uid="{BAA15A4D-5D39-4847-AE8E-2152BCD88E05}" name="MINGA1" dataDxfId="84"/>
    <tableColumn id="4" xr3:uid="{00D709BA-80D1-4B7C-BDEF-4C530985D122}" name="MINGA2" dataDxfId="83"/>
    <tableColumn id="5" xr3:uid="{D2DBB1D6-1A30-4F89-9ACC-1ACD9D668862}" name="MINGA3" dataDxfId="82"/>
    <tableColumn id="9" xr3:uid="{FB00BFA0-2A9B-4432-80A1-5F44DD33FD2C}" name="TOTAL" dataDxfId="8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A570140-49A4-4520-AB1F-28F6EDF7AB5F}" name="BDREGISTROMINGA20256" displayName="BDREGISTROMINGA20256" ref="B8:I524" totalsRowShown="0" headerRowDxfId="80" dataDxfId="79">
  <autoFilter ref="B8:I524" xr:uid="{42442ADC-76C0-4911-AF58-2E4B5ABB009F}"/>
  <tableColumns count="8">
    <tableColumn id="1" xr3:uid="{D30CD41A-F002-4FAD-9DFB-5F081CA0BCB7}" name="KARDEX" dataDxfId="78">
      <calculatedColumnFormula>ROW(A1)</calculatedColumnFormula>
    </tableColumn>
    <tableColumn id="2" xr3:uid="{35B14AF6-21E8-41C6-9FD9-9425E6C0534C}" name="NOMBRE COMPLETO " dataDxfId="77">
      <calculatedColumnFormula>IFERROR(VLOOKUP(BDREGISTROMINGA20256[[#This Row],[KARDEX]],BDPADRES[],8,FALSE),"Sin registrado")</calculatedColumnFormula>
    </tableColumn>
    <tableColumn id="3" xr3:uid="{11A9AB71-8176-4D4E-9EEE-91EC6F6F9A30}" name="REUNIO" dataDxfId="76"/>
    <tableColumn id="4" xr3:uid="{5767B5DE-6A17-4A61-A4FA-CBB76B7BFDC6}" name="OLIM" dataDxfId="75"/>
    <tableColumn id="6" xr3:uid="{B9986AF8-E9D9-4059-94F7-8FF97741C2B0}" name="FEST1" dataDxfId="74"/>
    <tableColumn id="5" xr3:uid="{532B73D1-1074-44DC-8284-E9B1313C871D}" name="FEST2" dataDxfId="73"/>
    <tableColumn id="7" xr3:uid="{5C9920B0-5D0B-4218-AAF7-8271E7D06230}" name="OTRAS" dataDxfId="72"/>
    <tableColumn id="9" xr3:uid="{FA16CEB7-8494-4BA4-8EED-265752F0CA0E}" name="TOTAL" dataDxfId="7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244D8C5-55BC-40B4-B8EC-84A57696F0C9}" name="BDREGISTROBTH2025" displayName="BDREGISTROBTH2025" ref="B6:H523" totalsRowShown="0">
  <autoFilter ref="B6:H523" xr:uid="{12BB5AAF-FFCA-4792-BF27-DB9B668B496F}"/>
  <tableColumns count="7">
    <tableColumn id="1" xr3:uid="{9A647320-81AF-4D86-887C-293A839434F7}" name="NROKARDEX" dataDxfId="70">
      <calculatedColumnFormula>ROW(A1)</calculatedColumnFormula>
    </tableColumn>
    <tableColumn id="6" xr3:uid="{4B959E25-1F8C-4AB1-9113-7F6E8CE2AB9E}" name="FECHA" dataDxfId="69"/>
    <tableColumn id="2" xr3:uid="{ECA231AB-BAD3-4535-A689-30FAF5704972}" name="NOMBRECOMPLETOS">
      <calculatedColumnFormula>IFERROR(VLOOKUP(BDREGISTROBTH2025[[#This Row],[NROKARDEX]],BDPADRES[],8,FALSE),"Sin registrado")</calculatedColumnFormula>
    </tableColumn>
    <tableColumn id="3" xr3:uid="{63BE18A5-32D7-478F-95D6-B62EE89B1B02}" name="NRORECIBO" dataDxfId="68">
      <calculatedColumnFormula>IFERROR(VLOOKUP(BDREGISTROBTH2025[[#This Row],[NROKARDEX]],Tabla3[],12,FALSE),"NO PAGO")</calculatedColumnFormula>
    </tableColumn>
    <tableColumn id="4" xr3:uid="{FB83E3C2-8CEB-4E18-93E6-080338A37AC8}" name="MONTO" dataDxfId="67">
      <calculatedColumnFormula>IF(E7="NO",0,"100")</calculatedColumnFormula>
    </tableColumn>
    <tableColumn id="7" xr3:uid="{BF37ED2E-801A-4A4A-98E0-A672DC2BAEE3}" name="OBSERVACION" dataDxfId="66"/>
    <tableColumn id="5" xr3:uid="{124BF5D9-A17C-4558-BF21-FD26B77005B2}" name="FECHA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2BB5AAF-FFCA-4792-BF27-DB9B668B496F}" name="BDREGISTROAPORTES2025" displayName="BDREGISTROAPORTES2025" ref="A6:G523" totalsRowShown="0">
  <autoFilter ref="A6:G523" xr:uid="{12BB5AAF-FFCA-4792-BF27-DB9B668B496F}"/>
  <tableColumns count="7">
    <tableColumn id="1" xr3:uid="{64E80036-D174-4DD0-940E-2327F96A64DB}" name="NROKARDEX" dataDxfId="65">
      <calculatedColumnFormula>ROW(A1)</calculatedColumnFormula>
    </tableColumn>
    <tableColumn id="6" xr3:uid="{383B3A8A-76C3-4554-AE57-35B7BFACAD84}" name="FECHA" dataDxfId="64"/>
    <tableColumn id="2" xr3:uid="{5AA27504-A5ED-493D-8B35-008FCA173ADD}" name="NOMBRECOMPLETOS">
      <calculatedColumnFormula>IFERROR(VLOOKUP(BDREGISTROAPORTES2025[[#This Row],[NROKARDEX]],BDPADRES[],8,FALSE),"Sin registrado")</calculatedColumnFormula>
    </tableColumn>
    <tableColumn id="3" xr3:uid="{251A8E79-926C-42A5-B9F4-0D87096D0712}" name="NRORECIBO" dataDxfId="63">
      <calculatedColumnFormula>IFERROR(VLOOKUP(BDREGISTROAPORTES2025[[#This Row],[NROKARDEX]],Tabla3[],11,FALSE),"NO PAGO")</calculatedColumnFormula>
    </tableColumn>
    <tableColumn id="4" xr3:uid="{EE109AD6-8ACC-499C-8035-E6B7CCD64109}" name="MONTO" dataDxfId="62">
      <calculatedColumnFormula>IF(D7="NO",0,"165")</calculatedColumnFormula>
    </tableColumn>
    <tableColumn id="7" xr3:uid="{958720DB-6143-487C-8BC1-79F81E2412F5}" name="OBSERVACION" dataDxfId="61"/>
    <tableColumn id="5" xr3:uid="{EEF02355-F9E3-4EE2-B482-9D3C9EC1851C}" name="FECHA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C9C124B-3C2E-40FC-80E0-87EC86433674}" name="BDOBLIGACIONES" displayName="BDOBLIGACIONES" ref="B7:J521" totalsRowShown="0">
  <autoFilter ref="B7:J521" xr:uid="{2C9C124B-3C2E-40FC-80E0-87EC86433674}"/>
  <tableColumns count="9">
    <tableColumn id="1" xr3:uid="{42F0255C-4ECC-4A00-9DEA-E8FC92EF093A}" name="NROKARDEX" dataDxfId="60"/>
    <tableColumn id="2" xr3:uid="{AE903B42-7CA3-4BBE-B26E-D425153A559A}" name="NOMBRE COMPLETO TUTOR" dataDxfId="59">
      <calculatedColumnFormula>IFERROR(VLOOKUP(BDOBLIGACIONES[[#This Row],[NROKARDEX]],BDPADRES[],8,FALSE),"Sin registrado")</calculatedColumnFormula>
    </tableColumn>
    <tableColumn id="3" xr3:uid="{A021B252-B819-40ED-8505-66C593BC72EA}" name="APORTE" dataDxfId="58">
      <calculatedColumnFormula>IF(VLOOKUP(B8,BDREGISTROAPORTES2025[],5,FALSE)="165",0,"165")</calculatedColumnFormula>
    </tableColumn>
    <tableColumn id="5" xr3:uid="{B2AABEAB-3112-482F-8BE5-174E226C8918}" name="BTH" dataDxfId="57">
      <calculatedColumnFormula>IF(VLOOKUP(B8,BDREGISTROBTH2025[],5,FALSE)="100",0,"100")</calculatedColumnFormula>
    </tableColumn>
    <tableColumn id="8" xr3:uid="{FB11CC01-7855-448E-96B6-A21AB22CF704}" name="ASAMBLEA" dataDxfId="56">
      <calculatedColumnFormula>VLOOKUP(B8,BDREGISTROASAMBLEA2025[],8,FALSE)</calculatedColumnFormula>
    </tableColumn>
    <tableColumn id="11" xr3:uid="{123F4976-DAF5-4B2E-A00B-801A0AAA2FC4}" name="MINGA" dataDxfId="55">
      <calculatedColumnFormula>VLOOKUP(B8,BDREGISTROMINGA2025[],6,FALSE)</calculatedColumnFormula>
    </tableColumn>
    <tableColumn id="12" xr3:uid="{8C96FF2E-389B-41E6-A64B-56D14C0C603B}" name="DELEGADOS" dataDxfId="54"/>
    <tableColumn id="13" xr3:uid="{590F6103-2A2F-41FF-812F-B8B804A9FC19}" name="CURSO" dataDxfId="53"/>
    <tableColumn id="7" xr3:uid="{BD393B47-E625-4903-9DCD-2E263EF62CBA}" name="TOTAL" dataDxfId="52">
      <calculatedColumnFormula>BDOBLIGACIONES[[#This Row],[ASAMBLEA]]+BDOBLIGACIONES[[#This Row],[MINGA]]+BDOBLIGACIONES[[#This Row],[DELEGADOS]]+BDOBLIGACIONES[[#This Row],[CURSO]]+BDOBLIGACIONES[[#This Row],[APORTE]]+BDOBLIGACIONES[[#This Row],[BTH]]</calculatedColumnFormula>
    </tableColumn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C92736-B2DD-49CE-BC32-9445E5B1DD66}" name="Tabla3" displayName="Tabla3" ref="A5:O481" totalsRowShown="0" headerRowDxfId="51">
  <autoFilter ref="A5:O481" xr:uid="{C4C92736-B2DD-49CE-BC32-9445E5B1DD66}"/>
  <sortState xmlns:xlrd2="http://schemas.microsoft.com/office/spreadsheetml/2017/richdata2" ref="A104:O378">
    <sortCondition ref="C5:C481"/>
  </sortState>
  <tableColumns count="15">
    <tableColumn id="6" xr3:uid="{4DB88B9F-E8AE-4DAE-A171-566EFFFDEF13}" name="#KARDEX" dataDxfId="50"/>
    <tableColumn id="1" xr3:uid="{8FD8261F-39B1-49BB-92B9-7B67051D997B}" name="NRO" dataDxfId="49">
      <calculatedColumnFormula>ROW(B1)</calculatedColumnFormula>
    </tableColumn>
    <tableColumn id="2" xr3:uid="{F13F09AC-394A-455C-B238-897232ADAA58}" name="NOMBRES" dataDxfId="48"/>
    <tableColumn id="3" xr3:uid="{EF2F1051-8DF6-4CCA-9967-28914BB0572A}" name="APELLIDOS" dataDxfId="47"/>
    <tableColumn id="4" xr3:uid="{19A04AFC-C0CC-4EDD-8F75-284319C39302}" name="NROCI"/>
    <tableColumn id="9" xr3:uid="{16F67DE7-533C-4DE8-8954-8E13569F1D2E}" name="TELEFONO"/>
    <tableColumn id="10" xr3:uid="{6A21362B-5C20-4C92-88D9-3AD2BAA68614}" name="NOMBRES2" dataDxfId="46"/>
    <tableColumn id="11" xr3:uid="{D11E011E-9DF3-4245-A412-DA8127F62BF3}" name="APELLIDOS2" dataDxfId="45"/>
    <tableColumn id="12" xr3:uid="{35D81FC2-8BE1-4467-9B7D-C41B50097943}" name="NROCI2"/>
    <tableColumn id="5" xr3:uid="{8EC938AE-C0C2-4C23-89BE-E4A7BB276700}" name="TELEFONO2"/>
    <tableColumn id="7" xr3:uid="{FF45897F-912B-43B5-AFC9-0F6155C55F5F}" name="APORTE" dataDxfId="44"/>
    <tableColumn id="13" xr3:uid="{0F059929-D7A9-40D9-80F4-2AF4326D937F}" name="BTH" dataDxfId="43"/>
    <tableColumn id="14" xr3:uid="{33D4FCC0-6C4A-4909-88FF-CC6E171710ED}" name="CURSO" dataDxfId="42"/>
    <tableColumn id="8" xr3:uid="{00FF1D56-7F64-4BAC-AE7F-C97F68F462BB}" name="CHerman0" dataDxfId="41"/>
    <tableColumn id="15" xr3:uid="{C122C498-7848-47C4-89B3-B620E652789F}" name="Duplicado" dataDxfId="4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B9EEBFB-48F4-430E-8B14-2666CECDABE2}" name="BDPADRES" displayName="BDPADRES" ref="A6:J482" totalsRowShown="0" headerRowDxfId="39" dataDxfId="38">
  <autoFilter ref="A6:J482" xr:uid="{AB9EEBFB-48F4-430E-8B14-2666CECDABE2}"/>
  <sortState xmlns:xlrd2="http://schemas.microsoft.com/office/spreadsheetml/2017/richdata2" ref="A7:J482">
    <sortCondition ref="A6:A482"/>
  </sortState>
  <tableColumns count="10">
    <tableColumn id="6" xr3:uid="{0908537B-AA4D-40CB-BC8E-67D8E7B843E7}" name="KARDEX" dataDxfId="37"/>
    <tableColumn id="2" xr3:uid="{C0D81E54-4D39-484F-88F0-44A83BBD3D3D}" name="NOMBRES PADRE" dataDxfId="36"/>
    <tableColumn id="3" xr3:uid="{5FFEB640-A7E3-4CFD-8701-12D71BF6F64E}" name="APELLIDOS PADRE" dataDxfId="35"/>
    <tableColumn id="4" xr3:uid="{4D64938C-12F1-475C-99CB-74BA7416447E}" name="NROCI" dataDxfId="34"/>
    <tableColumn id="10" xr3:uid="{A17142A8-861D-44EE-988C-0AD715034FA7}" name="NOMBRES MADRE" dataDxfId="33"/>
    <tableColumn id="11" xr3:uid="{628C178C-8DB1-4699-95A8-86D1CDB3E3B5}" name="APELLIDOS MADRE" dataDxfId="32"/>
    <tableColumn id="12" xr3:uid="{590C42B6-4291-49D0-8CA3-D63F8136A523}" name="NROCI2" dataDxfId="31"/>
    <tableColumn id="7" xr3:uid="{F474E5E6-3468-42B1-A65E-62262ADE801D}" name="NOMBRES TUTOR" dataDxfId="30">
      <calculatedColumnFormula>CONCATENATE(BDPADRES[[#This Row],[NOMBRES MADRE]]," ",BDPADRES[[#This Row],[APELLIDOS MADRE]])</calculatedColumnFormula>
    </tableColumn>
    <tableColumn id="9" xr3:uid="{671B546C-0DBF-4F82-8C5C-92E16B7A5EE8}" name="NROREF1." dataDxfId="29"/>
    <tableColumn id="5" xr3:uid="{F170C777-8CC5-44E8-8F20-0765673FF6BE}" name="NROREF2" dataDxfId="2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EA5A3CD-7FC7-4522-8A62-9AA39CAA9079}" name="BDALUMNOS" displayName="BDALUMNOS" ref="B5:E578" totalsRowShown="0" headerRowDxfId="105" dataDxfId="104" tableBorderDxfId="103">
  <autoFilter ref="B5:E578" xr:uid="{FEA5A3CD-7FC7-4522-8A62-9AA39CAA9079}"/>
  <tableColumns count="4">
    <tableColumn id="1" xr3:uid="{4D49F71A-82A8-454F-A5AC-830C3CA551AD}" name="RUDE" dataDxfId="102"/>
    <tableColumn id="9" xr3:uid="{04E04F8E-8FA0-4917-9DF8-1D6F8BC5B084}" name="NOMBRES" dataDxfId="101"/>
    <tableColumn id="3" xr3:uid="{43AAFE40-E969-4CD9-BBBC-0A7707DDBCE6}" name="APELLIDOS" dataDxfId="100"/>
    <tableColumn id="4" xr3:uid="{C6987468-2A81-44A6-8262-A1D423EBEA61}" name="GENERO" dataDxfId="99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Faceta">
  <a:themeElements>
    <a:clrScheme name="Faceta">
      <a:dk1>
        <a:sysClr val="windowText" lastClr="000000"/>
      </a:dk1>
      <a:lt1>
        <a:sysClr val="window" lastClr="FFFFFF"/>
      </a:lt1>
      <a:dk2>
        <a:srgbClr val="2C3C43"/>
      </a:dk2>
      <a:lt2>
        <a:srgbClr val="EBEBEB"/>
      </a:lt2>
      <a:accent1>
        <a:srgbClr val="90C226"/>
      </a:accent1>
      <a:accent2>
        <a:srgbClr val="54A021"/>
      </a:accent2>
      <a:accent3>
        <a:srgbClr val="E6B91E"/>
      </a:accent3>
      <a:accent4>
        <a:srgbClr val="E76618"/>
      </a:accent4>
      <a:accent5>
        <a:srgbClr val="C42F1A"/>
      </a:accent5>
      <a:accent6>
        <a:srgbClr val="918655"/>
      </a:accent6>
      <a:hlink>
        <a:srgbClr val="99CA3C"/>
      </a:hlink>
      <a:folHlink>
        <a:srgbClr val="B9D181"/>
      </a:folHlink>
    </a:clrScheme>
    <a:fontScheme name="Faceta">
      <a:majorFont>
        <a:latin typeface="Trebuchet MS" panose="020B0603020202020204"/>
        <a:ea typeface=""/>
        <a:cs typeface=""/>
        <a:font script="Jpan" typeface="メイリオ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rebuchet MS" panose="020B0603020202020204"/>
        <a:ea typeface=""/>
        <a:cs typeface=""/>
        <a:font script="Jpan" typeface="メイリオ"/>
        <a:font script="Hang" typeface="HY그래픽M"/>
        <a:font script="Hans" typeface="华文新魏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Faceta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lumMod val="110000"/>
              </a:schemeClr>
            </a:gs>
            <a:gs pos="88000">
              <a:schemeClr val="phClr">
                <a:tint val="9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lumMod val="100000"/>
              </a:schemeClr>
            </a:gs>
            <a:gs pos="78000">
              <a:schemeClr val="phClr">
                <a:shade val="94000"/>
                <a:lumMod val="94000"/>
              </a:schemeClr>
            </a:gs>
          </a:gsLst>
          <a:lin ang="5400000" scaled="0"/>
        </a:gradFill>
      </a:fillStyleLst>
      <a:lnStyleLst>
        <a:ln w="12700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prstMaterial="plastic">
            <a:bevelT w="0" h="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04000"/>
              </a:schemeClr>
            </a:gs>
            <a:gs pos="94000">
              <a:schemeClr val="phClr">
                <a:shade val="96000"/>
                <a:lumMod val="82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100000">
              <a:schemeClr val="phClr">
                <a:shade val="94000"/>
                <a:lumMod val="96000"/>
              </a:schemeClr>
            </a:gs>
          </a:gsLst>
          <a:path path="circle">
            <a:fillToRect l="50000" t="5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Facet" id="{C0C680CD-088A-49FC-A102-D699147F32B2}" vid="{CFBC31BA-B70F-4F30-BCAA-4F3011E16C4D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9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1E6611-B876-485A-A5FB-9F2E4E64152A}">
  <sheetPr codeName="Hoja5"/>
  <dimension ref="A2:K10"/>
  <sheetViews>
    <sheetView topLeftCell="A2" workbookViewId="0">
      <selection activeCell="A2" sqref="A2:K4"/>
    </sheetView>
  </sheetViews>
  <sheetFormatPr baseColWidth="10" defaultRowHeight="14.4" x14ac:dyDescent="0.3"/>
  <sheetData>
    <row r="2" spans="1:11" ht="33.6" customHeight="1" x14ac:dyDescent="0.3">
      <c r="A2" s="160" t="s">
        <v>3014</v>
      </c>
      <c r="B2" s="161"/>
      <c r="C2" s="161"/>
      <c r="D2" s="161"/>
      <c r="E2" s="161"/>
      <c r="F2" s="161"/>
      <c r="G2" s="161"/>
      <c r="H2" s="161"/>
      <c r="I2" s="161"/>
      <c r="J2" s="161"/>
      <c r="K2" s="161"/>
    </row>
    <row r="3" spans="1:11" x14ac:dyDescent="0.3">
      <c r="A3" s="161"/>
      <c r="B3" s="161"/>
      <c r="C3" s="161"/>
      <c r="D3" s="161"/>
      <c r="E3" s="161"/>
      <c r="F3" s="161"/>
      <c r="G3" s="161"/>
      <c r="H3" s="161"/>
      <c r="I3" s="161"/>
      <c r="J3" s="161"/>
      <c r="K3" s="161"/>
    </row>
    <row r="4" spans="1:11" x14ac:dyDescent="0.3">
      <c r="A4" s="161"/>
      <c r="B4" s="161"/>
      <c r="C4" s="161"/>
      <c r="D4" s="161"/>
      <c r="E4" s="161"/>
      <c r="F4" s="161"/>
      <c r="G4" s="161"/>
      <c r="H4" s="161"/>
      <c r="I4" s="161"/>
      <c r="J4" s="161"/>
      <c r="K4" s="161"/>
    </row>
    <row r="10" spans="1:11" ht="15" x14ac:dyDescent="0.35">
      <c r="H10" s="60"/>
    </row>
  </sheetData>
  <mergeCells count="1">
    <mergeCell ref="A2:K4"/>
  </mergeCells>
  <pageMargins left="0.25" right="0.25" top="0.75" bottom="0.75" header="0.3" footer="0.3"/>
  <pageSetup orientation="landscape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17C15-F9A4-464F-8C03-07C7E76307EB}">
  <sheetPr codeName="Hoja6"/>
  <dimension ref="A1:L7"/>
  <sheetViews>
    <sheetView workbookViewId="0">
      <selection activeCell="H21" sqref="H21"/>
    </sheetView>
  </sheetViews>
  <sheetFormatPr baseColWidth="10" defaultRowHeight="14.4" x14ac:dyDescent="0.3"/>
  <cols>
    <col min="8" max="8" width="12.21875" customWidth="1"/>
  </cols>
  <sheetData>
    <row r="1" spans="1:12" x14ac:dyDescent="0.3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</row>
    <row r="2" spans="1:12" x14ac:dyDescent="0.3">
      <c r="A2" s="146"/>
      <c r="B2" s="146"/>
      <c r="C2" s="146"/>
      <c r="D2" s="146"/>
      <c r="E2" s="146"/>
      <c r="F2" s="146"/>
      <c r="G2" s="146"/>
      <c r="H2" s="146"/>
      <c r="I2" s="146"/>
      <c r="J2" s="146"/>
      <c r="K2" s="146"/>
      <c r="L2" s="146"/>
    </row>
    <row r="3" spans="1:12" x14ac:dyDescent="0.3">
      <c r="A3" s="146"/>
      <c r="B3" s="146"/>
      <c r="C3" s="146"/>
      <c r="D3" s="146"/>
      <c r="E3" s="146"/>
      <c r="F3" s="146"/>
      <c r="G3" s="146"/>
      <c r="H3" s="146"/>
      <c r="I3" s="146"/>
      <c r="J3" s="146"/>
      <c r="K3" s="146"/>
      <c r="L3" s="146"/>
    </row>
    <row r="5" spans="1:12" x14ac:dyDescent="0.3">
      <c r="A5" s="162" t="s">
        <v>3062</v>
      </c>
      <c r="B5" s="162"/>
      <c r="C5" s="162"/>
      <c r="D5" s="163"/>
      <c r="E5" s="163"/>
      <c r="F5" s="163"/>
      <c r="G5" s="163"/>
      <c r="H5" s="136" t="s">
        <v>3063</v>
      </c>
      <c r="I5" s="147"/>
    </row>
    <row r="6" spans="1:12" x14ac:dyDescent="0.3">
      <c r="A6" s="162" t="s">
        <v>3064</v>
      </c>
      <c r="B6" s="162"/>
      <c r="C6" s="162"/>
      <c r="D6" s="138"/>
      <c r="E6" s="138"/>
      <c r="F6" s="138"/>
      <c r="G6" s="138"/>
    </row>
    <row r="7" spans="1:12" x14ac:dyDescent="0.3">
      <c r="A7" s="16"/>
      <c r="B7" s="16"/>
      <c r="C7" s="16"/>
    </row>
  </sheetData>
  <mergeCells count="3">
    <mergeCell ref="A5:C5"/>
    <mergeCell ref="D5:G5"/>
    <mergeCell ref="A6:C6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87EF6-BF8E-45AD-9276-6E754B05E250}">
  <sheetPr codeName="Hoja8"/>
  <dimension ref="A1:M524"/>
  <sheetViews>
    <sheetView workbookViewId="0">
      <selection activeCell="H9" sqref="H9"/>
    </sheetView>
  </sheetViews>
  <sheetFormatPr baseColWidth="10" defaultRowHeight="13.8" x14ac:dyDescent="0.25"/>
  <cols>
    <col min="1" max="1" width="16.109375" style="150" bestFit="1" customWidth="1"/>
    <col min="2" max="2" width="45" style="150" bestFit="1" customWidth="1"/>
    <col min="3" max="7" width="15.6640625" style="150" bestFit="1" customWidth="1"/>
    <col min="8" max="8" width="9.88671875" style="150" bestFit="1" customWidth="1"/>
    <col min="9" max="10" width="11.5546875" style="150"/>
    <col min="11" max="11" width="69.88671875" style="150" bestFit="1" customWidth="1"/>
    <col min="12" max="16384" width="11.5546875" style="150"/>
  </cols>
  <sheetData>
    <row r="1" spans="1:13" x14ac:dyDescent="0.25">
      <c r="A1" s="164" t="s">
        <v>3074</v>
      </c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4"/>
    </row>
    <row r="2" spans="1:13" x14ac:dyDescent="0.25">
      <c r="A2" s="164"/>
      <c r="B2" s="164"/>
      <c r="C2" s="164"/>
      <c r="D2" s="164"/>
      <c r="E2" s="164"/>
      <c r="F2" s="164"/>
      <c r="G2" s="164"/>
      <c r="H2" s="164"/>
      <c r="I2" s="164"/>
      <c r="J2" s="164"/>
      <c r="K2" s="164"/>
      <c r="L2" s="164"/>
      <c r="M2" s="164"/>
    </row>
    <row r="3" spans="1:13" x14ac:dyDescent="0.25">
      <c r="A3" s="164"/>
      <c r="B3" s="164"/>
      <c r="C3" s="164"/>
      <c r="D3" s="164"/>
      <c r="E3" s="164"/>
      <c r="F3" s="164"/>
      <c r="G3" s="164"/>
      <c r="H3" s="164"/>
      <c r="I3" s="164"/>
      <c r="J3" s="164"/>
      <c r="K3" s="164"/>
      <c r="L3" s="164"/>
      <c r="M3" s="164"/>
    </row>
    <row r="5" spans="1:13" x14ac:dyDescent="0.25">
      <c r="B5" s="165" t="s">
        <v>3075</v>
      </c>
      <c r="C5" s="165"/>
      <c r="D5" s="165"/>
      <c r="E5" s="151">
        <v>30</v>
      </c>
    </row>
    <row r="6" spans="1:13" ht="14.4" thickBot="1" x14ac:dyDescent="0.3">
      <c r="B6" s="151"/>
      <c r="C6" s="151"/>
      <c r="D6" s="151"/>
      <c r="E6" s="151"/>
    </row>
    <row r="7" spans="1:13" ht="18.600000000000001" customHeight="1" thickBot="1" x14ac:dyDescent="0.45">
      <c r="B7" s="152" t="s">
        <v>3082</v>
      </c>
      <c r="C7" s="153"/>
      <c r="D7" s="153"/>
      <c r="E7" s="153"/>
      <c r="F7" s="154"/>
      <c r="G7" s="153"/>
    </row>
    <row r="8" spans="1:13" x14ac:dyDescent="0.25">
      <c r="A8" s="150" t="s">
        <v>26</v>
      </c>
      <c r="B8" s="150" t="s">
        <v>3076</v>
      </c>
      <c r="C8" s="150" t="s">
        <v>3077</v>
      </c>
      <c r="D8" s="150" t="s">
        <v>3078</v>
      </c>
      <c r="E8" s="150" t="s">
        <v>3079</v>
      </c>
      <c r="F8" s="150" t="s">
        <v>3080</v>
      </c>
      <c r="G8" s="150" t="s">
        <v>3081</v>
      </c>
      <c r="H8" s="150" t="s">
        <v>3032</v>
      </c>
    </row>
    <row r="9" spans="1:13" x14ac:dyDescent="0.25">
      <c r="A9" s="151">
        <f>ROW(A1)</f>
        <v>1</v>
      </c>
      <c r="B9" s="150" t="str">
        <f>IFERROR(VLOOKUP(BDREGISTROASAMBLEA2025[[#This Row],[NROKARDEX]],BDPADRES[],8,FALSE),"Sin registrado")</f>
        <v>ZUNILDA ARANCIBIA ROSADO</v>
      </c>
      <c r="H9" s="151">
        <v>30</v>
      </c>
    </row>
    <row r="10" spans="1:13" ht="14.4" x14ac:dyDescent="0.3">
      <c r="A10" s="151">
        <f t="shared" ref="A10:A18" si="0">ROW(A2)</f>
        <v>2</v>
      </c>
      <c r="B10" s="150" t="str">
        <f>IFERROR(VLOOKUP(BDREGISTROASAMBLEA2025[[#This Row],[NROKARDEX]],BDPADRES[],8,FALSE),"Sin registrado")</f>
        <v>GUISELA ULLOA MAMANI</v>
      </c>
      <c r="K10" t="s">
        <v>3072</v>
      </c>
    </row>
    <row r="11" spans="1:13" ht="14.4" x14ac:dyDescent="0.3">
      <c r="A11" s="151">
        <f t="shared" si="0"/>
        <v>3</v>
      </c>
      <c r="B11" s="150" t="str">
        <f>IFERROR(VLOOKUP(BDREGISTROASAMBLEA2025[[#This Row],[NROKARDEX]],BDPADRES[],8,FALSE),"Sin registrado")</f>
        <v>BENITA VILLARES PACHILE</v>
      </c>
      <c r="K11" s="148" t="s">
        <v>3066</v>
      </c>
    </row>
    <row r="12" spans="1:13" x14ac:dyDescent="0.25">
      <c r="A12" s="151">
        <f t="shared" si="0"/>
        <v>4</v>
      </c>
      <c r="B12" s="150" t="str">
        <f>IFERROR(VLOOKUP(BDREGISTROASAMBLEA2025[[#This Row],[NROKARDEX]],BDPADRES[],8,FALSE),"Sin registrado")</f>
        <v>MARIELA ORELLANA ARANCIBIA</v>
      </c>
    </row>
    <row r="13" spans="1:13" x14ac:dyDescent="0.25">
      <c r="A13" s="151">
        <f t="shared" si="0"/>
        <v>5</v>
      </c>
      <c r="B13" s="150" t="str">
        <f>IFERROR(VLOOKUP(BDREGISTROASAMBLEA2025[[#This Row],[NROKARDEX]],BDPADRES[],8,FALSE),"Sin registrado")</f>
        <v>YILDA ROSADO ARAUZ</v>
      </c>
    </row>
    <row r="14" spans="1:13" x14ac:dyDescent="0.25">
      <c r="A14" s="151">
        <f t="shared" si="0"/>
        <v>6</v>
      </c>
      <c r="B14" s="150" t="str">
        <f>IFERROR(VLOOKUP(BDREGISTROASAMBLEA2025[[#This Row],[NROKARDEX]],BDPADRES[],8,FALSE),"Sin registrado")</f>
        <v>LEIDY KAROLA MEDINA BELTRAN</v>
      </c>
    </row>
    <row r="15" spans="1:13" x14ac:dyDescent="0.25">
      <c r="A15" s="151">
        <f t="shared" si="0"/>
        <v>7</v>
      </c>
      <c r="B15" s="150" t="str">
        <f>IFERROR(VLOOKUP(BDREGISTROASAMBLEA2025[[#This Row],[NROKARDEX]],BDPADRES[],8,FALSE),"Sin registrado")</f>
        <v>LUZ CORAZON ALBORNOS ZABALAGA</v>
      </c>
    </row>
    <row r="16" spans="1:13" x14ac:dyDescent="0.25">
      <c r="A16" s="151">
        <f t="shared" si="0"/>
        <v>8</v>
      </c>
      <c r="B16" s="150" t="str">
        <f>IFERROR(VLOOKUP(BDREGISTROASAMBLEA2025[[#This Row],[NROKARDEX]],BDPADRES[],8,FALSE),"Sin registrado")</f>
        <v>ANA KAREN ESTRADA URIONA</v>
      </c>
    </row>
    <row r="17" spans="1:2" x14ac:dyDescent="0.25">
      <c r="A17" s="151">
        <f t="shared" si="0"/>
        <v>9</v>
      </c>
      <c r="B17" s="150" t="str">
        <f>IFERROR(VLOOKUP(BDREGISTROASAMBLEA2025[[#This Row],[NROKARDEX]],BDPADRES[],8,FALSE),"Sin registrado")</f>
        <v>PAMELA LEONESA MARTINEZ ROMERO</v>
      </c>
    </row>
    <row r="18" spans="1:2" x14ac:dyDescent="0.25">
      <c r="A18" s="151">
        <f t="shared" si="0"/>
        <v>10</v>
      </c>
      <c r="B18" s="150" t="str">
        <f>IFERROR(VLOOKUP(BDREGISTROASAMBLEA2025[[#This Row],[NROKARDEX]],BDPADRES[],8,FALSE),"Sin registrado")</f>
        <v>EVELIN BALDERRAMA ROJAS</v>
      </c>
    </row>
    <row r="19" spans="1:2" x14ac:dyDescent="0.25">
      <c r="A19" s="151">
        <f t="shared" ref="A19:A29" si="1">ROW(A11)</f>
        <v>11</v>
      </c>
      <c r="B19" s="150" t="str">
        <f>IFERROR(VLOOKUP(BDREGISTROASAMBLEA2025[[#This Row],[NROKARDEX]],BDPADRES[],8,FALSE),"Sin registrado")</f>
        <v>CELIA ORELLANA GUTIERREZ</v>
      </c>
    </row>
    <row r="20" spans="1:2" x14ac:dyDescent="0.25">
      <c r="A20" s="151">
        <f t="shared" si="1"/>
        <v>12</v>
      </c>
      <c r="B20" s="150" t="str">
        <f>IFERROR(VLOOKUP(BDREGISTROASAMBLEA2025[[#This Row],[NROKARDEX]],BDPADRES[],8,FALSE),"Sin registrado")</f>
        <v>MARCELINA MOJIANO MOSCOSO</v>
      </c>
    </row>
    <row r="21" spans="1:2" x14ac:dyDescent="0.25">
      <c r="A21" s="151">
        <f t="shared" si="1"/>
        <v>13</v>
      </c>
      <c r="B21" s="150" t="str">
        <f>IFERROR(VLOOKUP(BDREGISTROASAMBLEA2025[[#This Row],[NROKARDEX]],BDPADRES[],8,FALSE),"Sin registrado")</f>
        <v>YOLANDA CRUZ AGUIRRE</v>
      </c>
    </row>
    <row r="22" spans="1:2" x14ac:dyDescent="0.25">
      <c r="A22" s="151">
        <f t="shared" si="1"/>
        <v>14</v>
      </c>
      <c r="B22" s="150" t="str">
        <f>IFERROR(VLOOKUP(BDREGISTROASAMBLEA2025[[#This Row],[NROKARDEX]],BDPADRES[],8,FALSE),"Sin registrado")</f>
        <v>MARGARITA VARGAS BOBARIN</v>
      </c>
    </row>
    <row r="23" spans="1:2" x14ac:dyDescent="0.25">
      <c r="A23" s="151">
        <f t="shared" si="1"/>
        <v>15</v>
      </c>
      <c r="B23" s="150" t="str">
        <f>IFERROR(VLOOKUP(BDREGISTROASAMBLEA2025[[#This Row],[NROKARDEX]],BDPADRES[],8,FALSE),"Sin registrado")</f>
        <v>CANDELARIA ZAPATA CRESPO</v>
      </c>
    </row>
    <row r="24" spans="1:2" x14ac:dyDescent="0.25">
      <c r="A24" s="151">
        <f t="shared" si="1"/>
        <v>16</v>
      </c>
      <c r="B24" s="150" t="str">
        <f>IFERROR(VLOOKUP(BDREGISTROASAMBLEA2025[[#This Row],[NROKARDEX]],BDPADRES[],8,FALSE),"Sin registrado")</f>
        <v>DOLORES QUENTA BARRIENTOS</v>
      </c>
    </row>
    <row r="25" spans="1:2" x14ac:dyDescent="0.25">
      <c r="A25" s="151">
        <f t="shared" si="1"/>
        <v>17</v>
      </c>
      <c r="B25" s="150" t="str">
        <f>IFERROR(VLOOKUP(BDREGISTROASAMBLEA2025[[#This Row],[NROKARDEX]],BDPADRES[],8,FALSE),"Sin registrado")</f>
        <v>ANA MARIA CHOQUE LEITON</v>
      </c>
    </row>
    <row r="26" spans="1:2" x14ac:dyDescent="0.25">
      <c r="A26" s="151">
        <f t="shared" si="1"/>
        <v>18</v>
      </c>
      <c r="B26" s="150" t="str">
        <f>IFERROR(VLOOKUP(BDREGISTROASAMBLEA2025[[#This Row],[NROKARDEX]],BDPADRES[],8,FALSE),"Sin registrado")</f>
        <v>YASELY RUTH MURILLO CASTRO</v>
      </c>
    </row>
    <row r="27" spans="1:2" x14ac:dyDescent="0.25">
      <c r="A27" s="151">
        <f t="shared" si="1"/>
        <v>19</v>
      </c>
      <c r="B27" s="150" t="str">
        <f>IFERROR(VLOOKUP(BDREGISTROASAMBLEA2025[[#This Row],[NROKARDEX]],BDPADRES[],8,FALSE),"Sin registrado")</f>
        <v>LIBERATA DIAZ CASTRO</v>
      </c>
    </row>
    <row r="28" spans="1:2" x14ac:dyDescent="0.25">
      <c r="A28" s="151">
        <f t="shared" si="1"/>
        <v>20</v>
      </c>
      <c r="B28" s="150" t="str">
        <f>IFERROR(VLOOKUP(BDREGISTROASAMBLEA2025[[#This Row],[NROKARDEX]],BDPADRES[],8,FALSE),"Sin registrado")</f>
        <v>EMY RUDY MURILLO CASTRO</v>
      </c>
    </row>
    <row r="29" spans="1:2" x14ac:dyDescent="0.25">
      <c r="A29" s="151">
        <f t="shared" si="1"/>
        <v>21</v>
      </c>
      <c r="B29" s="150" t="str">
        <f>IFERROR(VLOOKUP(BDREGISTROASAMBLEA2025[[#This Row],[NROKARDEX]],BDPADRES[],8,FALSE),"Sin registrado")</f>
        <v>ABIGAIL LEON SEAS</v>
      </c>
    </row>
    <row r="30" spans="1:2" x14ac:dyDescent="0.25">
      <c r="A30" s="151">
        <f t="shared" ref="A30:A93" si="2">ROW(A22)</f>
        <v>22</v>
      </c>
      <c r="B30" s="150" t="str">
        <f>IFERROR(VLOOKUP(BDREGISTROASAMBLEA2025[[#This Row],[NROKARDEX]],BDPADRES[],8,FALSE),"Sin registrado")</f>
        <v>SANDRA PUMA ROSAS</v>
      </c>
    </row>
    <row r="31" spans="1:2" x14ac:dyDescent="0.25">
      <c r="A31" s="151">
        <f t="shared" si="2"/>
        <v>23</v>
      </c>
      <c r="B31" s="150" t="str">
        <f>IFERROR(VLOOKUP(BDREGISTROASAMBLEA2025[[#This Row],[NROKARDEX]],BDPADRES[],8,FALSE),"Sin registrado")</f>
        <v>VERONICA AIZA QUIROGA</v>
      </c>
    </row>
    <row r="32" spans="1:2" x14ac:dyDescent="0.25">
      <c r="A32" s="151">
        <f t="shared" si="2"/>
        <v>24</v>
      </c>
      <c r="B32" s="150" t="str">
        <f>IFERROR(VLOOKUP(BDREGISTROASAMBLEA2025[[#This Row],[NROKARDEX]],BDPADRES[],8,FALSE),"Sin registrado")</f>
        <v>ESMERALDA MARINA BARRERA PUMA</v>
      </c>
    </row>
    <row r="33" spans="1:2" x14ac:dyDescent="0.25">
      <c r="A33" s="151">
        <f t="shared" si="2"/>
        <v>25</v>
      </c>
      <c r="B33" s="150" t="str">
        <f>IFERROR(VLOOKUP(BDREGISTROASAMBLEA2025[[#This Row],[NROKARDEX]],BDPADRES[],8,FALSE),"Sin registrado")</f>
        <v>HEIDY PACO CASTRO</v>
      </c>
    </row>
    <row r="34" spans="1:2" x14ac:dyDescent="0.25">
      <c r="A34" s="151">
        <f t="shared" si="2"/>
        <v>26</v>
      </c>
      <c r="B34" s="150" t="str">
        <f>IFERROR(VLOOKUP(BDREGISTROASAMBLEA2025[[#This Row],[NROKARDEX]],BDPADRES[],8,FALSE),"Sin registrado")</f>
        <v>PATRICIA LOPEZ CHOQUE</v>
      </c>
    </row>
    <row r="35" spans="1:2" x14ac:dyDescent="0.25">
      <c r="A35" s="151">
        <f t="shared" si="2"/>
        <v>27</v>
      </c>
      <c r="B35" s="150" t="str">
        <f>IFERROR(VLOOKUP(BDREGISTROASAMBLEA2025[[#This Row],[NROKARDEX]],BDPADRES[],8,FALSE),"Sin registrado")</f>
        <v>BASILIA PADILLA REINA</v>
      </c>
    </row>
    <row r="36" spans="1:2" x14ac:dyDescent="0.25">
      <c r="A36" s="151">
        <f t="shared" si="2"/>
        <v>28</v>
      </c>
      <c r="B36" s="150" t="str">
        <f>IFERROR(VLOOKUP(BDREGISTROASAMBLEA2025[[#This Row],[NROKARDEX]],BDPADRES[],8,FALSE),"Sin registrado")</f>
        <v>DALCY SILES ROSADO</v>
      </c>
    </row>
    <row r="37" spans="1:2" x14ac:dyDescent="0.25">
      <c r="A37" s="151">
        <f t="shared" si="2"/>
        <v>29</v>
      </c>
      <c r="B37" s="150" t="str">
        <f>IFERROR(VLOOKUP(BDREGISTROASAMBLEA2025[[#This Row],[NROKARDEX]],BDPADRES[],8,FALSE),"Sin registrado")</f>
        <v>NICOLE PEREYRA CABRERA</v>
      </c>
    </row>
    <row r="38" spans="1:2" x14ac:dyDescent="0.25">
      <c r="A38" s="151">
        <f t="shared" si="2"/>
        <v>30</v>
      </c>
      <c r="B38" s="150" t="str">
        <f>IFERROR(VLOOKUP(BDREGISTROASAMBLEA2025[[#This Row],[NROKARDEX]],BDPADRES[],8,FALSE),"Sin registrado")</f>
        <v>TERESA  ANDREA CONDORI LOPEZ</v>
      </c>
    </row>
    <row r="39" spans="1:2" x14ac:dyDescent="0.25">
      <c r="A39" s="151">
        <f t="shared" si="2"/>
        <v>31</v>
      </c>
      <c r="B39" s="150" t="str">
        <f>IFERROR(VLOOKUP(BDREGISTROASAMBLEA2025[[#This Row],[NROKARDEX]],BDPADRES[],8,FALSE),"Sin registrado")</f>
        <v>Sin registrado</v>
      </c>
    </row>
    <row r="40" spans="1:2" x14ac:dyDescent="0.25">
      <c r="A40" s="151">
        <f t="shared" si="2"/>
        <v>32</v>
      </c>
      <c r="B40" s="150" t="str">
        <f>IFERROR(VLOOKUP(BDREGISTROASAMBLEA2025[[#This Row],[NROKARDEX]],BDPADRES[],8,FALSE),"Sin registrado")</f>
        <v>RODEE FLORES TITO</v>
      </c>
    </row>
    <row r="41" spans="1:2" x14ac:dyDescent="0.25">
      <c r="A41" s="151">
        <f t="shared" si="2"/>
        <v>33</v>
      </c>
      <c r="B41" s="150" t="str">
        <f>IFERROR(VLOOKUP(BDREGISTROASAMBLEA2025[[#This Row],[NROKARDEX]],BDPADRES[],8,FALSE),"Sin registrado")</f>
        <v>ANA ISABEL APAZA MAMANI</v>
      </c>
    </row>
    <row r="42" spans="1:2" x14ac:dyDescent="0.25">
      <c r="A42" s="151">
        <f t="shared" si="2"/>
        <v>34</v>
      </c>
      <c r="B42" s="150" t="str">
        <f>IFERROR(VLOOKUP(BDREGISTROASAMBLEA2025[[#This Row],[NROKARDEX]],BDPADRES[],8,FALSE),"Sin registrado")</f>
        <v>JUANA FERNANDEZ LOPEZ</v>
      </c>
    </row>
    <row r="43" spans="1:2" x14ac:dyDescent="0.25">
      <c r="A43" s="151">
        <f t="shared" si="2"/>
        <v>35</v>
      </c>
      <c r="B43" s="150" t="str">
        <f>IFERROR(VLOOKUP(BDREGISTROASAMBLEA2025[[#This Row],[NROKARDEX]],BDPADRES[],8,FALSE),"Sin registrado")</f>
        <v>OLIVIA FLORES SERRUTO</v>
      </c>
    </row>
    <row r="44" spans="1:2" x14ac:dyDescent="0.25">
      <c r="A44" s="151">
        <f t="shared" si="2"/>
        <v>36</v>
      </c>
      <c r="B44" s="150" t="str">
        <f>IFERROR(VLOOKUP(BDREGISTROASAMBLEA2025[[#This Row],[NROKARDEX]],BDPADRES[],8,FALSE),"Sin registrado")</f>
        <v>MARLENE   VEDIA BALLESTEROS</v>
      </c>
    </row>
    <row r="45" spans="1:2" x14ac:dyDescent="0.25">
      <c r="A45" s="151">
        <f t="shared" si="2"/>
        <v>37</v>
      </c>
      <c r="B45" s="150" t="str">
        <f>IFERROR(VLOOKUP(BDREGISTROASAMBLEA2025[[#This Row],[NROKARDEX]],BDPADRES[],8,FALSE),"Sin registrado")</f>
        <v>SEGUNDINA PEÑARRIETA BARVOLIN</v>
      </c>
    </row>
    <row r="46" spans="1:2" x14ac:dyDescent="0.25">
      <c r="A46" s="151">
        <f t="shared" si="2"/>
        <v>38</v>
      </c>
      <c r="B46" s="150" t="str">
        <f>IFERROR(VLOOKUP(BDREGISTROASAMBLEA2025[[#This Row],[NROKARDEX]],BDPADRES[],8,FALSE),"Sin registrado")</f>
        <v>MERY AGUADO TORREZ</v>
      </c>
    </row>
    <row r="47" spans="1:2" x14ac:dyDescent="0.25">
      <c r="A47" s="151">
        <f t="shared" si="2"/>
        <v>39</v>
      </c>
      <c r="B47" s="150" t="str">
        <f>IFERROR(VLOOKUP(BDREGISTROASAMBLEA2025[[#This Row],[NROKARDEX]],BDPADRES[],8,FALSE),"Sin registrado")</f>
        <v>JOVITA GARCIA TANTUTELA</v>
      </c>
    </row>
    <row r="48" spans="1:2" x14ac:dyDescent="0.25">
      <c r="A48" s="151">
        <f t="shared" si="2"/>
        <v>40</v>
      </c>
      <c r="B48" s="150" t="str">
        <f>IFERROR(VLOOKUP(BDREGISTROASAMBLEA2025[[#This Row],[NROKARDEX]],BDPADRES[],8,FALSE),"Sin registrado")</f>
        <v>MARINA MEJIA BEJARANO</v>
      </c>
    </row>
    <row r="49" spans="1:2" x14ac:dyDescent="0.25">
      <c r="A49" s="151">
        <f t="shared" si="2"/>
        <v>41</v>
      </c>
      <c r="B49" s="150" t="str">
        <f>IFERROR(VLOOKUP(BDREGISTROASAMBLEA2025[[#This Row],[NROKARDEX]],BDPADRES[],8,FALSE),"Sin registrado")</f>
        <v>ELSA TITO CABRERA</v>
      </c>
    </row>
    <row r="50" spans="1:2" x14ac:dyDescent="0.25">
      <c r="A50" s="151">
        <f t="shared" si="2"/>
        <v>42</v>
      </c>
      <c r="B50" s="150" t="str">
        <f>IFERROR(VLOOKUP(BDREGISTROASAMBLEA2025[[#This Row],[NROKARDEX]],BDPADRES[],8,FALSE),"Sin registrado")</f>
        <v>MARINA  SANTOS PADILLA</v>
      </c>
    </row>
    <row r="51" spans="1:2" x14ac:dyDescent="0.25">
      <c r="A51" s="151">
        <f t="shared" si="2"/>
        <v>43</v>
      </c>
      <c r="B51" s="150" t="str">
        <f>IFERROR(VLOOKUP(BDREGISTROASAMBLEA2025[[#This Row],[NROKARDEX]],BDPADRES[],8,FALSE),"Sin registrado")</f>
        <v>YOLANDA TORREZ ROJAS</v>
      </c>
    </row>
    <row r="52" spans="1:2" x14ac:dyDescent="0.25">
      <c r="A52" s="151">
        <f t="shared" si="2"/>
        <v>44</v>
      </c>
      <c r="B52" s="150" t="str">
        <f>IFERROR(VLOOKUP(BDREGISTROASAMBLEA2025[[#This Row],[NROKARDEX]],BDPADRES[],8,FALSE),"Sin registrado")</f>
        <v>MARIA DEISY TERRAZAS GUTIERREZ</v>
      </c>
    </row>
    <row r="53" spans="1:2" x14ac:dyDescent="0.25">
      <c r="A53" s="151">
        <f t="shared" si="2"/>
        <v>45</v>
      </c>
      <c r="B53" s="150" t="str">
        <f>IFERROR(VLOOKUP(BDREGISTROASAMBLEA2025[[#This Row],[NROKARDEX]],BDPADRES[],8,FALSE),"Sin registrado")</f>
        <v>LIDIA ALVAREZ MONTAÑO</v>
      </c>
    </row>
    <row r="54" spans="1:2" x14ac:dyDescent="0.25">
      <c r="A54" s="151">
        <f t="shared" si="2"/>
        <v>46</v>
      </c>
      <c r="B54" s="150" t="str">
        <f>IFERROR(VLOOKUP(BDREGISTROASAMBLEA2025[[#This Row],[NROKARDEX]],BDPADRES[],8,FALSE),"Sin registrado")</f>
        <v>YESSICA AGUILAR ALVAREZ</v>
      </c>
    </row>
    <row r="55" spans="1:2" x14ac:dyDescent="0.25">
      <c r="A55" s="151">
        <f t="shared" si="2"/>
        <v>47</v>
      </c>
      <c r="B55" s="150" t="str">
        <f>IFERROR(VLOOKUP(BDREGISTROASAMBLEA2025[[#This Row],[NROKARDEX]],BDPADRES[],8,FALSE),"Sin registrado")</f>
        <v>EUNICE CARTAGENA RUIZ</v>
      </c>
    </row>
    <row r="56" spans="1:2" x14ac:dyDescent="0.25">
      <c r="A56" s="151">
        <f t="shared" si="2"/>
        <v>48</v>
      </c>
      <c r="B56" s="150" t="str">
        <f>IFERROR(VLOOKUP(BDREGISTROASAMBLEA2025[[#This Row],[NROKARDEX]],BDPADRES[],8,FALSE),"Sin registrado")</f>
        <v>SHEILA VANESSA VARGAS TITO</v>
      </c>
    </row>
    <row r="57" spans="1:2" x14ac:dyDescent="0.25">
      <c r="A57" s="151">
        <f t="shared" si="2"/>
        <v>49</v>
      </c>
      <c r="B57" s="150" t="str">
        <f>IFERROR(VLOOKUP(BDREGISTROASAMBLEA2025[[#This Row],[NROKARDEX]],BDPADRES[],8,FALSE),"Sin registrado")</f>
        <v>REINA MAMANI IPORRE</v>
      </c>
    </row>
    <row r="58" spans="1:2" x14ac:dyDescent="0.25">
      <c r="A58" s="151">
        <f t="shared" si="2"/>
        <v>50</v>
      </c>
      <c r="B58" s="150" t="str">
        <f>IFERROR(VLOOKUP(BDREGISTROASAMBLEA2025[[#This Row],[NROKARDEX]],BDPADRES[],8,FALSE),"Sin registrado")</f>
        <v>MARLENE TERESA GOMEZ CHOQUE</v>
      </c>
    </row>
    <row r="59" spans="1:2" x14ac:dyDescent="0.25">
      <c r="A59" s="151">
        <f t="shared" si="2"/>
        <v>51</v>
      </c>
      <c r="B59" s="150" t="str">
        <f>IFERROR(VLOOKUP(BDREGISTROASAMBLEA2025[[#This Row],[NROKARDEX]],BDPADRES[],8,FALSE),"Sin registrado")</f>
        <v>ELVA LLENES SALAZAR</v>
      </c>
    </row>
    <row r="60" spans="1:2" x14ac:dyDescent="0.25">
      <c r="A60" s="151">
        <f t="shared" si="2"/>
        <v>52</v>
      </c>
      <c r="B60" s="150" t="str">
        <f>IFERROR(VLOOKUP(BDREGISTROASAMBLEA2025[[#This Row],[NROKARDEX]],BDPADRES[],8,FALSE),"Sin registrado")</f>
        <v>MARTHA URQUIZU SALINAS</v>
      </c>
    </row>
    <row r="61" spans="1:2" x14ac:dyDescent="0.25">
      <c r="A61" s="151">
        <f t="shared" si="2"/>
        <v>53</v>
      </c>
      <c r="B61" s="150" t="str">
        <f>IFERROR(VLOOKUP(BDREGISTROASAMBLEA2025[[#This Row],[NROKARDEX]],BDPADRES[],8,FALSE),"Sin registrado")</f>
        <v>MARGOT ZEGARRA NUÑEZ</v>
      </c>
    </row>
    <row r="62" spans="1:2" x14ac:dyDescent="0.25">
      <c r="A62" s="151">
        <f t="shared" si="2"/>
        <v>54</v>
      </c>
      <c r="B62" s="150" t="str">
        <f>IFERROR(VLOOKUP(BDREGISTROASAMBLEA2025[[#This Row],[NROKARDEX]],BDPADRES[],8,FALSE),"Sin registrado")</f>
        <v>CECILIA CASTRO PINTO</v>
      </c>
    </row>
    <row r="63" spans="1:2" x14ac:dyDescent="0.25">
      <c r="A63" s="151">
        <f t="shared" si="2"/>
        <v>55</v>
      </c>
      <c r="B63" s="150" t="str">
        <f>IFERROR(VLOOKUP(BDREGISTROASAMBLEA2025[[#This Row],[NROKARDEX]],BDPADRES[],8,FALSE),"Sin registrado")</f>
        <v>ROSSE MARY BALDELOMAR VEIZAGA</v>
      </c>
    </row>
    <row r="64" spans="1:2" x14ac:dyDescent="0.25">
      <c r="A64" s="151">
        <f t="shared" si="2"/>
        <v>56</v>
      </c>
      <c r="B64" s="150" t="str">
        <f>IFERROR(VLOOKUP(BDREGISTROASAMBLEA2025[[#This Row],[NROKARDEX]],BDPADRES[],8,FALSE),"Sin registrado")</f>
        <v>CLAUDINA SANTOS</v>
      </c>
    </row>
    <row r="65" spans="1:2" x14ac:dyDescent="0.25">
      <c r="A65" s="151">
        <f t="shared" si="2"/>
        <v>57</v>
      </c>
      <c r="B65" s="150" t="str">
        <f>IFERROR(VLOOKUP(BDREGISTROASAMBLEA2025[[#This Row],[NROKARDEX]],BDPADRES[],8,FALSE),"Sin registrado")</f>
        <v>ALISON CABRERA CRUZ</v>
      </c>
    </row>
    <row r="66" spans="1:2" x14ac:dyDescent="0.25">
      <c r="A66" s="151">
        <f t="shared" si="2"/>
        <v>58</v>
      </c>
      <c r="B66" s="150" t="str">
        <f>IFERROR(VLOOKUP(BDREGISTROASAMBLEA2025[[#This Row],[NROKARDEX]],BDPADRES[],8,FALSE),"Sin registrado")</f>
        <v>ANA MARIA ROMERO AVILA</v>
      </c>
    </row>
    <row r="67" spans="1:2" x14ac:dyDescent="0.25">
      <c r="A67" s="151">
        <f t="shared" si="2"/>
        <v>59</v>
      </c>
      <c r="B67" s="150" t="str">
        <f>IFERROR(VLOOKUP(BDREGISTROASAMBLEA2025[[#This Row],[NROKARDEX]],BDPADRES[],8,FALSE),"Sin registrado")</f>
        <v>MARGARITA AVARIPA CRUZ</v>
      </c>
    </row>
    <row r="68" spans="1:2" x14ac:dyDescent="0.25">
      <c r="A68" s="151">
        <f t="shared" si="2"/>
        <v>60</v>
      </c>
      <c r="B68" s="150" t="str">
        <f>IFERROR(VLOOKUP(BDREGISTROASAMBLEA2025[[#This Row],[NROKARDEX]],BDPADRES[],8,FALSE),"Sin registrado")</f>
        <v>ANAHI LIJERON RAMIREZ</v>
      </c>
    </row>
    <row r="69" spans="1:2" x14ac:dyDescent="0.25">
      <c r="A69" s="151">
        <f t="shared" si="2"/>
        <v>61</v>
      </c>
      <c r="B69" s="150" t="str">
        <f>IFERROR(VLOOKUP(BDREGISTROASAMBLEA2025[[#This Row],[NROKARDEX]],BDPADRES[],8,FALSE),"Sin registrado")</f>
        <v>NILDA HUAYHUA ARENAS</v>
      </c>
    </row>
    <row r="70" spans="1:2" x14ac:dyDescent="0.25">
      <c r="A70" s="151">
        <f t="shared" si="2"/>
        <v>62</v>
      </c>
      <c r="B70" s="150" t="str">
        <f>IFERROR(VLOOKUP(BDREGISTROASAMBLEA2025[[#This Row],[NROKARDEX]],BDPADRES[],8,FALSE),"Sin registrado")</f>
        <v>EDITH  ESCOBAR CESPEDES</v>
      </c>
    </row>
    <row r="71" spans="1:2" x14ac:dyDescent="0.25">
      <c r="A71" s="151">
        <f t="shared" si="2"/>
        <v>63</v>
      </c>
      <c r="B71" s="150" t="str">
        <f>IFERROR(VLOOKUP(BDREGISTROASAMBLEA2025[[#This Row],[NROKARDEX]],BDPADRES[],8,FALSE),"Sin registrado")</f>
        <v>SIMONA ARIAS RENGIPO</v>
      </c>
    </row>
    <row r="72" spans="1:2" x14ac:dyDescent="0.25">
      <c r="A72" s="151">
        <f t="shared" si="2"/>
        <v>64</v>
      </c>
      <c r="B72" s="150" t="str">
        <f>IFERROR(VLOOKUP(BDREGISTROASAMBLEA2025[[#This Row],[NROKARDEX]],BDPADRES[],8,FALSE),"Sin registrado")</f>
        <v>JUANA MARTINEZ FERNANDEZ</v>
      </c>
    </row>
    <row r="73" spans="1:2" x14ac:dyDescent="0.25">
      <c r="A73" s="151">
        <f t="shared" si="2"/>
        <v>65</v>
      </c>
      <c r="B73" s="150" t="str">
        <f>IFERROR(VLOOKUP(BDREGISTROASAMBLEA2025[[#This Row],[NROKARDEX]],BDPADRES[],8,FALSE),"Sin registrado")</f>
        <v>MARGARITA DAZA VEDIA</v>
      </c>
    </row>
    <row r="74" spans="1:2" x14ac:dyDescent="0.25">
      <c r="A74" s="151">
        <f t="shared" si="2"/>
        <v>66</v>
      </c>
      <c r="B74" s="150" t="str">
        <f>IFERROR(VLOOKUP(BDREGISTROASAMBLEA2025[[#This Row],[NROKARDEX]],BDPADRES[],8,FALSE),"Sin registrado")</f>
        <v>JAHEL  ACHO RODRIGUEZ</v>
      </c>
    </row>
    <row r="75" spans="1:2" x14ac:dyDescent="0.25">
      <c r="A75" s="151">
        <f t="shared" si="2"/>
        <v>67</v>
      </c>
      <c r="B75" s="150" t="str">
        <f>IFERROR(VLOOKUP(BDREGISTROASAMBLEA2025[[#This Row],[NROKARDEX]],BDPADRES[],8,FALSE),"Sin registrado")</f>
        <v>SIN NOMBRE PACO</v>
      </c>
    </row>
    <row r="76" spans="1:2" x14ac:dyDescent="0.25">
      <c r="A76" s="151">
        <f t="shared" si="2"/>
        <v>68</v>
      </c>
      <c r="B76" s="150" t="str">
        <f>IFERROR(VLOOKUP(BDREGISTROASAMBLEA2025[[#This Row],[NROKARDEX]],BDPADRES[],8,FALSE),"Sin registrado")</f>
        <v>LISBETH ALCOBA CESPEDES</v>
      </c>
    </row>
    <row r="77" spans="1:2" x14ac:dyDescent="0.25">
      <c r="A77" s="151">
        <f t="shared" si="2"/>
        <v>69</v>
      </c>
      <c r="B77" s="150" t="str">
        <f>IFERROR(VLOOKUP(BDREGISTROASAMBLEA2025[[#This Row],[NROKARDEX]],BDPADRES[],8,FALSE),"Sin registrado")</f>
        <v>MARIA MERCEDES PUMACAYO PERALTA</v>
      </c>
    </row>
    <row r="78" spans="1:2" x14ac:dyDescent="0.25">
      <c r="A78" s="151">
        <f t="shared" si="2"/>
        <v>70</v>
      </c>
      <c r="B78" s="150" t="str">
        <f>IFERROR(VLOOKUP(BDREGISTROASAMBLEA2025[[#This Row],[NROKARDEX]],BDPADRES[],8,FALSE),"Sin registrado")</f>
        <v>CRECENCIA AVALOS GARNICA</v>
      </c>
    </row>
    <row r="79" spans="1:2" x14ac:dyDescent="0.25">
      <c r="A79" s="151">
        <f t="shared" si="2"/>
        <v>71</v>
      </c>
      <c r="B79" s="150" t="str">
        <f>IFERROR(VLOOKUP(BDREGISTROASAMBLEA2025[[#This Row],[NROKARDEX]],BDPADRES[],8,FALSE),"Sin registrado")</f>
        <v>TEOLINDA HUAILLA LOPEZ</v>
      </c>
    </row>
    <row r="80" spans="1:2" x14ac:dyDescent="0.25">
      <c r="A80" s="151">
        <f t="shared" si="2"/>
        <v>72</v>
      </c>
      <c r="B80" s="150" t="str">
        <f>IFERROR(VLOOKUP(BDREGISTROASAMBLEA2025[[#This Row],[NROKARDEX]],BDPADRES[],8,FALSE),"Sin registrado")</f>
        <v xml:space="preserve">SIN NOMBRE  PUMACAYO  </v>
      </c>
    </row>
    <row r="81" spans="1:2" x14ac:dyDescent="0.25">
      <c r="A81" s="151">
        <f t="shared" si="2"/>
        <v>73</v>
      </c>
      <c r="B81" s="150" t="str">
        <f>IFERROR(VLOOKUP(BDREGISTROASAMBLEA2025[[#This Row],[NROKARDEX]],BDPADRES[],8,FALSE),"Sin registrado")</f>
        <v>SIDELA RAMIREZ FLORES</v>
      </c>
    </row>
    <row r="82" spans="1:2" x14ac:dyDescent="0.25">
      <c r="A82" s="151">
        <f t="shared" si="2"/>
        <v>74</v>
      </c>
      <c r="B82" s="150" t="str">
        <f>IFERROR(VLOOKUP(BDREGISTROASAMBLEA2025[[#This Row],[NROKARDEX]],BDPADRES[],8,FALSE),"Sin registrado")</f>
        <v>ELIZABETH RODRIGUEZ RODRIGUEZ</v>
      </c>
    </row>
    <row r="83" spans="1:2" x14ac:dyDescent="0.25">
      <c r="A83" s="151">
        <f t="shared" si="2"/>
        <v>75</v>
      </c>
      <c r="B83" s="150" t="str">
        <f>IFERROR(VLOOKUP(BDREGISTROASAMBLEA2025[[#This Row],[NROKARDEX]],BDPADRES[],8,FALSE),"Sin registrado")</f>
        <v>MARGARITA ISABEL RIBERA TERCEROS</v>
      </c>
    </row>
    <row r="84" spans="1:2" x14ac:dyDescent="0.25">
      <c r="A84" s="151">
        <f t="shared" si="2"/>
        <v>76</v>
      </c>
      <c r="B84" s="150" t="str">
        <f>IFERROR(VLOOKUP(BDREGISTROASAMBLEA2025[[#This Row],[NROKARDEX]],BDPADRES[],8,FALSE),"Sin registrado")</f>
        <v>YSABEL CEREZO RIVAS</v>
      </c>
    </row>
    <row r="85" spans="1:2" x14ac:dyDescent="0.25">
      <c r="A85" s="151">
        <f t="shared" si="2"/>
        <v>77</v>
      </c>
      <c r="B85" s="150" t="str">
        <f>IFERROR(VLOOKUP(BDREGISTROASAMBLEA2025[[#This Row],[NROKARDEX]],BDPADRES[],8,FALSE),"Sin registrado")</f>
        <v>LIDIA MEDINA NOVA</v>
      </c>
    </row>
    <row r="86" spans="1:2" x14ac:dyDescent="0.25">
      <c r="A86" s="151">
        <f t="shared" si="2"/>
        <v>78</v>
      </c>
      <c r="B86" s="150" t="str">
        <f>IFERROR(VLOOKUP(BDREGISTROASAMBLEA2025[[#This Row],[NROKARDEX]],BDPADRES[],8,FALSE),"Sin registrado")</f>
        <v>ROXANA PINTO FLORES</v>
      </c>
    </row>
    <row r="87" spans="1:2" x14ac:dyDescent="0.25">
      <c r="A87" s="151">
        <f t="shared" si="2"/>
        <v>79</v>
      </c>
      <c r="B87" s="150" t="str">
        <f>IFERROR(VLOOKUP(BDREGISTROASAMBLEA2025[[#This Row],[NROKARDEX]],BDPADRES[],8,FALSE),"Sin registrado")</f>
        <v>AGUSTINA MARTINEZ MILLARES</v>
      </c>
    </row>
    <row r="88" spans="1:2" x14ac:dyDescent="0.25">
      <c r="A88" s="151">
        <f t="shared" si="2"/>
        <v>80</v>
      </c>
      <c r="B88" s="150" t="str">
        <f>IFERROR(VLOOKUP(BDREGISTROASAMBLEA2025[[#This Row],[NROKARDEX]],BDPADRES[],8,FALSE),"Sin registrado")</f>
        <v>MIGUELINA GUERRERO RODA</v>
      </c>
    </row>
    <row r="89" spans="1:2" x14ac:dyDescent="0.25">
      <c r="A89" s="151">
        <f t="shared" si="2"/>
        <v>81</v>
      </c>
      <c r="B89" s="150" t="str">
        <f>IFERROR(VLOOKUP(BDREGISTROASAMBLEA2025[[#This Row],[NROKARDEX]],BDPADRES[],8,FALSE),"Sin registrado")</f>
        <v>CATALINA MAMANI OCHOA</v>
      </c>
    </row>
    <row r="90" spans="1:2" x14ac:dyDescent="0.25">
      <c r="A90" s="151">
        <f t="shared" si="2"/>
        <v>82</v>
      </c>
      <c r="B90" s="150" t="str">
        <f>IFERROR(VLOOKUP(BDREGISTROASAMBLEA2025[[#This Row],[NROKARDEX]],BDPADRES[],8,FALSE),"Sin registrado")</f>
        <v>MARTHA FIGUEROA GUZMAN</v>
      </c>
    </row>
    <row r="91" spans="1:2" x14ac:dyDescent="0.25">
      <c r="A91" s="151">
        <f t="shared" si="2"/>
        <v>83</v>
      </c>
      <c r="B91" s="150" t="str">
        <f>IFERROR(VLOOKUP(BDREGISTROASAMBLEA2025[[#This Row],[NROKARDEX]],BDPADRES[],8,FALSE),"Sin registrado")</f>
        <v>ROSMERY CAMARGO CARBALLO</v>
      </c>
    </row>
    <row r="92" spans="1:2" x14ac:dyDescent="0.25">
      <c r="A92" s="151">
        <f t="shared" si="2"/>
        <v>84</v>
      </c>
      <c r="B92" s="150" t="str">
        <f>IFERROR(VLOOKUP(BDREGISTROASAMBLEA2025[[#This Row],[NROKARDEX]],BDPADRES[],8,FALSE),"Sin registrado")</f>
        <v>ELIZABETH MERCADO LOPEZ</v>
      </c>
    </row>
    <row r="93" spans="1:2" x14ac:dyDescent="0.25">
      <c r="A93" s="151">
        <f t="shared" si="2"/>
        <v>85</v>
      </c>
      <c r="B93" s="150" t="str">
        <f>IFERROR(VLOOKUP(BDREGISTROASAMBLEA2025[[#This Row],[NROKARDEX]],BDPADRES[],8,FALSE),"Sin registrado")</f>
        <v>ARACELI LIMON AVALOS</v>
      </c>
    </row>
    <row r="94" spans="1:2" x14ac:dyDescent="0.25">
      <c r="A94" s="151">
        <f t="shared" ref="A94:A157" si="3">ROW(A86)</f>
        <v>86</v>
      </c>
      <c r="B94" s="150" t="str">
        <f>IFERROR(VLOOKUP(BDREGISTROASAMBLEA2025[[#This Row],[NROKARDEX]],BDPADRES[],8,FALSE),"Sin registrado")</f>
        <v>VICENTA MOSCOSO ROMERO</v>
      </c>
    </row>
    <row r="95" spans="1:2" x14ac:dyDescent="0.25">
      <c r="A95" s="151">
        <f t="shared" si="3"/>
        <v>87</v>
      </c>
      <c r="B95" s="150" t="str">
        <f>IFERROR(VLOOKUP(BDREGISTROASAMBLEA2025[[#This Row],[NROKARDEX]],BDPADRES[],8,FALSE),"Sin registrado")</f>
        <v>FLOR MARIA MOJICA GARCIA</v>
      </c>
    </row>
    <row r="96" spans="1:2" x14ac:dyDescent="0.25">
      <c r="A96" s="151">
        <f t="shared" si="3"/>
        <v>88</v>
      </c>
      <c r="B96" s="150" t="str">
        <f>IFERROR(VLOOKUP(BDREGISTROASAMBLEA2025[[#This Row],[NROKARDEX]],BDPADRES[],8,FALSE),"Sin registrado")</f>
        <v>ROSXANA MOJIANO MOSCOSO</v>
      </c>
    </row>
    <row r="97" spans="1:2" x14ac:dyDescent="0.25">
      <c r="A97" s="151">
        <f t="shared" si="3"/>
        <v>89</v>
      </c>
      <c r="B97" s="150" t="str">
        <f>IFERROR(VLOOKUP(BDREGISTROASAMBLEA2025[[#This Row],[NROKARDEX]],BDPADRES[],8,FALSE),"Sin registrado")</f>
        <v>YENNY ROJAS CLAURE</v>
      </c>
    </row>
    <row r="98" spans="1:2" x14ac:dyDescent="0.25">
      <c r="A98" s="151">
        <f t="shared" si="3"/>
        <v>90</v>
      </c>
      <c r="B98" s="150" t="str">
        <f>IFERROR(VLOOKUP(BDREGISTROASAMBLEA2025[[#This Row],[NROKARDEX]],BDPADRES[],8,FALSE),"Sin registrado")</f>
        <v>SILVIA CARI CARI COLQUE</v>
      </c>
    </row>
    <row r="99" spans="1:2" x14ac:dyDescent="0.25">
      <c r="A99" s="151">
        <f t="shared" si="3"/>
        <v>91</v>
      </c>
      <c r="B99" s="150" t="str">
        <f>IFERROR(VLOOKUP(BDREGISTROASAMBLEA2025[[#This Row],[NROKARDEX]],BDPADRES[],8,FALSE),"Sin registrado")</f>
        <v>VERENICE DORADO MONTENEGRO</v>
      </c>
    </row>
    <row r="100" spans="1:2" x14ac:dyDescent="0.25">
      <c r="A100" s="151">
        <f t="shared" si="3"/>
        <v>92</v>
      </c>
      <c r="B100" s="150" t="str">
        <f>IFERROR(VLOOKUP(BDREGISTROASAMBLEA2025[[#This Row],[NROKARDEX]],BDPADRES[],8,FALSE),"Sin registrado")</f>
        <v>DANIELA APAZA MIRANDA</v>
      </c>
    </row>
    <row r="101" spans="1:2" x14ac:dyDescent="0.25">
      <c r="A101" s="151">
        <f t="shared" si="3"/>
        <v>93</v>
      </c>
      <c r="B101" s="150" t="str">
        <f>IFERROR(VLOOKUP(BDREGISTROASAMBLEA2025[[#This Row],[NROKARDEX]],BDPADRES[],8,FALSE),"Sin registrado")</f>
        <v>DORA TERAN NOMTENEGRO</v>
      </c>
    </row>
    <row r="102" spans="1:2" x14ac:dyDescent="0.25">
      <c r="A102" s="151">
        <f t="shared" si="3"/>
        <v>94</v>
      </c>
      <c r="B102" s="150" t="str">
        <f>IFERROR(VLOOKUP(BDREGISTROASAMBLEA2025[[#This Row],[NROKARDEX]],BDPADRES[],8,FALSE),"Sin registrado")</f>
        <v>Sin registrado</v>
      </c>
    </row>
    <row r="103" spans="1:2" x14ac:dyDescent="0.25">
      <c r="A103" s="151">
        <f t="shared" si="3"/>
        <v>95</v>
      </c>
      <c r="B103" s="150" t="str">
        <f>IFERROR(VLOOKUP(BDREGISTROASAMBLEA2025[[#This Row],[NROKARDEX]],BDPADRES[],8,FALSE),"Sin registrado")</f>
        <v>MARGARITA CHUMBE LOPEZ</v>
      </c>
    </row>
    <row r="104" spans="1:2" x14ac:dyDescent="0.25">
      <c r="A104" s="151">
        <f t="shared" si="3"/>
        <v>96</v>
      </c>
      <c r="B104" s="150" t="str">
        <f>IFERROR(VLOOKUP(BDREGISTROASAMBLEA2025[[#This Row],[NROKARDEX]],BDPADRES[],8,FALSE),"Sin registrado")</f>
        <v>AURORA URIONA VELASQUEZ</v>
      </c>
    </row>
    <row r="105" spans="1:2" x14ac:dyDescent="0.25">
      <c r="A105" s="151">
        <f t="shared" si="3"/>
        <v>97</v>
      </c>
      <c r="B105" s="150" t="str">
        <f>IFERROR(VLOOKUP(BDREGISTROASAMBLEA2025[[#This Row],[NROKARDEX]],BDPADRES[],8,FALSE),"Sin registrado")</f>
        <v>CELESTINA ARIMOZA CARBALLO</v>
      </c>
    </row>
    <row r="106" spans="1:2" x14ac:dyDescent="0.25">
      <c r="A106" s="151">
        <f t="shared" si="3"/>
        <v>98</v>
      </c>
      <c r="B106" s="150" t="str">
        <f>IFERROR(VLOOKUP(BDREGISTROASAMBLEA2025[[#This Row],[NROKARDEX]],BDPADRES[],8,FALSE),"Sin registrado")</f>
        <v>CARMEN GALARZA GALVIS</v>
      </c>
    </row>
    <row r="107" spans="1:2" x14ac:dyDescent="0.25">
      <c r="A107" s="151">
        <f t="shared" si="3"/>
        <v>99</v>
      </c>
      <c r="B107" s="150" t="str">
        <f>IFERROR(VLOOKUP(BDREGISTROASAMBLEA2025[[#This Row],[NROKARDEX]],BDPADRES[],8,FALSE),"Sin registrado")</f>
        <v>MARIA ELSA GARCIA CUCHALLO</v>
      </c>
    </row>
    <row r="108" spans="1:2" x14ac:dyDescent="0.25">
      <c r="A108" s="151">
        <f t="shared" si="3"/>
        <v>100</v>
      </c>
      <c r="B108" s="150" t="str">
        <f>IFERROR(VLOOKUP(BDREGISTROASAMBLEA2025[[#This Row],[NROKARDEX]],BDPADRES[],8,FALSE),"Sin registrado")</f>
        <v>LOURDES BALDERAS VEDIA</v>
      </c>
    </row>
    <row r="109" spans="1:2" x14ac:dyDescent="0.25">
      <c r="A109" s="151">
        <f t="shared" si="3"/>
        <v>101</v>
      </c>
      <c r="B109" s="150" t="str">
        <f>IFERROR(VLOOKUP(BDREGISTROASAMBLEA2025[[#This Row],[NROKARDEX]],BDPADRES[],8,FALSE),"Sin registrado")</f>
        <v>CLEOFE AZURDUY REVOLLO</v>
      </c>
    </row>
    <row r="110" spans="1:2" x14ac:dyDescent="0.25">
      <c r="A110" s="151">
        <f t="shared" si="3"/>
        <v>102</v>
      </c>
      <c r="B110" s="150" t="str">
        <f>IFERROR(VLOOKUP(BDREGISTROASAMBLEA2025[[#This Row],[NROKARDEX]],BDPADRES[],8,FALSE),"Sin registrado")</f>
        <v>LAURA CORCHADO BEJARANO</v>
      </c>
    </row>
    <row r="111" spans="1:2" x14ac:dyDescent="0.25">
      <c r="A111" s="151">
        <f t="shared" si="3"/>
        <v>103</v>
      </c>
      <c r="B111" s="150" t="str">
        <f>IFERROR(VLOOKUP(BDREGISTROASAMBLEA2025[[#This Row],[NROKARDEX]],BDPADRES[],8,FALSE),"Sin registrado")</f>
        <v>VERONICA CHAMBI PACO</v>
      </c>
    </row>
    <row r="112" spans="1:2" x14ac:dyDescent="0.25">
      <c r="A112" s="151">
        <f t="shared" si="3"/>
        <v>104</v>
      </c>
      <c r="B112" s="150" t="str">
        <f>IFERROR(VLOOKUP(BDREGISTROASAMBLEA2025[[#This Row],[NROKARDEX]],BDPADRES[],8,FALSE),"Sin registrado")</f>
        <v>LUCI ROCIO ROMERO AVILA</v>
      </c>
    </row>
    <row r="113" spans="1:2" x14ac:dyDescent="0.25">
      <c r="A113" s="151">
        <f t="shared" si="3"/>
        <v>105</v>
      </c>
      <c r="B113" s="150" t="str">
        <f>IFERROR(VLOOKUP(BDREGISTROASAMBLEA2025[[#This Row],[NROKARDEX]],BDPADRES[],8,FALSE),"Sin registrado")</f>
        <v>MARIBEL ROSARIO HERRERA REBOLLO</v>
      </c>
    </row>
    <row r="114" spans="1:2" x14ac:dyDescent="0.25">
      <c r="A114" s="151">
        <f t="shared" si="3"/>
        <v>106</v>
      </c>
      <c r="B114" s="150" t="str">
        <f>IFERROR(VLOOKUP(BDREGISTROASAMBLEA2025[[#This Row],[NROKARDEX]],BDPADRES[],8,FALSE),"Sin registrado")</f>
        <v>ANABEL RUTH CHIRINO FLORES</v>
      </c>
    </row>
    <row r="115" spans="1:2" x14ac:dyDescent="0.25">
      <c r="A115" s="151">
        <f t="shared" si="3"/>
        <v>107</v>
      </c>
      <c r="B115" s="150" t="str">
        <f>IFERROR(VLOOKUP(BDREGISTROASAMBLEA2025[[#This Row],[NROKARDEX]],BDPADRES[],8,FALSE),"Sin registrado")</f>
        <v>ELVIRA JUDITHY LUCANO UÑO</v>
      </c>
    </row>
    <row r="116" spans="1:2" x14ac:dyDescent="0.25">
      <c r="A116" s="151">
        <f t="shared" si="3"/>
        <v>108</v>
      </c>
      <c r="B116" s="150" t="str">
        <f>IFERROR(VLOOKUP(BDREGISTROASAMBLEA2025[[#This Row],[NROKARDEX]],BDPADRES[],8,FALSE),"Sin registrado")</f>
        <v>CLAUDIA VERONICA FLORES TASEO</v>
      </c>
    </row>
    <row r="117" spans="1:2" x14ac:dyDescent="0.25">
      <c r="A117" s="151">
        <f t="shared" si="3"/>
        <v>109</v>
      </c>
      <c r="B117" s="150" t="str">
        <f>IFERROR(VLOOKUP(BDREGISTROASAMBLEA2025[[#This Row],[NROKARDEX]],BDPADRES[],8,FALSE),"Sin registrado")</f>
        <v>ELVIRA MAMANI ANCASI</v>
      </c>
    </row>
    <row r="118" spans="1:2" x14ac:dyDescent="0.25">
      <c r="A118" s="151">
        <f t="shared" si="3"/>
        <v>110</v>
      </c>
      <c r="B118" s="150" t="str">
        <f>IFERROR(VLOOKUP(BDREGISTROASAMBLEA2025[[#This Row],[NROKARDEX]],BDPADRES[],8,FALSE),"Sin registrado")</f>
        <v>JOSSELIN ROSARIO CLAURE</v>
      </c>
    </row>
    <row r="119" spans="1:2" x14ac:dyDescent="0.25">
      <c r="A119" s="151">
        <f t="shared" si="3"/>
        <v>111</v>
      </c>
      <c r="B119" s="150" t="str">
        <f>IFERROR(VLOOKUP(BDREGISTROASAMBLEA2025[[#This Row],[NROKARDEX]],BDPADRES[],8,FALSE),"Sin registrado")</f>
        <v>MONICA PEÑA COPA</v>
      </c>
    </row>
    <row r="120" spans="1:2" x14ac:dyDescent="0.25">
      <c r="A120" s="151">
        <f t="shared" si="3"/>
        <v>112</v>
      </c>
      <c r="B120" s="150" t="str">
        <f>IFERROR(VLOOKUP(BDREGISTROASAMBLEA2025[[#This Row],[NROKARDEX]],BDPADRES[],8,FALSE),"Sin registrado")</f>
        <v>ESTELA OSINAGA CASTRO</v>
      </c>
    </row>
    <row r="121" spans="1:2" x14ac:dyDescent="0.25">
      <c r="A121" s="151">
        <f t="shared" si="3"/>
        <v>113</v>
      </c>
      <c r="B121" s="150" t="str">
        <f>IFERROR(VLOOKUP(BDREGISTROASAMBLEA2025[[#This Row],[NROKARDEX]],BDPADRES[],8,FALSE),"Sin registrado")</f>
        <v>FELIPA ACHACOLLO COLQUE</v>
      </c>
    </row>
    <row r="122" spans="1:2" x14ac:dyDescent="0.25">
      <c r="A122" s="151">
        <f t="shared" si="3"/>
        <v>114</v>
      </c>
      <c r="B122" s="150" t="str">
        <f>IFERROR(VLOOKUP(BDREGISTROASAMBLEA2025[[#This Row],[NROKARDEX]],BDPADRES[],8,FALSE),"Sin registrado")</f>
        <v>GUADALUPE MENECES URIONA</v>
      </c>
    </row>
    <row r="123" spans="1:2" x14ac:dyDescent="0.25">
      <c r="A123" s="151">
        <f t="shared" si="3"/>
        <v>115</v>
      </c>
      <c r="B123" s="150" t="str">
        <f>IFERROR(VLOOKUP(BDREGISTROASAMBLEA2025[[#This Row],[NROKARDEX]],BDPADRES[],8,FALSE),"Sin registrado")</f>
        <v>SIRLE YAQUELIN VARGAS RODRIGUEZ</v>
      </c>
    </row>
    <row r="124" spans="1:2" x14ac:dyDescent="0.25">
      <c r="A124" s="151">
        <f t="shared" si="3"/>
        <v>116</v>
      </c>
      <c r="B124" s="150" t="str">
        <f>IFERROR(VLOOKUP(BDREGISTROASAMBLEA2025[[#This Row],[NROKARDEX]],BDPADRES[],8,FALSE),"Sin registrado")</f>
        <v>JUSTINA CUELLAR AVILA</v>
      </c>
    </row>
    <row r="125" spans="1:2" x14ac:dyDescent="0.25">
      <c r="A125" s="151">
        <f t="shared" si="3"/>
        <v>117</v>
      </c>
      <c r="B125" s="150" t="str">
        <f>IFERROR(VLOOKUP(BDREGISTROASAMBLEA2025[[#This Row],[NROKARDEX]],BDPADRES[],8,FALSE),"Sin registrado")</f>
        <v>ANGELICA MARQUEZ ACHO</v>
      </c>
    </row>
    <row r="126" spans="1:2" x14ac:dyDescent="0.25">
      <c r="A126" s="151">
        <f t="shared" si="3"/>
        <v>118</v>
      </c>
      <c r="B126" s="150" t="str">
        <f>IFERROR(VLOOKUP(BDREGISTROASAMBLEA2025[[#This Row],[NROKARDEX]],BDPADRES[],8,FALSE),"Sin registrado")</f>
        <v>MERCEDES ROCHA SANGUINO</v>
      </c>
    </row>
    <row r="127" spans="1:2" x14ac:dyDescent="0.25">
      <c r="A127" s="151">
        <f t="shared" si="3"/>
        <v>119</v>
      </c>
      <c r="B127" s="150" t="str">
        <f>IFERROR(VLOOKUP(BDREGISTROASAMBLEA2025[[#This Row],[NROKARDEX]],BDPADRES[],8,FALSE),"Sin registrado")</f>
        <v>LIDIA GARCIA</v>
      </c>
    </row>
    <row r="128" spans="1:2" x14ac:dyDescent="0.25">
      <c r="A128" s="151">
        <f t="shared" si="3"/>
        <v>120</v>
      </c>
      <c r="B128" s="150" t="str">
        <f>IFERROR(VLOOKUP(BDREGISTROASAMBLEA2025[[#This Row],[NROKARDEX]],BDPADRES[],8,FALSE),"Sin registrado")</f>
        <v>ELVA CLAROS ORELLANA</v>
      </c>
    </row>
    <row r="129" spans="1:2" x14ac:dyDescent="0.25">
      <c r="A129" s="151">
        <f t="shared" si="3"/>
        <v>121</v>
      </c>
      <c r="B129" s="150" t="str">
        <f>IFERROR(VLOOKUP(BDREGISTROASAMBLEA2025[[#This Row],[NROKARDEX]],BDPADRES[],8,FALSE),"Sin registrado")</f>
        <v>MARIA JESUS BAIGORIA HURTADO</v>
      </c>
    </row>
    <row r="130" spans="1:2" x14ac:dyDescent="0.25">
      <c r="A130" s="151">
        <f t="shared" si="3"/>
        <v>122</v>
      </c>
      <c r="B130" s="150" t="str">
        <f>IFERROR(VLOOKUP(BDREGISTROASAMBLEA2025[[#This Row],[NROKARDEX]],BDPADRES[],8,FALSE),"Sin registrado")</f>
        <v>ILDA PIZARRO COPA</v>
      </c>
    </row>
    <row r="131" spans="1:2" x14ac:dyDescent="0.25">
      <c r="A131" s="151">
        <f t="shared" si="3"/>
        <v>123</v>
      </c>
      <c r="B131" s="150" t="str">
        <f>IFERROR(VLOOKUP(BDREGISTROASAMBLEA2025[[#This Row],[NROKARDEX]],BDPADRES[],8,FALSE),"Sin registrado")</f>
        <v>NERIA  CUBA ROMERO</v>
      </c>
    </row>
    <row r="132" spans="1:2" x14ac:dyDescent="0.25">
      <c r="A132" s="151">
        <f t="shared" si="3"/>
        <v>124</v>
      </c>
      <c r="B132" s="150" t="str">
        <f>IFERROR(VLOOKUP(BDREGISTROASAMBLEA2025[[#This Row],[NROKARDEX]],BDPADRES[],8,FALSE),"Sin registrado")</f>
        <v>MARIA ISABEL CARABALLO FLORES</v>
      </c>
    </row>
    <row r="133" spans="1:2" x14ac:dyDescent="0.25">
      <c r="A133" s="151">
        <f t="shared" si="3"/>
        <v>125</v>
      </c>
      <c r="B133" s="150" t="str">
        <f>IFERROR(VLOOKUP(BDREGISTROASAMBLEA2025[[#This Row],[NROKARDEX]],BDPADRES[],8,FALSE),"Sin registrado")</f>
        <v>JACQUELIN LILIAN FIGUEROA SARDINAS</v>
      </c>
    </row>
    <row r="134" spans="1:2" x14ac:dyDescent="0.25">
      <c r="A134" s="151">
        <f t="shared" si="3"/>
        <v>126</v>
      </c>
      <c r="B134" s="150" t="str">
        <f>IFERROR(VLOOKUP(BDREGISTROASAMBLEA2025[[#This Row],[NROKARDEX]],BDPADRES[],8,FALSE),"Sin registrado")</f>
        <v>MARICELA FLORES GALVEZ</v>
      </c>
    </row>
    <row r="135" spans="1:2" x14ac:dyDescent="0.25">
      <c r="A135" s="151">
        <f t="shared" si="3"/>
        <v>127</v>
      </c>
      <c r="B135" s="150" t="str">
        <f>IFERROR(VLOOKUP(BDREGISTROASAMBLEA2025[[#This Row],[NROKARDEX]],BDPADRES[],8,FALSE),"Sin registrado")</f>
        <v>YESSICA  PAOLA SILVESTRE CHOQUE</v>
      </c>
    </row>
    <row r="136" spans="1:2" x14ac:dyDescent="0.25">
      <c r="A136" s="151">
        <f t="shared" si="3"/>
        <v>128</v>
      </c>
      <c r="B136" s="150" t="str">
        <f>IFERROR(VLOOKUP(BDREGISTROASAMBLEA2025[[#This Row],[NROKARDEX]],BDPADRES[],8,FALSE),"Sin registrado")</f>
        <v>ANGELICA CABRERA VEIZAGA</v>
      </c>
    </row>
    <row r="137" spans="1:2" x14ac:dyDescent="0.25">
      <c r="A137" s="151">
        <f t="shared" si="3"/>
        <v>129</v>
      </c>
      <c r="B137" s="150" t="str">
        <f>IFERROR(VLOOKUP(BDREGISTROASAMBLEA2025[[#This Row],[NROKARDEX]],BDPADRES[],8,FALSE),"Sin registrado")</f>
        <v>MIREYA MARTINEZ VARGAS</v>
      </c>
    </row>
    <row r="138" spans="1:2" x14ac:dyDescent="0.25">
      <c r="A138" s="151">
        <f t="shared" si="3"/>
        <v>130</v>
      </c>
      <c r="B138" s="150" t="str">
        <f>IFERROR(VLOOKUP(BDREGISTROASAMBLEA2025[[#This Row],[NROKARDEX]],BDPADRES[],8,FALSE),"Sin registrado")</f>
        <v>REYNA ESPINOZA LLANOS</v>
      </c>
    </row>
    <row r="139" spans="1:2" x14ac:dyDescent="0.25">
      <c r="A139" s="151">
        <f t="shared" si="3"/>
        <v>131</v>
      </c>
      <c r="B139" s="150" t="str">
        <f>IFERROR(VLOOKUP(BDREGISTROASAMBLEA2025[[#This Row],[NROKARDEX]],BDPADRES[],8,FALSE),"Sin registrado")</f>
        <v>SANTUSA LLANOS VELASQUEZ</v>
      </c>
    </row>
    <row r="140" spans="1:2" x14ac:dyDescent="0.25">
      <c r="A140" s="151">
        <f t="shared" si="3"/>
        <v>132</v>
      </c>
      <c r="B140" s="150" t="str">
        <f>IFERROR(VLOOKUP(BDREGISTROASAMBLEA2025[[#This Row],[NROKARDEX]],BDPADRES[],8,FALSE),"Sin registrado")</f>
        <v>LISETH  VEQUI MAMANI</v>
      </c>
    </row>
    <row r="141" spans="1:2" x14ac:dyDescent="0.25">
      <c r="A141" s="151">
        <f t="shared" si="3"/>
        <v>133</v>
      </c>
      <c r="B141" s="150" t="str">
        <f>IFERROR(VLOOKUP(BDREGISTROASAMBLEA2025[[#This Row],[NROKARDEX]],BDPADRES[],8,FALSE),"Sin registrado")</f>
        <v>HELEN JAEL MONTAÑO CUELLAR</v>
      </c>
    </row>
    <row r="142" spans="1:2" x14ac:dyDescent="0.25">
      <c r="A142" s="151">
        <f t="shared" si="3"/>
        <v>134</v>
      </c>
      <c r="B142" s="150" t="str">
        <f>IFERROR(VLOOKUP(BDREGISTROASAMBLEA2025[[#This Row],[NROKARDEX]],BDPADRES[],8,FALSE),"Sin registrado")</f>
        <v>ESTHER MAMANI GIRA</v>
      </c>
    </row>
    <row r="143" spans="1:2" x14ac:dyDescent="0.25">
      <c r="A143" s="151">
        <f t="shared" si="3"/>
        <v>135</v>
      </c>
      <c r="B143" s="150" t="str">
        <f>IFERROR(VLOOKUP(BDREGISTROASAMBLEA2025[[#This Row],[NROKARDEX]],BDPADRES[],8,FALSE),"Sin registrado")</f>
        <v>MARIBEL AGUADO ROJAS</v>
      </c>
    </row>
    <row r="144" spans="1:2" x14ac:dyDescent="0.25">
      <c r="A144" s="151">
        <f t="shared" si="3"/>
        <v>136</v>
      </c>
      <c r="B144" s="150" t="str">
        <f>IFERROR(VLOOKUP(BDREGISTROASAMBLEA2025[[#This Row],[NROKARDEX]],BDPADRES[],8,FALSE),"Sin registrado")</f>
        <v>YINA YILCANA CASTRO BANEGAS</v>
      </c>
    </row>
    <row r="145" spans="1:2" x14ac:dyDescent="0.25">
      <c r="A145" s="151">
        <f t="shared" si="3"/>
        <v>137</v>
      </c>
      <c r="B145" s="150" t="str">
        <f>IFERROR(VLOOKUP(BDREGISTROASAMBLEA2025[[#This Row],[NROKARDEX]],BDPADRES[],8,FALSE),"Sin registrado")</f>
        <v>MARIA ISABEL VELASQUEZ MORALES</v>
      </c>
    </row>
    <row r="146" spans="1:2" x14ac:dyDescent="0.25">
      <c r="A146" s="151">
        <f t="shared" si="3"/>
        <v>138</v>
      </c>
      <c r="B146" s="150" t="str">
        <f>IFERROR(VLOOKUP(BDREGISTROASAMBLEA2025[[#This Row],[NROKARDEX]],BDPADRES[],8,FALSE),"Sin registrado")</f>
        <v>MARY LUZ LEIVA MARTINEZ</v>
      </c>
    </row>
    <row r="147" spans="1:2" x14ac:dyDescent="0.25">
      <c r="A147" s="151">
        <f t="shared" si="3"/>
        <v>139</v>
      </c>
      <c r="B147" s="150" t="str">
        <f>IFERROR(VLOOKUP(BDREGISTROASAMBLEA2025[[#This Row],[NROKARDEX]],BDPADRES[],8,FALSE),"Sin registrado")</f>
        <v>JUANA CONDORI PATZI</v>
      </c>
    </row>
    <row r="148" spans="1:2" x14ac:dyDescent="0.25">
      <c r="A148" s="151">
        <f t="shared" si="3"/>
        <v>140</v>
      </c>
      <c r="B148" s="150" t="str">
        <f>IFERROR(VLOOKUP(BDREGISTROASAMBLEA2025[[#This Row],[NROKARDEX]],BDPADRES[],8,FALSE),"Sin registrado")</f>
        <v>FIORELA PADILLA MONTAÑO</v>
      </c>
    </row>
    <row r="149" spans="1:2" x14ac:dyDescent="0.25">
      <c r="A149" s="151">
        <f t="shared" si="3"/>
        <v>141</v>
      </c>
      <c r="B149" s="150" t="str">
        <f>IFERROR(VLOOKUP(BDREGISTROASAMBLEA2025[[#This Row],[NROKARDEX]],BDPADRES[],8,FALSE),"Sin registrado")</f>
        <v>MIRTA JACINTA ASILLO MAMANI</v>
      </c>
    </row>
    <row r="150" spans="1:2" x14ac:dyDescent="0.25">
      <c r="A150" s="151">
        <f t="shared" si="3"/>
        <v>142</v>
      </c>
      <c r="B150" s="150" t="str">
        <f>IFERROR(VLOOKUP(BDREGISTROASAMBLEA2025[[#This Row],[NROKARDEX]],BDPADRES[],8,FALSE),"Sin registrado")</f>
        <v>MARIA ESTEFANI QUIROZ GONZALES</v>
      </c>
    </row>
    <row r="151" spans="1:2" x14ac:dyDescent="0.25">
      <c r="A151" s="151">
        <f t="shared" si="3"/>
        <v>143</v>
      </c>
      <c r="B151" s="150" t="str">
        <f>IFERROR(VLOOKUP(BDREGISTROASAMBLEA2025[[#This Row],[NROKARDEX]],BDPADRES[],8,FALSE),"Sin registrado")</f>
        <v>FAUSTA CONDORI YARHUI</v>
      </c>
    </row>
    <row r="152" spans="1:2" x14ac:dyDescent="0.25">
      <c r="A152" s="151">
        <f t="shared" si="3"/>
        <v>144</v>
      </c>
      <c r="B152" s="150" t="str">
        <f>IFERROR(VLOOKUP(BDREGISTROASAMBLEA2025[[#This Row],[NROKARDEX]],BDPADRES[],8,FALSE),"Sin registrado")</f>
        <v>SENAIDA MARTINEZ CHOQUE</v>
      </c>
    </row>
    <row r="153" spans="1:2" x14ac:dyDescent="0.25">
      <c r="A153" s="151">
        <f t="shared" si="3"/>
        <v>145</v>
      </c>
      <c r="B153" s="150" t="str">
        <f>IFERROR(VLOOKUP(BDREGISTROASAMBLEA2025[[#This Row],[NROKARDEX]],BDPADRES[],8,FALSE),"Sin registrado")</f>
        <v>ESTHER MORON YEPEZ</v>
      </c>
    </row>
    <row r="154" spans="1:2" x14ac:dyDescent="0.25">
      <c r="A154" s="151">
        <f t="shared" si="3"/>
        <v>146</v>
      </c>
      <c r="B154" s="150" t="str">
        <f>IFERROR(VLOOKUP(BDREGISTROASAMBLEA2025[[#This Row],[NROKARDEX]],BDPADRES[],8,FALSE),"Sin registrado")</f>
        <v>LAURA OLLISCO SALAZAR</v>
      </c>
    </row>
    <row r="155" spans="1:2" x14ac:dyDescent="0.25">
      <c r="A155" s="151">
        <f t="shared" si="3"/>
        <v>147</v>
      </c>
      <c r="B155" s="150" t="str">
        <f>IFERROR(VLOOKUP(BDREGISTROASAMBLEA2025[[#This Row],[NROKARDEX]],BDPADRES[],8,FALSE),"Sin registrado")</f>
        <v>RAQUEL FERNANDEZ CESPEDES</v>
      </c>
    </row>
    <row r="156" spans="1:2" x14ac:dyDescent="0.25">
      <c r="A156" s="151">
        <f t="shared" si="3"/>
        <v>148</v>
      </c>
      <c r="B156" s="150" t="str">
        <f>IFERROR(VLOOKUP(BDREGISTROASAMBLEA2025[[#This Row],[NROKARDEX]],BDPADRES[],8,FALSE),"Sin registrado")</f>
        <v>MARGARITA SARDAN ROMERO</v>
      </c>
    </row>
    <row r="157" spans="1:2" x14ac:dyDescent="0.25">
      <c r="A157" s="151">
        <f t="shared" si="3"/>
        <v>149</v>
      </c>
      <c r="B157" s="150" t="str">
        <f>IFERROR(VLOOKUP(BDREGISTROASAMBLEA2025[[#This Row],[NROKARDEX]],BDPADRES[],8,FALSE),"Sin registrado")</f>
        <v>KATHERINE TERCEROS LINO</v>
      </c>
    </row>
    <row r="158" spans="1:2" x14ac:dyDescent="0.25">
      <c r="A158" s="151">
        <f t="shared" ref="A158:A221" si="4">ROW(A150)</f>
        <v>150</v>
      </c>
      <c r="B158" s="150" t="str">
        <f>IFERROR(VLOOKUP(BDREGISTROASAMBLEA2025[[#This Row],[NROKARDEX]],BDPADRES[],8,FALSE),"Sin registrado")</f>
        <v>NELVY QUISPE LOPEZ</v>
      </c>
    </row>
    <row r="159" spans="1:2" x14ac:dyDescent="0.25">
      <c r="A159" s="151">
        <f t="shared" si="4"/>
        <v>151</v>
      </c>
      <c r="B159" s="150" t="str">
        <f>IFERROR(VLOOKUP(BDREGISTROASAMBLEA2025[[#This Row],[NROKARDEX]],BDPADRES[],8,FALSE),"Sin registrado")</f>
        <v>SAIDA MENDOZA FLORES</v>
      </c>
    </row>
    <row r="160" spans="1:2" x14ac:dyDescent="0.25">
      <c r="A160" s="151">
        <f t="shared" si="4"/>
        <v>152</v>
      </c>
      <c r="B160" s="150" t="str">
        <f>IFERROR(VLOOKUP(BDREGISTROASAMBLEA2025[[#This Row],[NROKARDEX]],BDPADRES[],8,FALSE),"Sin registrado")</f>
        <v>MARTINA BARJA CACERES</v>
      </c>
    </row>
    <row r="161" spans="1:2" x14ac:dyDescent="0.25">
      <c r="A161" s="151">
        <f t="shared" si="4"/>
        <v>153</v>
      </c>
      <c r="B161" s="150" t="str">
        <f>IFERROR(VLOOKUP(BDREGISTROASAMBLEA2025[[#This Row],[NROKARDEX]],BDPADRES[],8,FALSE),"Sin registrado")</f>
        <v>ELENA JUDITH AGUADO TORREZ</v>
      </c>
    </row>
    <row r="162" spans="1:2" x14ac:dyDescent="0.25">
      <c r="A162" s="151">
        <f t="shared" si="4"/>
        <v>154</v>
      </c>
      <c r="B162" s="150" t="str">
        <f>IFERROR(VLOOKUP(BDREGISTROASAMBLEA2025[[#This Row],[NROKARDEX]],BDPADRES[],8,FALSE),"Sin registrado")</f>
        <v>SEVERA RIVADENEIRA CRUZ</v>
      </c>
    </row>
    <row r="163" spans="1:2" x14ac:dyDescent="0.25">
      <c r="A163" s="151">
        <f t="shared" si="4"/>
        <v>155</v>
      </c>
      <c r="B163" s="150" t="str">
        <f>IFERROR(VLOOKUP(BDREGISTROASAMBLEA2025[[#This Row],[NROKARDEX]],BDPADRES[],8,FALSE),"Sin registrado")</f>
        <v>ABIGAIL DURAN FLORES</v>
      </c>
    </row>
    <row r="164" spans="1:2" x14ac:dyDescent="0.25">
      <c r="A164" s="151">
        <f t="shared" si="4"/>
        <v>156</v>
      </c>
      <c r="B164" s="150" t="str">
        <f>IFERROR(VLOOKUP(BDREGISTROASAMBLEA2025[[#This Row],[NROKARDEX]],BDPADRES[],8,FALSE),"Sin registrado")</f>
        <v>GRACIELA ORELLANA RISUEÑO</v>
      </c>
    </row>
    <row r="165" spans="1:2" x14ac:dyDescent="0.25">
      <c r="A165" s="151">
        <f t="shared" si="4"/>
        <v>157</v>
      </c>
      <c r="B165" s="150" t="str">
        <f>IFERROR(VLOOKUP(BDREGISTROASAMBLEA2025[[#This Row],[NROKARDEX]],BDPADRES[],8,FALSE),"Sin registrado")</f>
        <v>ELBA ROJAS MORALES</v>
      </c>
    </row>
    <row r="166" spans="1:2" x14ac:dyDescent="0.25">
      <c r="A166" s="151">
        <f t="shared" si="4"/>
        <v>158</v>
      </c>
      <c r="B166" s="150" t="str">
        <f>IFERROR(VLOOKUP(BDREGISTROASAMBLEA2025[[#This Row],[NROKARDEX]],BDPADRES[],8,FALSE),"Sin registrado")</f>
        <v>Sin registrado</v>
      </c>
    </row>
    <row r="167" spans="1:2" x14ac:dyDescent="0.25">
      <c r="A167" s="151">
        <f t="shared" si="4"/>
        <v>159</v>
      </c>
      <c r="B167" s="150" t="str">
        <f>IFERROR(VLOOKUP(BDREGISTROASAMBLEA2025[[#This Row],[NROKARDEX]],BDPADRES[],8,FALSE),"Sin registrado")</f>
        <v>CLARITA SLEN ALVAREZ ROJAS</v>
      </c>
    </row>
    <row r="168" spans="1:2" x14ac:dyDescent="0.25">
      <c r="A168" s="151">
        <f t="shared" si="4"/>
        <v>160</v>
      </c>
      <c r="B168" s="150" t="str">
        <f>IFERROR(VLOOKUP(BDREGISTROASAMBLEA2025[[#This Row],[NROKARDEX]],BDPADRES[],8,FALSE),"Sin registrado")</f>
        <v>ANA EVELIN ESPINOZA FARREL</v>
      </c>
    </row>
    <row r="169" spans="1:2" x14ac:dyDescent="0.25">
      <c r="A169" s="151">
        <f t="shared" si="4"/>
        <v>161</v>
      </c>
      <c r="B169" s="150" t="str">
        <f>IFERROR(VLOOKUP(BDREGISTROASAMBLEA2025[[#This Row],[NROKARDEX]],BDPADRES[],8,FALSE),"Sin registrado")</f>
        <v>LUANA WILMA ZAMBRANA ARANHA</v>
      </c>
    </row>
    <row r="170" spans="1:2" x14ac:dyDescent="0.25">
      <c r="A170" s="151">
        <f t="shared" si="4"/>
        <v>162</v>
      </c>
      <c r="B170" s="150" t="str">
        <f>IFERROR(VLOOKUP(BDREGISTROASAMBLEA2025[[#This Row],[NROKARDEX]],BDPADRES[],8,FALSE),"Sin registrado")</f>
        <v>MIRIAM  CUETO SORUCO</v>
      </c>
    </row>
    <row r="171" spans="1:2" x14ac:dyDescent="0.25">
      <c r="A171" s="151">
        <f t="shared" si="4"/>
        <v>163</v>
      </c>
      <c r="B171" s="150" t="str">
        <f>IFERROR(VLOOKUP(BDREGISTROASAMBLEA2025[[#This Row],[NROKARDEX]],BDPADRES[],8,FALSE),"Sin registrado")</f>
        <v>ROSA LENNY ZAPATA RODRIGUEZ</v>
      </c>
    </row>
    <row r="172" spans="1:2" x14ac:dyDescent="0.25">
      <c r="A172" s="151">
        <f t="shared" si="4"/>
        <v>164</v>
      </c>
      <c r="B172" s="150" t="str">
        <f>IFERROR(VLOOKUP(BDREGISTROASAMBLEA2025[[#This Row],[NROKARDEX]],BDPADRES[],8,FALSE),"Sin registrado")</f>
        <v>MARITZA PEREYRA CABRERA</v>
      </c>
    </row>
    <row r="173" spans="1:2" x14ac:dyDescent="0.25">
      <c r="A173" s="151">
        <f t="shared" si="4"/>
        <v>165</v>
      </c>
      <c r="B173" s="150" t="str">
        <f>IFERROR(VLOOKUP(BDREGISTROASAMBLEA2025[[#This Row],[NROKARDEX]],BDPADRES[],8,FALSE),"Sin registrado")</f>
        <v>NOHEMI GUZMAN GUZMAN</v>
      </c>
    </row>
    <row r="174" spans="1:2" x14ac:dyDescent="0.25">
      <c r="A174" s="151">
        <f t="shared" si="4"/>
        <v>166</v>
      </c>
      <c r="B174" s="150" t="str">
        <f>IFERROR(VLOOKUP(BDREGISTROASAMBLEA2025[[#This Row],[NROKARDEX]],BDPADRES[],8,FALSE),"Sin registrado")</f>
        <v>PAULINA SANDOVAL GONZALES</v>
      </c>
    </row>
    <row r="175" spans="1:2" x14ac:dyDescent="0.25">
      <c r="A175" s="151">
        <f t="shared" si="4"/>
        <v>167</v>
      </c>
      <c r="B175" s="150" t="str">
        <f>IFERROR(VLOOKUP(BDREGISTROASAMBLEA2025[[#This Row],[NROKARDEX]],BDPADRES[],8,FALSE),"Sin registrado")</f>
        <v>FRANCISCA  CRUZ ARAUZ</v>
      </c>
    </row>
    <row r="176" spans="1:2" x14ac:dyDescent="0.25">
      <c r="A176" s="151">
        <f t="shared" si="4"/>
        <v>168</v>
      </c>
      <c r="B176" s="150" t="str">
        <f>IFERROR(VLOOKUP(BDREGISTROASAMBLEA2025[[#This Row],[NROKARDEX]],BDPADRES[],8,FALSE),"Sin registrado")</f>
        <v>LEANDRA JOSE ROJAS</v>
      </c>
    </row>
    <row r="177" spans="1:2" x14ac:dyDescent="0.25">
      <c r="A177" s="151">
        <f t="shared" si="4"/>
        <v>169</v>
      </c>
      <c r="B177" s="150" t="str">
        <f>IFERROR(VLOOKUP(BDREGISTROASAMBLEA2025[[#This Row],[NROKARDEX]],BDPADRES[],8,FALSE),"Sin registrado")</f>
        <v>DIANA RAPU NOZA</v>
      </c>
    </row>
    <row r="178" spans="1:2" x14ac:dyDescent="0.25">
      <c r="A178" s="151">
        <f t="shared" si="4"/>
        <v>170</v>
      </c>
      <c r="B178" s="150" t="str">
        <f>IFERROR(VLOOKUP(BDREGISTROASAMBLEA2025[[#This Row],[NROKARDEX]],BDPADRES[],8,FALSE),"Sin registrado")</f>
        <v>BENITA TECO MORON</v>
      </c>
    </row>
    <row r="179" spans="1:2" x14ac:dyDescent="0.25">
      <c r="A179" s="151">
        <f t="shared" si="4"/>
        <v>171</v>
      </c>
      <c r="B179" s="150" t="str">
        <f>IFERROR(VLOOKUP(BDREGISTROASAMBLEA2025[[#This Row],[NROKARDEX]],BDPADRES[],8,FALSE),"Sin registrado")</f>
        <v>MARIELA PEREZ MANCILLA</v>
      </c>
    </row>
    <row r="180" spans="1:2" x14ac:dyDescent="0.25">
      <c r="A180" s="151">
        <f t="shared" si="4"/>
        <v>172</v>
      </c>
      <c r="B180" s="150" t="str">
        <f>IFERROR(VLOOKUP(BDREGISTROASAMBLEA2025[[#This Row],[NROKARDEX]],BDPADRES[],8,FALSE),"Sin registrado")</f>
        <v>VICTORIA FLORES MENDOZA</v>
      </c>
    </row>
    <row r="181" spans="1:2" x14ac:dyDescent="0.25">
      <c r="A181" s="151">
        <f t="shared" si="4"/>
        <v>173</v>
      </c>
      <c r="B181" s="150" t="str">
        <f>IFERROR(VLOOKUP(BDREGISTROASAMBLEA2025[[#This Row],[NROKARDEX]],BDPADRES[],8,FALSE),"Sin registrado")</f>
        <v>CLAUDIA JHANET CARRISALES GUTIERRES</v>
      </c>
    </row>
    <row r="182" spans="1:2" x14ac:dyDescent="0.25">
      <c r="A182" s="151">
        <f t="shared" si="4"/>
        <v>174</v>
      </c>
      <c r="B182" s="150" t="str">
        <f>IFERROR(VLOOKUP(BDREGISTROASAMBLEA2025[[#This Row],[NROKARDEX]],BDPADRES[],8,FALSE),"Sin registrado")</f>
        <v>YOSELIN MERCADO GONZALES</v>
      </c>
    </row>
    <row r="183" spans="1:2" x14ac:dyDescent="0.25">
      <c r="A183" s="151">
        <f t="shared" si="4"/>
        <v>175</v>
      </c>
      <c r="B183" s="150" t="str">
        <f>IFERROR(VLOOKUP(BDREGISTROASAMBLEA2025[[#This Row],[NROKARDEX]],BDPADRES[],8,FALSE),"Sin registrado")</f>
        <v>ELISABED MAMANI ANCASI</v>
      </c>
    </row>
    <row r="184" spans="1:2" x14ac:dyDescent="0.25">
      <c r="A184" s="151">
        <f t="shared" si="4"/>
        <v>176</v>
      </c>
      <c r="B184" s="150" t="str">
        <f>IFERROR(VLOOKUP(BDREGISTROASAMBLEA2025[[#This Row],[NROKARDEX]],BDPADRES[],8,FALSE),"Sin registrado")</f>
        <v>ELIZABETH AVILA ORTUÑO</v>
      </c>
    </row>
    <row r="185" spans="1:2" x14ac:dyDescent="0.25">
      <c r="A185" s="151">
        <f t="shared" si="4"/>
        <v>177</v>
      </c>
      <c r="B185" s="150" t="str">
        <f>IFERROR(VLOOKUP(BDREGISTROASAMBLEA2025[[#This Row],[NROKARDEX]],BDPADRES[],8,FALSE),"Sin registrado")</f>
        <v>CARLA PATRICIA LLANOS ESCOBAR</v>
      </c>
    </row>
    <row r="186" spans="1:2" x14ac:dyDescent="0.25">
      <c r="A186" s="151">
        <f t="shared" si="4"/>
        <v>178</v>
      </c>
      <c r="B186" s="150" t="str">
        <f>IFERROR(VLOOKUP(BDREGISTROASAMBLEA2025[[#This Row],[NROKARDEX]],BDPADRES[],8,FALSE),"Sin registrado")</f>
        <v>JULIETA MOLLO CONDORI</v>
      </c>
    </row>
    <row r="187" spans="1:2" x14ac:dyDescent="0.25">
      <c r="A187" s="151">
        <f t="shared" si="4"/>
        <v>179</v>
      </c>
      <c r="B187" s="150" t="str">
        <f>IFERROR(VLOOKUP(BDREGISTROASAMBLEA2025[[#This Row],[NROKARDEX]],BDPADRES[],8,FALSE),"Sin registrado")</f>
        <v>ELEONORA MAMANI RODRIGUEZ</v>
      </c>
    </row>
    <row r="188" spans="1:2" x14ac:dyDescent="0.25">
      <c r="A188" s="151">
        <f t="shared" si="4"/>
        <v>180</v>
      </c>
      <c r="B188" s="150" t="str">
        <f>IFERROR(VLOOKUP(BDREGISTROASAMBLEA2025[[#This Row],[NROKARDEX]],BDPADRES[],8,FALSE),"Sin registrado")</f>
        <v>FILOMENA RODRIGUEZ MORALES</v>
      </c>
    </row>
    <row r="189" spans="1:2" x14ac:dyDescent="0.25">
      <c r="A189" s="151">
        <f t="shared" si="4"/>
        <v>181</v>
      </c>
      <c r="B189" s="150" t="str">
        <f>IFERROR(VLOOKUP(BDREGISTROASAMBLEA2025[[#This Row],[NROKARDEX]],BDPADRES[],8,FALSE),"Sin registrado")</f>
        <v>YAQUELIN CHAVEZ AYAVIRI</v>
      </c>
    </row>
    <row r="190" spans="1:2" x14ac:dyDescent="0.25">
      <c r="A190" s="151">
        <f t="shared" si="4"/>
        <v>182</v>
      </c>
      <c r="B190" s="150" t="str">
        <f>IFERROR(VLOOKUP(BDREGISTROASAMBLEA2025[[#This Row],[NROKARDEX]],BDPADRES[],8,FALSE),"Sin registrado")</f>
        <v>FRANCISCA  HERRERA ANDRADE</v>
      </c>
    </row>
    <row r="191" spans="1:2" x14ac:dyDescent="0.25">
      <c r="A191" s="151">
        <f t="shared" si="4"/>
        <v>183</v>
      </c>
      <c r="B191" s="150" t="str">
        <f>IFERROR(VLOOKUP(BDREGISTROASAMBLEA2025[[#This Row],[NROKARDEX]],BDPADRES[],8,FALSE),"Sin registrado")</f>
        <v>JULIA  ACARAPI PORCEL</v>
      </c>
    </row>
    <row r="192" spans="1:2" x14ac:dyDescent="0.25">
      <c r="A192" s="151">
        <f t="shared" si="4"/>
        <v>184</v>
      </c>
      <c r="B192" s="150" t="str">
        <f>IFERROR(VLOOKUP(BDREGISTROASAMBLEA2025[[#This Row],[NROKARDEX]],BDPADRES[],8,FALSE),"Sin registrado")</f>
        <v>REYNA CARRIAZO BALLESTEROS</v>
      </c>
    </row>
    <row r="193" spans="1:2" x14ac:dyDescent="0.25">
      <c r="A193" s="151">
        <f t="shared" si="4"/>
        <v>185</v>
      </c>
      <c r="B193" s="150" t="str">
        <f>IFERROR(VLOOKUP(BDREGISTROASAMBLEA2025[[#This Row],[NROKARDEX]],BDPADRES[],8,FALSE),"Sin registrado")</f>
        <v>MIRTHA RUEDA LOPEZ</v>
      </c>
    </row>
    <row r="194" spans="1:2" x14ac:dyDescent="0.25">
      <c r="A194" s="151">
        <f t="shared" si="4"/>
        <v>186</v>
      </c>
      <c r="B194" s="150" t="str">
        <f>IFERROR(VLOOKUP(BDREGISTROASAMBLEA2025[[#This Row],[NROKARDEX]],BDPADRES[],8,FALSE),"Sin registrado")</f>
        <v>MARTHA RODRIGUEZ SILES</v>
      </c>
    </row>
    <row r="195" spans="1:2" x14ac:dyDescent="0.25">
      <c r="A195" s="151">
        <f t="shared" si="4"/>
        <v>187</v>
      </c>
      <c r="B195" s="150" t="str">
        <f>IFERROR(VLOOKUP(BDREGISTROASAMBLEA2025[[#This Row],[NROKARDEX]],BDPADRES[],8,FALSE),"Sin registrado")</f>
        <v>AURORA SOLIZ QUIROZ</v>
      </c>
    </row>
    <row r="196" spans="1:2" x14ac:dyDescent="0.25">
      <c r="A196" s="151">
        <f t="shared" si="4"/>
        <v>188</v>
      </c>
      <c r="B196" s="150" t="str">
        <f>IFERROR(VLOOKUP(BDREGISTROASAMBLEA2025[[#This Row],[NROKARDEX]],BDPADRES[],8,FALSE),"Sin registrado")</f>
        <v>DEYSI YPURANI CARICARI</v>
      </c>
    </row>
    <row r="197" spans="1:2" x14ac:dyDescent="0.25">
      <c r="A197" s="151">
        <f t="shared" si="4"/>
        <v>189</v>
      </c>
      <c r="B197" s="150" t="str">
        <f>IFERROR(VLOOKUP(BDREGISTROASAMBLEA2025[[#This Row],[NROKARDEX]],BDPADRES[],8,FALSE),"Sin registrado")</f>
        <v>ERLINDA PACO DURAN</v>
      </c>
    </row>
    <row r="198" spans="1:2" x14ac:dyDescent="0.25">
      <c r="A198" s="151">
        <f t="shared" si="4"/>
        <v>190</v>
      </c>
      <c r="B198" s="150" t="str">
        <f>IFERROR(VLOOKUP(BDREGISTROASAMBLEA2025[[#This Row],[NROKARDEX]],BDPADRES[],8,FALSE),"Sin registrado")</f>
        <v>YOBANA GUTIERREZ VACA</v>
      </c>
    </row>
    <row r="199" spans="1:2" x14ac:dyDescent="0.25">
      <c r="A199" s="151">
        <f t="shared" si="4"/>
        <v>191</v>
      </c>
      <c r="B199" s="150" t="str">
        <f>IFERROR(VLOOKUP(BDREGISTROASAMBLEA2025[[#This Row],[NROKARDEX]],BDPADRES[],8,FALSE),"Sin registrado")</f>
        <v>VERONICA CHOQUE LLANOS</v>
      </c>
    </row>
    <row r="200" spans="1:2" x14ac:dyDescent="0.25">
      <c r="A200" s="151">
        <f t="shared" si="4"/>
        <v>192</v>
      </c>
      <c r="B200" s="150" t="str">
        <f>IFERROR(VLOOKUP(BDREGISTROASAMBLEA2025[[#This Row],[NROKARDEX]],BDPADRES[],8,FALSE),"Sin registrado")</f>
        <v>SONIA CUEBAS VILLAGOMES</v>
      </c>
    </row>
    <row r="201" spans="1:2" x14ac:dyDescent="0.25">
      <c r="A201" s="151">
        <f t="shared" si="4"/>
        <v>193</v>
      </c>
      <c r="B201" s="150" t="str">
        <f>IFERROR(VLOOKUP(BDREGISTROASAMBLEA2025[[#This Row],[NROKARDEX]],BDPADRES[],8,FALSE),"Sin registrado")</f>
        <v>YUELY FERNANDEZ OSINAGA</v>
      </c>
    </row>
    <row r="202" spans="1:2" x14ac:dyDescent="0.25">
      <c r="A202" s="151">
        <f t="shared" si="4"/>
        <v>194</v>
      </c>
      <c r="B202" s="150" t="str">
        <f>IFERROR(VLOOKUP(BDREGISTROASAMBLEA2025[[#This Row],[NROKARDEX]],BDPADRES[],8,FALSE),"Sin registrado")</f>
        <v>JACINTA RAMOS REINA</v>
      </c>
    </row>
    <row r="203" spans="1:2" x14ac:dyDescent="0.25">
      <c r="A203" s="151">
        <f t="shared" si="4"/>
        <v>195</v>
      </c>
      <c r="B203" s="150" t="str">
        <f>IFERROR(VLOOKUP(BDREGISTROASAMBLEA2025[[#This Row],[NROKARDEX]],BDPADRES[],8,FALSE),"Sin registrado")</f>
        <v>JUANA EDITH SALAZAR</v>
      </c>
    </row>
    <row r="204" spans="1:2" x14ac:dyDescent="0.25">
      <c r="A204" s="151">
        <f t="shared" si="4"/>
        <v>196</v>
      </c>
      <c r="B204" s="150" t="str">
        <f>IFERROR(VLOOKUP(BDREGISTROASAMBLEA2025[[#This Row],[NROKARDEX]],BDPADRES[],8,FALSE),"Sin registrado")</f>
        <v>MARIA ESTHER MAMANI ORELLANA</v>
      </c>
    </row>
    <row r="205" spans="1:2" x14ac:dyDescent="0.25">
      <c r="A205" s="151">
        <f t="shared" si="4"/>
        <v>197</v>
      </c>
      <c r="B205" s="150" t="str">
        <f>IFERROR(VLOOKUP(BDREGISTROASAMBLEA2025[[#This Row],[NROKARDEX]],BDPADRES[],8,FALSE),"Sin registrado")</f>
        <v>VERONICA FLORES ABREGO</v>
      </c>
    </row>
    <row r="206" spans="1:2" x14ac:dyDescent="0.25">
      <c r="A206" s="151">
        <f t="shared" si="4"/>
        <v>198</v>
      </c>
      <c r="B206" s="150" t="str">
        <f>IFERROR(VLOOKUP(BDREGISTROASAMBLEA2025[[#This Row],[NROKARDEX]],BDPADRES[],8,FALSE),"Sin registrado")</f>
        <v>JUDITH VEIZAGA PINTO</v>
      </c>
    </row>
    <row r="207" spans="1:2" x14ac:dyDescent="0.25">
      <c r="A207" s="151">
        <f t="shared" si="4"/>
        <v>199</v>
      </c>
      <c r="B207" s="150" t="str">
        <f>IFERROR(VLOOKUP(BDREGISTROASAMBLEA2025[[#This Row],[NROKARDEX]],BDPADRES[],8,FALSE),"Sin registrado")</f>
        <v>LUISA ROJAS SEVERICHE</v>
      </c>
    </row>
    <row r="208" spans="1:2" x14ac:dyDescent="0.25">
      <c r="A208" s="151">
        <f t="shared" si="4"/>
        <v>200</v>
      </c>
      <c r="B208" s="150" t="str">
        <f>IFERROR(VLOOKUP(BDREGISTROASAMBLEA2025[[#This Row],[NROKARDEX]],BDPADRES[],8,FALSE),"Sin registrado")</f>
        <v>YOSELIN ARAMAYO SANCHEZ</v>
      </c>
    </row>
    <row r="209" spans="1:2" x14ac:dyDescent="0.25">
      <c r="A209" s="151">
        <f t="shared" si="4"/>
        <v>201</v>
      </c>
      <c r="B209" s="150" t="str">
        <f>IFERROR(VLOOKUP(BDREGISTROASAMBLEA2025[[#This Row],[NROKARDEX]],BDPADRES[],8,FALSE),"Sin registrado")</f>
        <v>LUCIA TORRICO VILLARRUEL</v>
      </c>
    </row>
    <row r="210" spans="1:2" x14ac:dyDescent="0.25">
      <c r="A210" s="151">
        <f t="shared" si="4"/>
        <v>202</v>
      </c>
      <c r="B210" s="150" t="str">
        <f>IFERROR(VLOOKUP(BDREGISTROASAMBLEA2025[[#This Row],[NROKARDEX]],BDPADRES[],8,FALSE),"Sin registrado")</f>
        <v>DELIA   VIZA CHOQUE</v>
      </c>
    </row>
    <row r="211" spans="1:2" x14ac:dyDescent="0.25">
      <c r="A211" s="151">
        <f t="shared" si="4"/>
        <v>203</v>
      </c>
      <c r="B211" s="150" t="str">
        <f>IFERROR(VLOOKUP(BDREGISTROASAMBLEA2025[[#This Row],[NROKARDEX]],BDPADRES[],8,FALSE),"Sin registrado")</f>
        <v>LIDIA SARDAN ROMERO</v>
      </c>
    </row>
    <row r="212" spans="1:2" x14ac:dyDescent="0.25">
      <c r="A212" s="151">
        <f t="shared" si="4"/>
        <v>204</v>
      </c>
      <c r="B212" s="150" t="str">
        <f>IFERROR(VLOOKUP(BDREGISTROASAMBLEA2025[[#This Row],[NROKARDEX]],BDPADRES[],8,FALSE),"Sin registrado")</f>
        <v>MARIOLY  GIRON RIBERA</v>
      </c>
    </row>
    <row r="213" spans="1:2" x14ac:dyDescent="0.25">
      <c r="A213" s="151">
        <f t="shared" si="4"/>
        <v>205</v>
      </c>
      <c r="B213" s="150" t="str">
        <f>IFERROR(VLOOKUP(BDREGISTROASAMBLEA2025[[#This Row],[NROKARDEX]],BDPADRES[],8,FALSE),"Sin registrado")</f>
        <v>Sin registrado</v>
      </c>
    </row>
    <row r="214" spans="1:2" x14ac:dyDescent="0.25">
      <c r="A214" s="151">
        <f t="shared" si="4"/>
        <v>206</v>
      </c>
      <c r="B214" s="150" t="str">
        <f>IFERROR(VLOOKUP(BDREGISTROASAMBLEA2025[[#This Row],[NROKARDEX]],BDPADRES[],8,FALSE),"Sin registrado")</f>
        <v>JUAQUINA FLORES CRUZ</v>
      </c>
    </row>
    <row r="215" spans="1:2" x14ac:dyDescent="0.25">
      <c r="A215" s="151">
        <f t="shared" si="4"/>
        <v>207</v>
      </c>
      <c r="B215" s="150" t="str">
        <f>IFERROR(VLOOKUP(BDREGISTROASAMBLEA2025[[#This Row],[NROKARDEX]],BDPADRES[],8,FALSE),"Sin registrado")</f>
        <v>ELVIRA ORIAS CESPEDES</v>
      </c>
    </row>
    <row r="216" spans="1:2" x14ac:dyDescent="0.25">
      <c r="A216" s="151">
        <f t="shared" si="4"/>
        <v>208</v>
      </c>
      <c r="B216" s="150" t="str">
        <f>IFERROR(VLOOKUP(BDREGISTROASAMBLEA2025[[#This Row],[NROKARDEX]],BDPADRES[],8,FALSE),"Sin registrado")</f>
        <v>MARTHA BARRIENTOS CARABALLO</v>
      </c>
    </row>
    <row r="217" spans="1:2" x14ac:dyDescent="0.25">
      <c r="A217" s="151">
        <f t="shared" si="4"/>
        <v>209</v>
      </c>
      <c r="B217" s="150" t="str">
        <f>IFERROR(VLOOKUP(BDREGISTROASAMBLEA2025[[#This Row],[NROKARDEX]],BDPADRES[],8,FALSE),"Sin registrado")</f>
        <v>MARIBEL DAZA VEDIA</v>
      </c>
    </row>
    <row r="218" spans="1:2" x14ac:dyDescent="0.25">
      <c r="A218" s="151">
        <f t="shared" si="4"/>
        <v>210</v>
      </c>
      <c r="B218" s="150" t="str">
        <f>IFERROR(VLOOKUP(BDREGISTROASAMBLEA2025[[#This Row],[NROKARDEX]],BDPADRES[],8,FALSE),"Sin registrado")</f>
        <v>DOLY FERNANDEZ GOMEZ</v>
      </c>
    </row>
    <row r="219" spans="1:2" x14ac:dyDescent="0.25">
      <c r="A219" s="151">
        <f t="shared" si="4"/>
        <v>211</v>
      </c>
      <c r="B219" s="150" t="str">
        <f>IFERROR(VLOOKUP(BDREGISTROASAMBLEA2025[[#This Row],[NROKARDEX]],BDPADRES[],8,FALSE),"Sin registrado")</f>
        <v>HORTENCIA  LEAÑOS VERGARA</v>
      </c>
    </row>
    <row r="220" spans="1:2" x14ac:dyDescent="0.25">
      <c r="A220" s="151">
        <f t="shared" si="4"/>
        <v>212</v>
      </c>
      <c r="B220" s="150" t="str">
        <f>IFERROR(VLOOKUP(BDREGISTROASAMBLEA2025[[#This Row],[NROKARDEX]],BDPADRES[],8,FALSE),"Sin registrado")</f>
        <v>NANCY MAMANI IPORRE</v>
      </c>
    </row>
    <row r="221" spans="1:2" x14ac:dyDescent="0.25">
      <c r="A221" s="151">
        <f t="shared" si="4"/>
        <v>213</v>
      </c>
      <c r="B221" s="150" t="str">
        <f>IFERROR(VLOOKUP(BDREGISTROASAMBLEA2025[[#This Row],[NROKARDEX]],BDPADRES[],8,FALSE),"Sin registrado")</f>
        <v>LITHZI PADILLA LIMON</v>
      </c>
    </row>
    <row r="222" spans="1:2" x14ac:dyDescent="0.25">
      <c r="A222" s="151">
        <f t="shared" ref="A222:A285" si="5">ROW(A214)</f>
        <v>214</v>
      </c>
      <c r="B222" s="150" t="str">
        <f>IFERROR(VLOOKUP(BDREGISTROASAMBLEA2025[[#This Row],[NROKARDEX]],BDPADRES[],8,FALSE),"Sin registrado")</f>
        <v>Sin registrado</v>
      </c>
    </row>
    <row r="223" spans="1:2" x14ac:dyDescent="0.25">
      <c r="A223" s="151">
        <f t="shared" si="5"/>
        <v>215</v>
      </c>
      <c r="B223" s="150" t="str">
        <f>IFERROR(VLOOKUP(BDREGISTROASAMBLEA2025[[#This Row],[NROKARDEX]],BDPADRES[],8,FALSE),"Sin registrado")</f>
        <v>LIDIA MARTINEZ PEREZ</v>
      </c>
    </row>
    <row r="224" spans="1:2" x14ac:dyDescent="0.25">
      <c r="A224" s="151">
        <f t="shared" si="5"/>
        <v>216</v>
      </c>
      <c r="B224" s="150" t="str">
        <f>IFERROR(VLOOKUP(BDREGISTROASAMBLEA2025[[#This Row],[NROKARDEX]],BDPADRES[],8,FALSE),"Sin registrado")</f>
        <v>SABINA GARNICA VARGAS</v>
      </c>
    </row>
    <row r="225" spans="1:2" x14ac:dyDescent="0.25">
      <c r="A225" s="151">
        <f t="shared" si="5"/>
        <v>217</v>
      </c>
      <c r="B225" s="150" t="str">
        <f>IFERROR(VLOOKUP(BDREGISTROASAMBLEA2025[[#This Row],[NROKARDEX]],BDPADRES[],8,FALSE),"Sin registrado")</f>
        <v>BENIGNA HUAYHUA ARENAS</v>
      </c>
    </row>
    <row r="226" spans="1:2" x14ac:dyDescent="0.25">
      <c r="A226" s="151">
        <f t="shared" si="5"/>
        <v>218</v>
      </c>
      <c r="B226" s="150" t="str">
        <f>IFERROR(VLOOKUP(BDREGISTROASAMBLEA2025[[#This Row],[NROKARDEX]],BDPADRES[],8,FALSE),"Sin registrado")</f>
        <v>JUANA RAMIREZ CHURA</v>
      </c>
    </row>
    <row r="227" spans="1:2" x14ac:dyDescent="0.25">
      <c r="A227" s="151">
        <f t="shared" si="5"/>
        <v>219</v>
      </c>
      <c r="B227" s="150" t="str">
        <f>IFERROR(VLOOKUP(BDREGISTROASAMBLEA2025[[#This Row],[NROKARDEX]],BDPADRES[],8,FALSE),"Sin registrado")</f>
        <v>TERESA ARICOMA CORCHADO</v>
      </c>
    </row>
    <row r="228" spans="1:2" x14ac:dyDescent="0.25">
      <c r="A228" s="151">
        <f t="shared" si="5"/>
        <v>220</v>
      </c>
      <c r="B228" s="150" t="str">
        <f>IFERROR(VLOOKUP(BDREGISTROASAMBLEA2025[[#This Row],[NROKARDEX]],BDPADRES[],8,FALSE),"Sin registrado")</f>
        <v>ISABEL RODRIGUEZ JILLAPA</v>
      </c>
    </row>
    <row r="229" spans="1:2" x14ac:dyDescent="0.25">
      <c r="A229" s="151">
        <f t="shared" si="5"/>
        <v>221</v>
      </c>
      <c r="B229" s="150" t="str">
        <f>IFERROR(VLOOKUP(BDREGISTROASAMBLEA2025[[#This Row],[NROKARDEX]],BDPADRES[],8,FALSE),"Sin registrado")</f>
        <v>MARCELA CHOQUE SILES</v>
      </c>
    </row>
    <row r="230" spans="1:2" x14ac:dyDescent="0.25">
      <c r="A230" s="151">
        <f t="shared" si="5"/>
        <v>222</v>
      </c>
      <c r="B230" s="150" t="str">
        <f>IFERROR(VLOOKUP(BDREGISTROASAMBLEA2025[[#This Row],[NROKARDEX]],BDPADRES[],8,FALSE),"Sin registrado")</f>
        <v>SAIDA CINTHIA MORALES MOSCOSO</v>
      </c>
    </row>
    <row r="231" spans="1:2" x14ac:dyDescent="0.25">
      <c r="A231" s="151">
        <f t="shared" si="5"/>
        <v>223</v>
      </c>
      <c r="B231" s="150" t="str">
        <f>IFERROR(VLOOKUP(BDREGISTROASAMBLEA2025[[#This Row],[NROKARDEX]],BDPADRES[],8,FALSE),"Sin registrado")</f>
        <v>MARIA MAGDALENA AGUILAR VIDAURRE</v>
      </c>
    </row>
    <row r="232" spans="1:2" x14ac:dyDescent="0.25">
      <c r="A232" s="151">
        <f t="shared" si="5"/>
        <v>224</v>
      </c>
      <c r="B232" s="150" t="str">
        <f>IFERROR(VLOOKUP(BDREGISTROASAMBLEA2025[[#This Row],[NROKARDEX]],BDPADRES[],8,FALSE),"Sin registrado")</f>
        <v>MARICELA ZAMBRANA PADILLA</v>
      </c>
    </row>
    <row r="233" spans="1:2" x14ac:dyDescent="0.25">
      <c r="A233" s="151">
        <f t="shared" si="5"/>
        <v>225</v>
      </c>
      <c r="B233" s="150" t="str">
        <f>IFERROR(VLOOKUP(BDREGISTROASAMBLEA2025[[#This Row],[NROKARDEX]],BDPADRES[],8,FALSE),"Sin registrado")</f>
        <v>PAULINA DELGADO LOPEZ</v>
      </c>
    </row>
    <row r="234" spans="1:2" x14ac:dyDescent="0.25">
      <c r="A234" s="151">
        <f t="shared" si="5"/>
        <v>226</v>
      </c>
      <c r="B234" s="150" t="str">
        <f>IFERROR(VLOOKUP(BDREGISTROASAMBLEA2025[[#This Row],[NROKARDEX]],BDPADRES[],8,FALSE),"Sin registrado")</f>
        <v>MARTHA MAMANI MORALES</v>
      </c>
    </row>
    <row r="235" spans="1:2" x14ac:dyDescent="0.25">
      <c r="A235" s="151">
        <f t="shared" si="5"/>
        <v>227</v>
      </c>
      <c r="B235" s="150" t="str">
        <f>IFERROR(VLOOKUP(BDREGISTROASAMBLEA2025[[#This Row],[NROKARDEX]],BDPADRES[],8,FALSE),"Sin registrado")</f>
        <v>NILDA LOPEZ CHOQUE</v>
      </c>
    </row>
    <row r="236" spans="1:2" x14ac:dyDescent="0.25">
      <c r="A236" s="151">
        <f t="shared" si="5"/>
        <v>228</v>
      </c>
      <c r="B236" s="150" t="str">
        <f>IFERROR(VLOOKUP(BDREGISTROASAMBLEA2025[[#This Row],[NROKARDEX]],BDPADRES[],8,FALSE),"Sin registrado")</f>
        <v>SEDONIA CONDORI TOMAS</v>
      </c>
    </row>
    <row r="237" spans="1:2" x14ac:dyDescent="0.25">
      <c r="A237" s="151">
        <f t="shared" si="5"/>
        <v>229</v>
      </c>
      <c r="B237" s="150" t="str">
        <f>IFERROR(VLOOKUP(BDREGISTROASAMBLEA2025[[#This Row],[NROKARDEX]],BDPADRES[],8,FALSE),"Sin registrado")</f>
        <v>MARIOLY  MARTINEZ UGARTECHE</v>
      </c>
    </row>
    <row r="238" spans="1:2" x14ac:dyDescent="0.25">
      <c r="A238" s="151">
        <f t="shared" si="5"/>
        <v>230</v>
      </c>
      <c r="B238" s="150" t="str">
        <f>IFERROR(VLOOKUP(BDREGISTROASAMBLEA2025[[#This Row],[NROKARDEX]],BDPADRES[],8,FALSE),"Sin registrado")</f>
        <v>CELIA RIVADENEIRA CRUZ</v>
      </c>
    </row>
    <row r="239" spans="1:2" x14ac:dyDescent="0.25">
      <c r="A239" s="151">
        <f t="shared" si="5"/>
        <v>231</v>
      </c>
      <c r="B239" s="150" t="str">
        <f>IFERROR(VLOOKUP(BDREGISTROASAMBLEA2025[[#This Row],[NROKARDEX]],BDPADRES[],8,FALSE),"Sin registrado")</f>
        <v>MIRNA CUELLAR DIAZ</v>
      </c>
    </row>
    <row r="240" spans="1:2" x14ac:dyDescent="0.25">
      <c r="A240" s="151">
        <f t="shared" si="5"/>
        <v>232</v>
      </c>
      <c r="B240" s="150" t="str">
        <f>IFERROR(VLOOKUP(BDREGISTROASAMBLEA2025[[#This Row],[NROKARDEX]],BDPADRES[],8,FALSE),"Sin registrado")</f>
        <v>Sin registrado</v>
      </c>
    </row>
    <row r="241" spans="1:2" x14ac:dyDescent="0.25">
      <c r="A241" s="151">
        <f t="shared" si="5"/>
        <v>233</v>
      </c>
      <c r="B241" s="150" t="str">
        <f>IFERROR(VLOOKUP(BDREGISTROASAMBLEA2025[[#This Row],[NROKARDEX]],BDPADRES[],8,FALSE),"Sin registrado")</f>
        <v>MONICA MAMANI GONZALES</v>
      </c>
    </row>
    <row r="242" spans="1:2" x14ac:dyDescent="0.25">
      <c r="A242" s="151">
        <f t="shared" si="5"/>
        <v>234</v>
      </c>
      <c r="B242" s="150" t="str">
        <f>IFERROR(VLOOKUP(BDREGISTROASAMBLEA2025[[#This Row],[NROKARDEX]],BDPADRES[],8,FALSE),"Sin registrado")</f>
        <v>HILDA MAMANI EUGENIO</v>
      </c>
    </row>
    <row r="243" spans="1:2" x14ac:dyDescent="0.25">
      <c r="A243" s="151">
        <f t="shared" si="5"/>
        <v>235</v>
      </c>
      <c r="B243" s="150" t="str">
        <f>IFERROR(VLOOKUP(BDREGISTROASAMBLEA2025[[#This Row],[NROKARDEX]],BDPADRES[],8,FALSE),"Sin registrado")</f>
        <v>FARIDY ROMERO CALLAPA</v>
      </c>
    </row>
    <row r="244" spans="1:2" x14ac:dyDescent="0.25">
      <c r="A244" s="151">
        <f t="shared" si="5"/>
        <v>236</v>
      </c>
      <c r="B244" s="150" t="str">
        <f>IFERROR(VLOOKUP(BDREGISTROASAMBLEA2025[[#This Row],[NROKARDEX]],BDPADRES[],8,FALSE),"Sin registrado")</f>
        <v>NEOLID VARON ARANCIBIA</v>
      </c>
    </row>
    <row r="245" spans="1:2" x14ac:dyDescent="0.25">
      <c r="A245" s="151">
        <f t="shared" si="5"/>
        <v>237</v>
      </c>
      <c r="B245" s="150" t="str">
        <f>IFERROR(VLOOKUP(BDREGISTROASAMBLEA2025[[#This Row],[NROKARDEX]],BDPADRES[],8,FALSE),"Sin registrado")</f>
        <v>EVA DANCY FERNANDEZ LINO</v>
      </c>
    </row>
    <row r="246" spans="1:2" x14ac:dyDescent="0.25">
      <c r="A246" s="151">
        <f t="shared" si="5"/>
        <v>238</v>
      </c>
      <c r="B246" s="150" t="str">
        <f>IFERROR(VLOOKUP(BDREGISTROASAMBLEA2025[[#This Row],[NROKARDEX]],BDPADRES[],8,FALSE),"Sin registrado")</f>
        <v>LIDIA ACUÑA ARENA</v>
      </c>
    </row>
    <row r="247" spans="1:2" x14ac:dyDescent="0.25">
      <c r="A247" s="151">
        <f t="shared" si="5"/>
        <v>239</v>
      </c>
      <c r="B247" s="150" t="str">
        <f>IFERROR(VLOOKUP(BDREGISTROASAMBLEA2025[[#This Row],[NROKARDEX]],BDPADRES[],8,FALSE),"Sin registrado")</f>
        <v>NAGAY RINA ROMERO ACHO</v>
      </c>
    </row>
    <row r="248" spans="1:2" x14ac:dyDescent="0.25">
      <c r="A248" s="151">
        <f t="shared" si="5"/>
        <v>240</v>
      </c>
      <c r="B248" s="150" t="str">
        <f>IFERROR(VLOOKUP(BDREGISTROASAMBLEA2025[[#This Row],[NROKARDEX]],BDPADRES[],8,FALSE),"Sin registrado")</f>
        <v>MARTHA CHAUQUE TOLABA</v>
      </c>
    </row>
    <row r="249" spans="1:2" x14ac:dyDescent="0.25">
      <c r="A249" s="151">
        <f t="shared" si="5"/>
        <v>241</v>
      </c>
      <c r="B249" s="150" t="str">
        <f>IFERROR(VLOOKUP(BDREGISTROASAMBLEA2025[[#This Row],[NROKARDEX]],BDPADRES[],8,FALSE),"Sin registrado")</f>
        <v>LOURDES URQUIZO YUCRA</v>
      </c>
    </row>
    <row r="250" spans="1:2" x14ac:dyDescent="0.25">
      <c r="A250" s="151">
        <f t="shared" si="5"/>
        <v>242</v>
      </c>
      <c r="B250" s="150" t="str">
        <f>IFERROR(VLOOKUP(BDREGISTROASAMBLEA2025[[#This Row],[NROKARDEX]],BDPADRES[],8,FALSE),"Sin registrado")</f>
        <v>LENNY MARIELA FLORES ASINAGA</v>
      </c>
    </row>
    <row r="251" spans="1:2" x14ac:dyDescent="0.25">
      <c r="A251" s="151">
        <f t="shared" si="5"/>
        <v>243</v>
      </c>
      <c r="B251" s="150" t="str">
        <f>IFERROR(VLOOKUP(BDREGISTROASAMBLEA2025[[#This Row],[NROKARDEX]],BDPADRES[],8,FALSE),"Sin registrado")</f>
        <v>VIRGINIA ANTIVERROS MANRIQUE</v>
      </c>
    </row>
    <row r="252" spans="1:2" x14ac:dyDescent="0.25">
      <c r="A252" s="151">
        <f t="shared" si="5"/>
        <v>244</v>
      </c>
      <c r="B252" s="150" t="str">
        <f>IFERROR(VLOOKUP(BDREGISTROASAMBLEA2025[[#This Row],[NROKARDEX]],BDPADRES[],8,FALSE),"Sin registrado")</f>
        <v>SIXTA AGUILLAR TABUADA</v>
      </c>
    </row>
    <row r="253" spans="1:2" x14ac:dyDescent="0.25">
      <c r="A253" s="151">
        <f t="shared" si="5"/>
        <v>245</v>
      </c>
      <c r="B253" s="150" t="str">
        <f>IFERROR(VLOOKUP(BDREGISTROASAMBLEA2025[[#This Row],[NROKARDEX]],BDPADRES[],8,FALSE),"Sin registrado")</f>
        <v>ANTONIA CARABALLO BALLESTEROS</v>
      </c>
    </row>
    <row r="254" spans="1:2" x14ac:dyDescent="0.25">
      <c r="A254" s="151">
        <f t="shared" si="5"/>
        <v>246</v>
      </c>
      <c r="B254" s="150" t="str">
        <f>IFERROR(VLOOKUP(BDREGISTROASAMBLEA2025[[#This Row],[NROKARDEX]],BDPADRES[],8,FALSE),"Sin registrado")</f>
        <v>SEMIDA CUCHALLO TORRICO</v>
      </c>
    </row>
    <row r="255" spans="1:2" x14ac:dyDescent="0.25">
      <c r="A255" s="151">
        <f t="shared" si="5"/>
        <v>247</v>
      </c>
      <c r="B255" s="150" t="str">
        <f>IFERROR(VLOOKUP(BDREGISTROASAMBLEA2025[[#This Row],[NROKARDEX]],BDPADRES[],8,FALSE),"Sin registrado")</f>
        <v>DELIA MARCELA VARGAS RIVERA</v>
      </c>
    </row>
    <row r="256" spans="1:2" x14ac:dyDescent="0.25">
      <c r="A256" s="151">
        <f t="shared" si="5"/>
        <v>248</v>
      </c>
      <c r="B256" s="150" t="str">
        <f>IFERROR(VLOOKUP(BDREGISTROASAMBLEA2025[[#This Row],[NROKARDEX]],BDPADRES[],8,FALSE),"Sin registrado")</f>
        <v>Sin registrado</v>
      </c>
    </row>
    <row r="257" spans="1:2" x14ac:dyDescent="0.25">
      <c r="A257" s="151">
        <f t="shared" si="5"/>
        <v>249</v>
      </c>
      <c r="B257" s="150" t="str">
        <f>IFERROR(VLOOKUP(BDREGISTROASAMBLEA2025[[#This Row],[NROKARDEX]],BDPADRES[],8,FALSE),"Sin registrado")</f>
        <v>NEIDA MEJIA BEJARANO</v>
      </c>
    </row>
    <row r="258" spans="1:2" x14ac:dyDescent="0.25">
      <c r="A258" s="151">
        <f t="shared" si="5"/>
        <v>250</v>
      </c>
      <c r="B258" s="150" t="str">
        <f>IFERROR(VLOOKUP(BDREGISTROASAMBLEA2025[[#This Row],[NROKARDEX]],BDPADRES[],8,FALSE),"Sin registrado")</f>
        <v>MARIA LOURDES GARCIA LARA</v>
      </c>
    </row>
    <row r="259" spans="1:2" x14ac:dyDescent="0.25">
      <c r="A259" s="151">
        <f t="shared" si="5"/>
        <v>251</v>
      </c>
      <c r="B259" s="150" t="str">
        <f>IFERROR(VLOOKUP(BDREGISTROASAMBLEA2025[[#This Row],[NROKARDEX]],BDPADRES[],8,FALSE),"Sin registrado")</f>
        <v>Sin registrado</v>
      </c>
    </row>
    <row r="260" spans="1:2" x14ac:dyDescent="0.25">
      <c r="A260" s="151">
        <f t="shared" si="5"/>
        <v>252</v>
      </c>
      <c r="B260" s="150" t="str">
        <f>IFERROR(VLOOKUP(BDREGISTROASAMBLEA2025[[#This Row],[NROKARDEX]],BDPADRES[],8,FALSE),"Sin registrado")</f>
        <v>REYNA GALARZA PEREDO</v>
      </c>
    </row>
    <row r="261" spans="1:2" x14ac:dyDescent="0.25">
      <c r="A261" s="151">
        <f t="shared" si="5"/>
        <v>253</v>
      </c>
      <c r="B261" s="150" t="str">
        <f>IFERROR(VLOOKUP(BDREGISTROASAMBLEA2025[[#This Row],[NROKARDEX]],BDPADRES[],8,FALSE),"Sin registrado")</f>
        <v>MARISOL MORALES AÑEZ</v>
      </c>
    </row>
    <row r="262" spans="1:2" x14ac:dyDescent="0.25">
      <c r="A262" s="151">
        <f t="shared" si="5"/>
        <v>254</v>
      </c>
      <c r="B262" s="150" t="str">
        <f>IFERROR(VLOOKUP(BDREGISTROASAMBLEA2025[[#This Row],[NROKARDEX]],BDPADRES[],8,FALSE),"Sin registrado")</f>
        <v>FILOMENA ZAMBRANA COCA</v>
      </c>
    </row>
    <row r="263" spans="1:2" x14ac:dyDescent="0.25">
      <c r="A263" s="151">
        <f t="shared" si="5"/>
        <v>255</v>
      </c>
      <c r="B263" s="150" t="str">
        <f>IFERROR(VLOOKUP(BDREGISTROASAMBLEA2025[[#This Row],[NROKARDEX]],BDPADRES[],8,FALSE),"Sin registrado")</f>
        <v>SANDRA BALLESTEROS TORREZ</v>
      </c>
    </row>
    <row r="264" spans="1:2" x14ac:dyDescent="0.25">
      <c r="A264" s="151">
        <f t="shared" si="5"/>
        <v>256</v>
      </c>
      <c r="B264" s="150" t="str">
        <f>IFERROR(VLOOKUP(BDREGISTROASAMBLEA2025[[#This Row],[NROKARDEX]],BDPADRES[],8,FALSE),"Sin registrado")</f>
        <v>Sin registrado</v>
      </c>
    </row>
    <row r="265" spans="1:2" x14ac:dyDescent="0.25">
      <c r="A265" s="151">
        <f t="shared" si="5"/>
        <v>257</v>
      </c>
      <c r="B265" s="150" t="str">
        <f>IFERROR(VLOOKUP(BDREGISTROASAMBLEA2025[[#This Row],[NROKARDEX]],BDPADRES[],8,FALSE),"Sin registrado")</f>
        <v>RAUL MARTINEZ AGUANTA</v>
      </c>
    </row>
    <row r="266" spans="1:2" x14ac:dyDescent="0.25">
      <c r="A266" s="151">
        <f t="shared" si="5"/>
        <v>258</v>
      </c>
      <c r="B266" s="150" t="str">
        <f>IFERROR(VLOOKUP(BDREGISTROASAMBLEA2025[[#This Row],[NROKARDEX]],BDPADRES[],8,FALSE),"Sin registrado")</f>
        <v>REBECA SANGREDE CONDORI</v>
      </c>
    </row>
    <row r="267" spans="1:2" x14ac:dyDescent="0.25">
      <c r="A267" s="151">
        <f t="shared" si="5"/>
        <v>259</v>
      </c>
      <c r="B267" s="150" t="str">
        <f>IFERROR(VLOOKUP(BDREGISTROASAMBLEA2025[[#This Row],[NROKARDEX]],BDPADRES[],8,FALSE),"Sin registrado")</f>
        <v>JUANA  CORTEZ ARAUZ</v>
      </c>
    </row>
    <row r="268" spans="1:2" x14ac:dyDescent="0.25">
      <c r="A268" s="151">
        <f t="shared" si="5"/>
        <v>260</v>
      </c>
      <c r="B268" s="150" t="str">
        <f>IFERROR(VLOOKUP(BDREGISTROASAMBLEA2025[[#This Row],[NROKARDEX]],BDPADRES[],8,FALSE),"Sin registrado")</f>
        <v>CELIA BEJARANO CHOQUE</v>
      </c>
    </row>
    <row r="269" spans="1:2" x14ac:dyDescent="0.25">
      <c r="A269" s="151">
        <f t="shared" si="5"/>
        <v>261</v>
      </c>
      <c r="B269" s="150" t="str">
        <f>IFERROR(VLOOKUP(BDREGISTROASAMBLEA2025[[#This Row],[NROKARDEX]],BDPADRES[],8,FALSE),"Sin registrado")</f>
        <v>BEATRIZ COA CHOQUE</v>
      </c>
    </row>
    <row r="270" spans="1:2" x14ac:dyDescent="0.25">
      <c r="A270" s="151">
        <f t="shared" si="5"/>
        <v>262</v>
      </c>
      <c r="B270" s="150" t="str">
        <f>IFERROR(VLOOKUP(BDREGISTROASAMBLEA2025[[#This Row],[NROKARDEX]],BDPADRES[],8,FALSE),"Sin registrado")</f>
        <v>MARICRUZ GUAYAO RIVERA</v>
      </c>
    </row>
    <row r="271" spans="1:2" x14ac:dyDescent="0.25">
      <c r="A271" s="151">
        <f t="shared" si="5"/>
        <v>263</v>
      </c>
      <c r="B271" s="150" t="str">
        <f>IFERROR(VLOOKUP(BDREGISTROASAMBLEA2025[[#This Row],[NROKARDEX]],BDPADRES[],8,FALSE),"Sin registrado")</f>
        <v>ELUTERIA CASTRO ARENAS</v>
      </c>
    </row>
    <row r="272" spans="1:2" x14ac:dyDescent="0.25">
      <c r="A272" s="151">
        <f t="shared" si="5"/>
        <v>264</v>
      </c>
      <c r="B272" s="150" t="str">
        <f>IFERROR(VLOOKUP(BDREGISTROASAMBLEA2025[[#This Row],[NROKARDEX]],BDPADRES[],8,FALSE),"Sin registrado")</f>
        <v>CATALINA ROMELIA GARCIA</v>
      </c>
    </row>
    <row r="273" spans="1:2" x14ac:dyDescent="0.25">
      <c r="A273" s="151">
        <f t="shared" si="5"/>
        <v>265</v>
      </c>
      <c r="B273" s="150" t="str">
        <f>IFERROR(VLOOKUP(BDREGISTROASAMBLEA2025[[#This Row],[NROKARDEX]],BDPADRES[],8,FALSE),"Sin registrado")</f>
        <v>ALBAIDA MANSILLA ALDANA</v>
      </c>
    </row>
    <row r="274" spans="1:2" x14ac:dyDescent="0.25">
      <c r="A274" s="151">
        <f t="shared" si="5"/>
        <v>266</v>
      </c>
      <c r="B274" s="150" t="str">
        <f>IFERROR(VLOOKUP(BDREGISTROASAMBLEA2025[[#This Row],[NROKARDEX]],BDPADRES[],8,FALSE),"Sin registrado")</f>
        <v>ROSA LEON TORREZ</v>
      </c>
    </row>
    <row r="275" spans="1:2" x14ac:dyDescent="0.25">
      <c r="A275" s="151">
        <f t="shared" si="5"/>
        <v>267</v>
      </c>
      <c r="B275" s="150" t="str">
        <f>IFERROR(VLOOKUP(BDREGISTROASAMBLEA2025[[#This Row],[NROKARDEX]],BDPADRES[],8,FALSE),"Sin registrado")</f>
        <v>JULIA  ALCARAZ SANABRIA</v>
      </c>
    </row>
    <row r="276" spans="1:2" x14ac:dyDescent="0.25">
      <c r="A276" s="151">
        <f t="shared" si="5"/>
        <v>268</v>
      </c>
      <c r="B276" s="150" t="str">
        <f>IFERROR(VLOOKUP(BDREGISTROASAMBLEA2025[[#This Row],[NROKARDEX]],BDPADRES[],8,FALSE),"Sin registrado")</f>
        <v>YINA DANIELA DORADO MONTENEGRO</v>
      </c>
    </row>
    <row r="277" spans="1:2" x14ac:dyDescent="0.25">
      <c r="A277" s="151">
        <f t="shared" si="5"/>
        <v>269</v>
      </c>
      <c r="B277" s="150" t="str">
        <f>IFERROR(VLOOKUP(BDREGISTROASAMBLEA2025[[#This Row],[NROKARDEX]],BDPADRES[],8,FALSE),"Sin registrado")</f>
        <v>LORENZA AMADOR SULLCA</v>
      </c>
    </row>
    <row r="278" spans="1:2" x14ac:dyDescent="0.25">
      <c r="A278" s="151">
        <f t="shared" si="5"/>
        <v>270</v>
      </c>
      <c r="B278" s="150" t="str">
        <f>IFERROR(VLOOKUP(BDREGISTROASAMBLEA2025[[#This Row],[NROKARDEX]],BDPADRES[],8,FALSE),"Sin registrado")</f>
        <v>Sin registrado</v>
      </c>
    </row>
    <row r="279" spans="1:2" x14ac:dyDescent="0.25">
      <c r="A279" s="151">
        <f t="shared" si="5"/>
        <v>271</v>
      </c>
      <c r="B279" s="150" t="str">
        <f>IFERROR(VLOOKUP(BDREGISTROASAMBLEA2025[[#This Row],[NROKARDEX]],BDPADRES[],8,FALSE),"Sin registrado")</f>
        <v>VICTORIA FIGUEROA SARDINAS</v>
      </c>
    </row>
    <row r="280" spans="1:2" x14ac:dyDescent="0.25">
      <c r="A280" s="151">
        <f t="shared" si="5"/>
        <v>272</v>
      </c>
      <c r="B280" s="150" t="str">
        <f>IFERROR(VLOOKUP(BDREGISTROASAMBLEA2025[[#This Row],[NROKARDEX]],BDPADRES[],8,FALSE),"Sin registrado")</f>
        <v>LEIDY FABIOLA CARRILLO CORONADO</v>
      </c>
    </row>
    <row r="281" spans="1:2" x14ac:dyDescent="0.25">
      <c r="A281" s="151">
        <f t="shared" si="5"/>
        <v>273</v>
      </c>
      <c r="B281" s="150" t="str">
        <f>IFERROR(VLOOKUP(BDREGISTROASAMBLEA2025[[#This Row],[NROKARDEX]],BDPADRES[],8,FALSE),"Sin registrado")</f>
        <v>REYNA ZARATE BARRIENTOS</v>
      </c>
    </row>
    <row r="282" spans="1:2" x14ac:dyDescent="0.25">
      <c r="A282" s="151">
        <f t="shared" si="5"/>
        <v>274</v>
      </c>
      <c r="B282" s="150" t="str">
        <f>IFERROR(VLOOKUP(BDREGISTROASAMBLEA2025[[#This Row],[NROKARDEX]],BDPADRES[],8,FALSE),"Sin registrado")</f>
        <v>EVELIN GUZMAN GARCIA</v>
      </c>
    </row>
    <row r="283" spans="1:2" x14ac:dyDescent="0.25">
      <c r="A283" s="151">
        <f t="shared" si="5"/>
        <v>275</v>
      </c>
      <c r="B283" s="150" t="str">
        <f>IFERROR(VLOOKUP(BDREGISTROASAMBLEA2025[[#This Row],[NROKARDEX]],BDPADRES[],8,FALSE),"Sin registrado")</f>
        <v>NELLY YASMINA ROBLES VALVERDE</v>
      </c>
    </row>
    <row r="284" spans="1:2" x14ac:dyDescent="0.25">
      <c r="A284" s="151">
        <f t="shared" si="5"/>
        <v>276</v>
      </c>
      <c r="B284" s="150" t="str">
        <f>IFERROR(VLOOKUP(BDREGISTROASAMBLEA2025[[#This Row],[NROKARDEX]],BDPADRES[],8,FALSE),"Sin registrado")</f>
        <v>ANA ROSY VACA NOGALES</v>
      </c>
    </row>
    <row r="285" spans="1:2" x14ac:dyDescent="0.25">
      <c r="A285" s="151">
        <f t="shared" si="5"/>
        <v>277</v>
      </c>
      <c r="B285" s="150" t="str">
        <f>IFERROR(VLOOKUP(BDREGISTROASAMBLEA2025[[#This Row],[NROKARDEX]],BDPADRES[],8,FALSE),"Sin registrado")</f>
        <v>MONICA MARTINEZ RICALDY</v>
      </c>
    </row>
    <row r="286" spans="1:2" x14ac:dyDescent="0.25">
      <c r="A286" s="151">
        <f t="shared" ref="A286:A349" si="6">ROW(A278)</f>
        <v>278</v>
      </c>
      <c r="B286" s="150" t="str">
        <f>IFERROR(VLOOKUP(BDREGISTROASAMBLEA2025[[#This Row],[NROKARDEX]],BDPADRES[],8,FALSE),"Sin registrado")</f>
        <v>AGUSTINA HERRERA.</v>
      </c>
    </row>
    <row r="287" spans="1:2" x14ac:dyDescent="0.25">
      <c r="A287" s="151">
        <f t="shared" si="6"/>
        <v>279</v>
      </c>
      <c r="B287" s="150" t="str">
        <f>IFERROR(VLOOKUP(BDREGISTROASAMBLEA2025[[#This Row],[NROKARDEX]],BDPADRES[],8,FALSE),"Sin registrado")</f>
        <v>PASCUALA CHOQUE BEJARANO</v>
      </c>
    </row>
    <row r="288" spans="1:2" x14ac:dyDescent="0.25">
      <c r="A288" s="151">
        <f t="shared" si="6"/>
        <v>280</v>
      </c>
      <c r="B288" s="150" t="str">
        <f>IFERROR(VLOOKUP(BDREGISTROASAMBLEA2025[[#This Row],[NROKARDEX]],BDPADRES[],8,FALSE),"Sin registrado")</f>
        <v>ESPERANZA FIGUEROA ALVAREZ</v>
      </c>
    </row>
    <row r="289" spans="1:2" x14ac:dyDescent="0.25">
      <c r="A289" s="151">
        <f t="shared" si="6"/>
        <v>281</v>
      </c>
      <c r="B289" s="150" t="str">
        <f>IFERROR(VLOOKUP(BDREGISTROASAMBLEA2025[[#This Row],[NROKARDEX]],BDPADRES[],8,FALSE),"Sin registrado")</f>
        <v>SIMONA COPA SALAZAR</v>
      </c>
    </row>
    <row r="290" spans="1:2" x14ac:dyDescent="0.25">
      <c r="A290" s="151">
        <f t="shared" si="6"/>
        <v>282</v>
      </c>
      <c r="B290" s="150" t="str">
        <f>IFERROR(VLOOKUP(BDREGISTROASAMBLEA2025[[#This Row],[NROKARDEX]],BDPADRES[],8,FALSE),"Sin registrado")</f>
        <v>Sin registrado</v>
      </c>
    </row>
    <row r="291" spans="1:2" x14ac:dyDescent="0.25">
      <c r="A291" s="151">
        <f t="shared" si="6"/>
        <v>283</v>
      </c>
      <c r="B291" s="150" t="str">
        <f>IFERROR(VLOOKUP(BDREGISTROASAMBLEA2025[[#This Row],[NROKARDEX]],BDPADRES[],8,FALSE),"Sin registrado")</f>
        <v>SIRLEY CARABALLO OJEDA</v>
      </c>
    </row>
    <row r="292" spans="1:2" x14ac:dyDescent="0.25">
      <c r="A292" s="151">
        <f t="shared" si="6"/>
        <v>284</v>
      </c>
      <c r="B292" s="150" t="str">
        <f>IFERROR(VLOOKUP(BDREGISTROASAMBLEA2025[[#This Row],[NROKARDEX]],BDPADRES[],8,FALSE),"Sin registrado")</f>
        <v>ROXANA DURAN MICHEL</v>
      </c>
    </row>
    <row r="293" spans="1:2" x14ac:dyDescent="0.25">
      <c r="A293" s="151">
        <f t="shared" si="6"/>
        <v>285</v>
      </c>
      <c r="B293" s="150" t="str">
        <f>IFERROR(VLOOKUP(BDREGISTROASAMBLEA2025[[#This Row],[NROKARDEX]],BDPADRES[],8,FALSE),"Sin registrado")</f>
        <v>JULITT  ARATEA RIOS</v>
      </c>
    </row>
    <row r="294" spans="1:2" x14ac:dyDescent="0.25">
      <c r="A294" s="151">
        <f t="shared" si="6"/>
        <v>286</v>
      </c>
      <c r="B294" s="150" t="str">
        <f>IFERROR(VLOOKUP(BDREGISTROASAMBLEA2025[[#This Row],[NROKARDEX]],BDPADRES[],8,FALSE),"Sin registrado")</f>
        <v>ALVAIDA LARA GALVIZ</v>
      </c>
    </row>
    <row r="295" spans="1:2" x14ac:dyDescent="0.25">
      <c r="A295" s="151">
        <f t="shared" si="6"/>
        <v>287</v>
      </c>
      <c r="B295" s="150" t="str">
        <f>IFERROR(VLOOKUP(BDREGISTROASAMBLEA2025[[#This Row],[NROKARDEX]],BDPADRES[],8,FALSE),"Sin registrado")</f>
        <v>AGUSTINA CRUZ MATURANO</v>
      </c>
    </row>
    <row r="296" spans="1:2" x14ac:dyDescent="0.25">
      <c r="A296" s="151">
        <f t="shared" si="6"/>
        <v>288</v>
      </c>
      <c r="B296" s="150" t="str">
        <f>IFERROR(VLOOKUP(BDREGISTROASAMBLEA2025[[#This Row],[NROKARDEX]],BDPADRES[],8,FALSE),"Sin registrado")</f>
        <v>ARMINDA VELA GARCIA</v>
      </c>
    </row>
    <row r="297" spans="1:2" x14ac:dyDescent="0.25">
      <c r="A297" s="151">
        <f t="shared" si="6"/>
        <v>289</v>
      </c>
      <c r="B297" s="150" t="str">
        <f>IFERROR(VLOOKUP(BDREGISTROASAMBLEA2025[[#This Row],[NROKARDEX]],BDPADRES[],8,FALSE),"Sin registrado")</f>
        <v>ADALID ROSLIN VARGAS ACHO</v>
      </c>
    </row>
    <row r="298" spans="1:2" x14ac:dyDescent="0.25">
      <c r="A298" s="151">
        <f t="shared" si="6"/>
        <v>290</v>
      </c>
      <c r="B298" s="150" t="str">
        <f>IFERROR(VLOOKUP(BDREGISTROASAMBLEA2025[[#This Row],[NROKARDEX]],BDPADRES[],8,FALSE),"Sin registrado")</f>
        <v>Sin registrado</v>
      </c>
    </row>
    <row r="299" spans="1:2" x14ac:dyDescent="0.25">
      <c r="A299" s="151">
        <f t="shared" si="6"/>
        <v>291</v>
      </c>
      <c r="B299" s="150" t="str">
        <f>IFERROR(VLOOKUP(BDREGISTROASAMBLEA2025[[#This Row],[NROKARDEX]],BDPADRES[],8,FALSE),"Sin registrado")</f>
        <v>NEISA ARICOMA CORCHADO</v>
      </c>
    </row>
    <row r="300" spans="1:2" x14ac:dyDescent="0.25">
      <c r="A300" s="151">
        <f t="shared" si="6"/>
        <v>292</v>
      </c>
      <c r="B300" s="150" t="str">
        <f>IFERROR(VLOOKUP(BDREGISTROASAMBLEA2025[[#This Row],[NROKARDEX]],BDPADRES[],8,FALSE),"Sin registrado")</f>
        <v>LIDIA  LIMA VARGAS</v>
      </c>
    </row>
    <row r="301" spans="1:2" x14ac:dyDescent="0.25">
      <c r="A301" s="151">
        <f t="shared" si="6"/>
        <v>293</v>
      </c>
      <c r="B301" s="150" t="str">
        <f>IFERROR(VLOOKUP(BDREGISTROASAMBLEA2025[[#This Row],[NROKARDEX]],BDPADRES[],8,FALSE),"Sin registrado")</f>
        <v>CINTHIA ESPONOZA FARELL</v>
      </c>
    </row>
    <row r="302" spans="1:2" x14ac:dyDescent="0.25">
      <c r="A302" s="151">
        <f t="shared" si="6"/>
        <v>294</v>
      </c>
      <c r="B302" s="150" t="str">
        <f>IFERROR(VLOOKUP(BDREGISTROASAMBLEA2025[[#This Row],[NROKARDEX]],BDPADRES[],8,FALSE),"Sin registrado")</f>
        <v>MARIA FATIMA HERRERA REVOLLO</v>
      </c>
    </row>
    <row r="303" spans="1:2" x14ac:dyDescent="0.25">
      <c r="A303" s="151">
        <f t="shared" si="6"/>
        <v>295</v>
      </c>
      <c r="B303" s="150" t="str">
        <f>IFERROR(VLOOKUP(BDREGISTROASAMBLEA2025[[#This Row],[NROKARDEX]],BDPADRES[],8,FALSE),"Sin registrado")</f>
        <v>Sin registrado</v>
      </c>
    </row>
    <row r="304" spans="1:2" x14ac:dyDescent="0.25">
      <c r="A304" s="151">
        <f t="shared" si="6"/>
        <v>296</v>
      </c>
      <c r="B304" s="150" t="str">
        <f>IFERROR(VLOOKUP(BDREGISTROASAMBLEA2025[[#This Row],[NROKARDEX]],BDPADRES[],8,FALSE),"Sin registrado")</f>
        <v>NEYDA YANETH HEREDIA RUBIO</v>
      </c>
    </row>
    <row r="305" spans="1:2" x14ac:dyDescent="0.25">
      <c r="A305" s="151">
        <f t="shared" si="6"/>
        <v>297</v>
      </c>
      <c r="B305" s="150" t="str">
        <f>IFERROR(VLOOKUP(BDREGISTROASAMBLEA2025[[#This Row],[NROKARDEX]],BDPADRES[],8,FALSE),"Sin registrado")</f>
        <v>LILY MANGUTA ARARIYO</v>
      </c>
    </row>
    <row r="306" spans="1:2" x14ac:dyDescent="0.25">
      <c r="A306" s="151">
        <f t="shared" si="6"/>
        <v>298</v>
      </c>
      <c r="B306" s="150" t="str">
        <f>IFERROR(VLOOKUP(BDREGISTROASAMBLEA2025[[#This Row],[NROKARDEX]],BDPADRES[],8,FALSE),"Sin registrado")</f>
        <v>YESMY ALBA FLORES</v>
      </c>
    </row>
    <row r="307" spans="1:2" x14ac:dyDescent="0.25">
      <c r="A307" s="151">
        <f t="shared" si="6"/>
        <v>299</v>
      </c>
      <c r="B307" s="150" t="str">
        <f>IFERROR(VLOOKUP(BDREGISTROASAMBLEA2025[[#This Row],[NROKARDEX]],BDPADRES[],8,FALSE),"Sin registrado")</f>
        <v>CARLA PATRICIA SILES NUÑEZ</v>
      </c>
    </row>
    <row r="308" spans="1:2" x14ac:dyDescent="0.25">
      <c r="A308" s="151">
        <f t="shared" si="6"/>
        <v>300</v>
      </c>
      <c r="B308" s="150" t="str">
        <f>IFERROR(VLOOKUP(BDREGISTROASAMBLEA2025[[#This Row],[NROKARDEX]],BDPADRES[],8,FALSE),"Sin registrado")</f>
        <v>SAIDA QUENTA BARRIENTOS</v>
      </c>
    </row>
    <row r="309" spans="1:2" x14ac:dyDescent="0.25">
      <c r="A309" s="151">
        <f t="shared" si="6"/>
        <v>301</v>
      </c>
      <c r="B309" s="150" t="str">
        <f>IFERROR(VLOOKUP(BDREGISTROASAMBLEA2025[[#This Row],[NROKARDEX]],BDPADRES[],8,FALSE),"Sin registrado")</f>
        <v>VICTORIA BARRIGA VEDIA</v>
      </c>
    </row>
    <row r="310" spans="1:2" x14ac:dyDescent="0.25">
      <c r="A310" s="151">
        <f t="shared" si="6"/>
        <v>302</v>
      </c>
      <c r="B310" s="150" t="str">
        <f>IFERROR(VLOOKUP(BDREGISTROASAMBLEA2025[[#This Row],[NROKARDEX]],BDPADRES[],8,FALSE),"Sin registrado")</f>
        <v>JACKELIN TORREZ ROJAS</v>
      </c>
    </row>
    <row r="311" spans="1:2" x14ac:dyDescent="0.25">
      <c r="A311" s="151">
        <f t="shared" si="6"/>
        <v>303</v>
      </c>
      <c r="B311" s="150" t="str">
        <f>IFERROR(VLOOKUP(BDREGISTROASAMBLEA2025[[#This Row],[NROKARDEX]],BDPADRES[],8,FALSE),"Sin registrado")</f>
        <v>DOLLY SALAZAR</v>
      </c>
    </row>
    <row r="312" spans="1:2" x14ac:dyDescent="0.25">
      <c r="A312" s="151">
        <f t="shared" si="6"/>
        <v>304</v>
      </c>
      <c r="B312" s="150" t="str">
        <f>IFERROR(VLOOKUP(BDREGISTROASAMBLEA2025[[#This Row],[NROKARDEX]],BDPADRES[],8,FALSE),"Sin registrado")</f>
        <v>SUSANA PRADO ASCARRAGA</v>
      </c>
    </row>
    <row r="313" spans="1:2" x14ac:dyDescent="0.25">
      <c r="A313" s="151">
        <f t="shared" si="6"/>
        <v>305</v>
      </c>
      <c r="B313" s="150" t="str">
        <f>IFERROR(VLOOKUP(BDREGISTROASAMBLEA2025[[#This Row],[NROKARDEX]],BDPADRES[],8,FALSE),"Sin registrado")</f>
        <v>Sin registrado</v>
      </c>
    </row>
    <row r="314" spans="1:2" x14ac:dyDescent="0.25">
      <c r="A314" s="151">
        <f t="shared" si="6"/>
        <v>306</v>
      </c>
      <c r="B314" s="150" t="str">
        <f>IFERROR(VLOOKUP(BDREGISTROASAMBLEA2025[[#This Row],[NROKARDEX]],BDPADRES[],8,FALSE),"Sin registrado")</f>
        <v>REBECA COLQUE ROJAS</v>
      </c>
    </row>
    <row r="315" spans="1:2" x14ac:dyDescent="0.25">
      <c r="A315" s="151">
        <f t="shared" si="6"/>
        <v>307</v>
      </c>
      <c r="B315" s="150" t="str">
        <f>IFERROR(VLOOKUP(BDREGISTROASAMBLEA2025[[#This Row],[NROKARDEX]],BDPADRES[],8,FALSE),"Sin registrado")</f>
        <v>MARITZA VALLEJOS AGUILERA</v>
      </c>
    </row>
    <row r="316" spans="1:2" x14ac:dyDescent="0.25">
      <c r="A316" s="151">
        <f t="shared" si="6"/>
        <v>308</v>
      </c>
      <c r="B316" s="150" t="str">
        <f>IFERROR(VLOOKUP(BDREGISTROASAMBLEA2025[[#This Row],[NROKARDEX]],BDPADRES[],8,FALSE),"Sin registrado")</f>
        <v>YOLANDA ALARCON GUZMAN</v>
      </c>
    </row>
    <row r="317" spans="1:2" x14ac:dyDescent="0.25">
      <c r="A317" s="151">
        <f t="shared" si="6"/>
        <v>309</v>
      </c>
      <c r="B317" s="150" t="str">
        <f>IFERROR(VLOOKUP(BDREGISTROASAMBLEA2025[[#This Row],[NROKARDEX]],BDPADRES[],8,FALSE),"Sin registrado")</f>
        <v>ROSA  ESPINOZA LLANOS</v>
      </c>
    </row>
    <row r="318" spans="1:2" x14ac:dyDescent="0.25">
      <c r="A318" s="151">
        <f t="shared" si="6"/>
        <v>310</v>
      </c>
      <c r="B318" s="150" t="str">
        <f>IFERROR(VLOOKUP(BDREGISTROASAMBLEA2025[[#This Row],[NROKARDEX]],BDPADRES[],8,FALSE),"Sin registrado")</f>
        <v>MARTINA VILLCA FLORES</v>
      </c>
    </row>
    <row r="319" spans="1:2" x14ac:dyDescent="0.25">
      <c r="A319" s="151">
        <f t="shared" si="6"/>
        <v>311</v>
      </c>
      <c r="B319" s="150" t="str">
        <f>IFERROR(VLOOKUP(BDREGISTROASAMBLEA2025[[#This Row],[NROKARDEX]],BDPADRES[],8,FALSE),"Sin registrado")</f>
        <v>JUANITA GONZALES BANEGAS</v>
      </c>
    </row>
    <row r="320" spans="1:2" x14ac:dyDescent="0.25">
      <c r="A320" s="151">
        <f t="shared" si="6"/>
        <v>312</v>
      </c>
      <c r="B320" s="150" t="str">
        <f>IFERROR(VLOOKUP(BDREGISTROASAMBLEA2025[[#This Row],[NROKARDEX]],BDPADRES[],8,FALSE),"Sin registrado")</f>
        <v>MARCIANA APAZA FLORES</v>
      </c>
    </row>
    <row r="321" spans="1:2" x14ac:dyDescent="0.25">
      <c r="A321" s="151">
        <f t="shared" si="6"/>
        <v>313</v>
      </c>
      <c r="B321" s="150" t="str">
        <f>IFERROR(VLOOKUP(BDREGISTROASAMBLEA2025[[#This Row],[NROKARDEX]],BDPADRES[],8,FALSE),"Sin registrado")</f>
        <v>YULI MIRANDA PADILLA</v>
      </c>
    </row>
    <row r="322" spans="1:2" x14ac:dyDescent="0.25">
      <c r="A322" s="151">
        <f t="shared" si="6"/>
        <v>314</v>
      </c>
      <c r="B322" s="150" t="str">
        <f>IFERROR(VLOOKUP(BDREGISTROASAMBLEA2025[[#This Row],[NROKARDEX]],BDPADRES[],8,FALSE),"Sin registrado")</f>
        <v>LURDES GUZMAN LEDEZMA</v>
      </c>
    </row>
    <row r="323" spans="1:2" x14ac:dyDescent="0.25">
      <c r="A323" s="151">
        <f t="shared" si="6"/>
        <v>315</v>
      </c>
      <c r="B323" s="150" t="str">
        <f>IFERROR(VLOOKUP(BDREGISTROASAMBLEA2025[[#This Row],[NROKARDEX]],BDPADRES[],8,FALSE),"Sin registrado")</f>
        <v>BEATRIZ ESTRADA BOCANEGRA</v>
      </c>
    </row>
    <row r="324" spans="1:2" x14ac:dyDescent="0.25">
      <c r="A324" s="151">
        <f t="shared" si="6"/>
        <v>316</v>
      </c>
      <c r="B324" s="150" t="str">
        <f>IFERROR(VLOOKUP(BDREGISTROASAMBLEA2025[[#This Row],[NROKARDEX]],BDPADRES[],8,FALSE),"Sin registrado")</f>
        <v>HILARIA CRUZ ROMERO</v>
      </c>
    </row>
    <row r="325" spans="1:2" x14ac:dyDescent="0.25">
      <c r="A325" s="151">
        <f t="shared" si="6"/>
        <v>317</v>
      </c>
      <c r="B325" s="150" t="str">
        <f>IFERROR(VLOOKUP(BDREGISTROASAMBLEA2025[[#This Row],[NROKARDEX]],BDPADRES[],8,FALSE),"Sin registrado")</f>
        <v>Sin registrado</v>
      </c>
    </row>
    <row r="326" spans="1:2" x14ac:dyDescent="0.25">
      <c r="A326" s="151">
        <f t="shared" si="6"/>
        <v>318</v>
      </c>
      <c r="B326" s="150" t="str">
        <f>IFERROR(VLOOKUP(BDREGISTROASAMBLEA2025[[#This Row],[NROKARDEX]],BDPADRES[],8,FALSE),"Sin registrado")</f>
        <v>DIONICIA VASQUEZ HIDALGO</v>
      </c>
    </row>
    <row r="327" spans="1:2" x14ac:dyDescent="0.25">
      <c r="A327" s="151">
        <f t="shared" si="6"/>
        <v>319</v>
      </c>
      <c r="B327" s="150" t="str">
        <f>IFERROR(VLOOKUP(BDREGISTROASAMBLEA2025[[#This Row],[NROKARDEX]],BDPADRES[],8,FALSE),"Sin registrado")</f>
        <v>LUCY   FAREL GUEVARA</v>
      </c>
    </row>
    <row r="328" spans="1:2" x14ac:dyDescent="0.25">
      <c r="A328" s="151">
        <f t="shared" si="6"/>
        <v>320</v>
      </c>
      <c r="B328" s="150" t="str">
        <f>IFERROR(VLOOKUP(BDREGISTROASAMBLEA2025[[#This Row],[NROKARDEX]],BDPADRES[],8,FALSE),"Sin registrado")</f>
        <v>JUANA SORIA MORON</v>
      </c>
    </row>
    <row r="329" spans="1:2" x14ac:dyDescent="0.25">
      <c r="A329" s="151">
        <f t="shared" si="6"/>
        <v>321</v>
      </c>
      <c r="B329" s="150" t="str">
        <f>IFERROR(VLOOKUP(BDREGISTROASAMBLEA2025[[#This Row],[NROKARDEX]],BDPADRES[],8,FALSE),"Sin registrado")</f>
        <v>MARIA VILLARPANDO AVILA</v>
      </c>
    </row>
    <row r="330" spans="1:2" x14ac:dyDescent="0.25">
      <c r="A330" s="151">
        <f t="shared" si="6"/>
        <v>322</v>
      </c>
      <c r="B330" s="150" t="str">
        <f>IFERROR(VLOOKUP(BDREGISTROASAMBLEA2025[[#This Row],[NROKARDEX]],BDPADRES[],8,FALSE),"Sin registrado")</f>
        <v>REINA SERRUDO GUERRA</v>
      </c>
    </row>
    <row r="331" spans="1:2" x14ac:dyDescent="0.25">
      <c r="A331" s="151">
        <f t="shared" si="6"/>
        <v>323</v>
      </c>
      <c r="B331" s="150" t="str">
        <f>IFERROR(VLOOKUP(BDREGISTROASAMBLEA2025[[#This Row],[NROKARDEX]],BDPADRES[],8,FALSE),"Sin registrado")</f>
        <v>Sin registrado</v>
      </c>
    </row>
    <row r="332" spans="1:2" x14ac:dyDescent="0.25">
      <c r="A332" s="151">
        <f t="shared" si="6"/>
        <v>324</v>
      </c>
      <c r="B332" s="150" t="str">
        <f>IFERROR(VLOOKUP(BDREGISTROASAMBLEA2025[[#This Row],[NROKARDEX]],BDPADRES[],8,FALSE),"Sin registrado")</f>
        <v>MILDREM ABIGAIL ANCASI ESPINOZA</v>
      </c>
    </row>
    <row r="333" spans="1:2" x14ac:dyDescent="0.25">
      <c r="A333" s="151">
        <f t="shared" si="6"/>
        <v>325</v>
      </c>
      <c r="B333" s="150" t="str">
        <f>IFERROR(VLOOKUP(BDREGISTROASAMBLEA2025[[#This Row],[NROKARDEX]],BDPADRES[],8,FALSE),"Sin registrado")</f>
        <v>VERONICA CHUMACERO MAMANI</v>
      </c>
    </row>
    <row r="334" spans="1:2" x14ac:dyDescent="0.25">
      <c r="A334" s="151">
        <f t="shared" si="6"/>
        <v>326</v>
      </c>
      <c r="B334" s="150" t="str">
        <f>IFERROR(VLOOKUP(BDREGISTROASAMBLEA2025[[#This Row],[NROKARDEX]],BDPADRES[],8,FALSE),"Sin registrado")</f>
        <v>ANGELICA GUDELIA SANDOVAL LOPEZ</v>
      </c>
    </row>
    <row r="335" spans="1:2" x14ac:dyDescent="0.25">
      <c r="A335" s="151">
        <f t="shared" si="6"/>
        <v>327</v>
      </c>
      <c r="B335" s="150" t="str">
        <f>IFERROR(VLOOKUP(BDREGISTROASAMBLEA2025[[#This Row],[NROKARDEX]],BDPADRES[],8,FALSE),"Sin registrado")</f>
        <v>JAQUELIN ROMAN MENCARI</v>
      </c>
    </row>
    <row r="336" spans="1:2" x14ac:dyDescent="0.25">
      <c r="A336" s="151">
        <f t="shared" si="6"/>
        <v>328</v>
      </c>
      <c r="B336" s="150" t="str">
        <f>IFERROR(VLOOKUP(BDREGISTROASAMBLEA2025[[#This Row],[NROKARDEX]],BDPADRES[],8,FALSE),"Sin registrado")</f>
        <v>PEREGRINA VARGAS CUCHALLO</v>
      </c>
    </row>
    <row r="337" spans="1:2" x14ac:dyDescent="0.25">
      <c r="A337" s="151">
        <f t="shared" si="6"/>
        <v>329</v>
      </c>
      <c r="B337" s="150" t="str">
        <f>IFERROR(VLOOKUP(BDREGISTROASAMBLEA2025[[#This Row],[NROKARDEX]],BDPADRES[],8,FALSE),"Sin registrado")</f>
        <v>NORMA ARANCIBIA FIGUEROA</v>
      </c>
    </row>
    <row r="338" spans="1:2" x14ac:dyDescent="0.25">
      <c r="A338" s="151">
        <f t="shared" si="6"/>
        <v>330</v>
      </c>
      <c r="B338" s="150" t="str">
        <f>IFERROR(VLOOKUP(BDREGISTROASAMBLEA2025[[#This Row],[NROKARDEX]],BDPADRES[],8,FALSE),"Sin registrado")</f>
        <v>Sin registrado</v>
      </c>
    </row>
    <row r="339" spans="1:2" x14ac:dyDescent="0.25">
      <c r="A339" s="151">
        <f t="shared" si="6"/>
        <v>331</v>
      </c>
      <c r="B339" s="150" t="str">
        <f>IFERROR(VLOOKUP(BDREGISTROASAMBLEA2025[[#This Row],[NROKARDEX]],BDPADRES[],8,FALSE),"Sin registrado")</f>
        <v>LAURA RIVERA ROSSEL</v>
      </c>
    </row>
    <row r="340" spans="1:2" x14ac:dyDescent="0.25">
      <c r="A340" s="151">
        <f t="shared" si="6"/>
        <v>332</v>
      </c>
      <c r="B340" s="150" t="str">
        <f>IFERROR(VLOOKUP(BDREGISTROASAMBLEA2025[[#This Row],[NROKARDEX]],BDPADRES[],8,FALSE),"Sin registrado")</f>
        <v>INGRID SAAVEDRA MANO</v>
      </c>
    </row>
    <row r="341" spans="1:2" x14ac:dyDescent="0.25">
      <c r="A341" s="151">
        <f t="shared" si="6"/>
        <v>333</v>
      </c>
      <c r="B341" s="150" t="str">
        <f>IFERROR(VLOOKUP(BDREGISTROASAMBLEA2025[[#This Row],[NROKARDEX]],BDPADRES[],8,FALSE),"Sin registrado")</f>
        <v>DOMINGA CABRERA ORTIZ</v>
      </c>
    </row>
    <row r="342" spans="1:2" x14ac:dyDescent="0.25">
      <c r="A342" s="151">
        <f t="shared" si="6"/>
        <v>334</v>
      </c>
      <c r="B342" s="150" t="str">
        <f>IFERROR(VLOOKUP(BDREGISTROASAMBLEA2025[[#This Row],[NROKARDEX]],BDPADRES[],8,FALSE),"Sin registrado")</f>
        <v>MARY LUZ CHAVEZ RODA</v>
      </c>
    </row>
    <row r="343" spans="1:2" x14ac:dyDescent="0.25">
      <c r="A343" s="151">
        <f t="shared" si="6"/>
        <v>335</v>
      </c>
      <c r="B343" s="150" t="str">
        <f>IFERROR(VLOOKUP(BDREGISTROASAMBLEA2025[[#This Row],[NROKARDEX]],BDPADRES[],8,FALSE),"Sin registrado")</f>
        <v>GABRIELA BANUS ESTRADA</v>
      </c>
    </row>
    <row r="344" spans="1:2" x14ac:dyDescent="0.25">
      <c r="A344" s="151">
        <f t="shared" si="6"/>
        <v>336</v>
      </c>
      <c r="B344" s="150" t="str">
        <f>IFERROR(VLOOKUP(BDREGISTROASAMBLEA2025[[#This Row],[NROKARDEX]],BDPADRES[],8,FALSE),"Sin registrado")</f>
        <v>ERNESTINA PADILLA GAMBOA</v>
      </c>
    </row>
    <row r="345" spans="1:2" x14ac:dyDescent="0.25">
      <c r="A345" s="151">
        <f t="shared" si="6"/>
        <v>337</v>
      </c>
      <c r="B345" s="150" t="str">
        <f>IFERROR(VLOOKUP(BDREGISTROASAMBLEA2025[[#This Row],[NROKARDEX]],BDPADRES[],8,FALSE),"Sin registrado")</f>
        <v>RAQUEL MARTINEZ PADILLA</v>
      </c>
    </row>
    <row r="346" spans="1:2" x14ac:dyDescent="0.25">
      <c r="A346" s="151">
        <f t="shared" si="6"/>
        <v>338</v>
      </c>
      <c r="B346" s="150" t="str">
        <f>IFERROR(VLOOKUP(BDREGISTROASAMBLEA2025[[#This Row],[NROKARDEX]],BDPADRES[],8,FALSE),"Sin registrado")</f>
        <v>JUANA BALDERRAMA ROQUE</v>
      </c>
    </row>
    <row r="347" spans="1:2" x14ac:dyDescent="0.25">
      <c r="A347" s="151">
        <f t="shared" si="6"/>
        <v>339</v>
      </c>
      <c r="B347" s="150" t="str">
        <f>IFERROR(VLOOKUP(BDREGISTROASAMBLEA2025[[#This Row],[NROKARDEX]],BDPADRES[],8,FALSE),"Sin registrado")</f>
        <v>CELIDA CESPEDES CARRIAZO</v>
      </c>
    </row>
    <row r="348" spans="1:2" x14ac:dyDescent="0.25">
      <c r="A348" s="151">
        <f t="shared" si="6"/>
        <v>340</v>
      </c>
      <c r="B348" s="150" t="str">
        <f>IFERROR(VLOOKUP(BDREGISTROASAMBLEA2025[[#This Row],[NROKARDEX]],BDPADRES[],8,FALSE),"Sin registrado")</f>
        <v>SILVIA GARCIA RODAS</v>
      </c>
    </row>
    <row r="349" spans="1:2" x14ac:dyDescent="0.25">
      <c r="A349" s="151">
        <f t="shared" si="6"/>
        <v>341</v>
      </c>
      <c r="B349" s="150" t="str">
        <f>IFERROR(VLOOKUP(BDREGISTROASAMBLEA2025[[#This Row],[NROKARDEX]],BDPADRES[],8,FALSE),"Sin registrado")</f>
        <v>VERONICA PINO FLORES</v>
      </c>
    </row>
    <row r="350" spans="1:2" x14ac:dyDescent="0.25">
      <c r="A350" s="151">
        <f t="shared" ref="A350:A408" si="7">ROW(A342)</f>
        <v>342</v>
      </c>
      <c r="B350" s="150" t="str">
        <f>IFERROR(VLOOKUP(BDREGISTROASAMBLEA2025[[#This Row],[NROKARDEX]],BDPADRES[],8,FALSE),"Sin registrado")</f>
        <v>VALENTINA FLORES VARGAS</v>
      </c>
    </row>
    <row r="351" spans="1:2" x14ac:dyDescent="0.25">
      <c r="A351" s="151">
        <f t="shared" si="7"/>
        <v>343</v>
      </c>
      <c r="B351" s="150" t="str">
        <f>IFERROR(VLOOKUP(BDREGISTROASAMBLEA2025[[#This Row],[NROKARDEX]],BDPADRES[],8,FALSE),"Sin registrado")</f>
        <v>DEYSI SEGARRA VARGAS</v>
      </c>
    </row>
    <row r="352" spans="1:2" x14ac:dyDescent="0.25">
      <c r="A352" s="151">
        <f t="shared" si="7"/>
        <v>344</v>
      </c>
      <c r="B352" s="150" t="str">
        <f>IFERROR(VLOOKUP(BDREGISTROASAMBLEA2025[[#This Row],[NROKARDEX]],BDPADRES[],8,FALSE),"Sin registrado")</f>
        <v>LISBETH MAMANI FIGUEROA</v>
      </c>
    </row>
    <row r="353" spans="1:2" x14ac:dyDescent="0.25">
      <c r="A353" s="151">
        <f t="shared" si="7"/>
        <v>345</v>
      </c>
      <c r="B353" s="150" t="str">
        <f>IFERROR(VLOOKUP(BDREGISTROASAMBLEA2025[[#This Row],[NROKARDEX]],BDPADRES[],8,FALSE),"Sin registrado")</f>
        <v>LUCY MAR TAPIA LARA</v>
      </c>
    </row>
    <row r="354" spans="1:2" x14ac:dyDescent="0.25">
      <c r="A354" s="151">
        <f t="shared" si="7"/>
        <v>346</v>
      </c>
      <c r="B354" s="150" t="str">
        <f>IFERROR(VLOOKUP(BDREGISTROASAMBLEA2025[[#This Row],[NROKARDEX]],BDPADRES[],8,FALSE),"Sin registrado")</f>
        <v>Sin registrado</v>
      </c>
    </row>
    <row r="355" spans="1:2" x14ac:dyDescent="0.25">
      <c r="A355" s="151">
        <f t="shared" si="7"/>
        <v>347</v>
      </c>
      <c r="B355" s="150" t="str">
        <f>IFERROR(VLOOKUP(BDREGISTROASAMBLEA2025[[#This Row],[NROKARDEX]],BDPADRES[],8,FALSE),"Sin registrado")</f>
        <v>CONCEPCION MARINA MAMANI VALLEJOS</v>
      </c>
    </row>
    <row r="356" spans="1:2" x14ac:dyDescent="0.25">
      <c r="A356" s="151">
        <f t="shared" si="7"/>
        <v>348</v>
      </c>
      <c r="B356" s="150" t="str">
        <f>IFERROR(VLOOKUP(BDREGISTROASAMBLEA2025[[#This Row],[NROKARDEX]],BDPADRES[],8,FALSE),"Sin registrado")</f>
        <v>MARY LOURDES COLQUE QUISPE</v>
      </c>
    </row>
    <row r="357" spans="1:2" x14ac:dyDescent="0.25">
      <c r="A357" s="151">
        <f t="shared" si="7"/>
        <v>349</v>
      </c>
      <c r="B357" s="150" t="str">
        <f>IFERROR(VLOOKUP(BDREGISTROASAMBLEA2025[[#This Row],[NROKARDEX]],BDPADRES[],8,FALSE),"Sin registrado")</f>
        <v>VITALIA CONDORI CRISPIN</v>
      </c>
    </row>
    <row r="358" spans="1:2" x14ac:dyDescent="0.25">
      <c r="A358" s="151">
        <f t="shared" si="7"/>
        <v>350</v>
      </c>
      <c r="B358" s="150" t="str">
        <f>IFERROR(VLOOKUP(BDREGISTROASAMBLEA2025[[#This Row],[NROKARDEX]],BDPADRES[],8,FALSE),"Sin registrado")</f>
        <v>JUANA PACHACOPA TARDIO</v>
      </c>
    </row>
    <row r="359" spans="1:2" x14ac:dyDescent="0.25">
      <c r="A359" s="151">
        <f t="shared" si="7"/>
        <v>351</v>
      </c>
      <c r="B359" s="150" t="str">
        <f>IFERROR(VLOOKUP(BDREGISTROASAMBLEA2025[[#This Row],[NROKARDEX]],BDPADRES[],8,FALSE),"Sin registrado")</f>
        <v>ROSMERY MORALES RENTERIA</v>
      </c>
    </row>
    <row r="360" spans="1:2" x14ac:dyDescent="0.25">
      <c r="A360" s="151">
        <f t="shared" si="7"/>
        <v>352</v>
      </c>
      <c r="B360" s="150" t="str">
        <f>IFERROR(VLOOKUP(BDREGISTROASAMBLEA2025[[#This Row],[NROKARDEX]],BDPADRES[],8,FALSE),"Sin registrado")</f>
        <v>FLORA COPA MAMANI</v>
      </c>
    </row>
    <row r="361" spans="1:2" x14ac:dyDescent="0.25">
      <c r="A361" s="151">
        <f t="shared" si="7"/>
        <v>353</v>
      </c>
      <c r="B361" s="150" t="str">
        <f>IFERROR(VLOOKUP(BDREGISTROASAMBLEA2025[[#This Row],[NROKARDEX]],BDPADRES[],8,FALSE),"Sin registrado")</f>
        <v>LORENZA GONZALES SERRANO</v>
      </c>
    </row>
    <row r="362" spans="1:2" x14ac:dyDescent="0.25">
      <c r="A362" s="151">
        <f t="shared" si="7"/>
        <v>354</v>
      </c>
      <c r="B362" s="150" t="str">
        <f>IFERROR(VLOOKUP(BDREGISTROASAMBLEA2025[[#This Row],[NROKARDEX]],BDPADRES[],8,FALSE),"Sin registrado")</f>
        <v>SAVINA LLANOS GUZMAN</v>
      </c>
    </row>
    <row r="363" spans="1:2" x14ac:dyDescent="0.25">
      <c r="A363" s="151">
        <f t="shared" si="7"/>
        <v>355</v>
      </c>
      <c r="B363" s="150" t="str">
        <f>IFERROR(VLOOKUP(BDREGISTROASAMBLEA2025[[#This Row],[NROKARDEX]],BDPADRES[],8,FALSE),"Sin registrado")</f>
        <v>FELICIDAD PUMA ROSAS</v>
      </c>
    </row>
    <row r="364" spans="1:2" x14ac:dyDescent="0.25">
      <c r="A364" s="151">
        <f t="shared" si="7"/>
        <v>356</v>
      </c>
      <c r="B364" s="150" t="str">
        <f>IFERROR(VLOOKUP(BDREGISTROASAMBLEA2025[[#This Row],[NROKARDEX]],BDPADRES[],8,FALSE),"Sin registrado")</f>
        <v>LAURA ARACELY GOMEZ HIDALGO</v>
      </c>
    </row>
    <row r="365" spans="1:2" x14ac:dyDescent="0.25">
      <c r="A365" s="151">
        <f t="shared" si="7"/>
        <v>357</v>
      </c>
      <c r="B365" s="150" t="str">
        <f>IFERROR(VLOOKUP(BDREGISTROASAMBLEA2025[[#This Row],[NROKARDEX]],BDPADRES[],8,FALSE),"Sin registrado")</f>
        <v>Sin registrado</v>
      </c>
    </row>
    <row r="366" spans="1:2" x14ac:dyDescent="0.25">
      <c r="A366" s="151">
        <f t="shared" si="7"/>
        <v>358</v>
      </c>
      <c r="B366" s="150" t="str">
        <f>IFERROR(VLOOKUP(BDREGISTROASAMBLEA2025[[#This Row],[NROKARDEX]],BDPADRES[],8,FALSE),"Sin registrado")</f>
        <v>NELFY RODAS</v>
      </c>
    </row>
    <row r="367" spans="1:2" x14ac:dyDescent="0.25">
      <c r="A367" s="151">
        <f t="shared" si="7"/>
        <v>359</v>
      </c>
      <c r="B367" s="150" t="str">
        <f>IFERROR(VLOOKUP(BDREGISTROASAMBLEA2025[[#This Row],[NROKARDEX]],BDPADRES[],8,FALSE),"Sin registrado")</f>
        <v>Sin registrado</v>
      </c>
    </row>
    <row r="368" spans="1:2" x14ac:dyDescent="0.25">
      <c r="A368" s="151">
        <f t="shared" si="7"/>
        <v>360</v>
      </c>
      <c r="B368" s="150" t="str">
        <f>IFERROR(VLOOKUP(BDREGISTROASAMBLEA2025[[#This Row],[NROKARDEX]],BDPADRES[],8,FALSE),"Sin registrado")</f>
        <v>NOEMY TORRICO DAZA</v>
      </c>
    </row>
    <row r="369" spans="1:2" x14ac:dyDescent="0.25">
      <c r="A369" s="151">
        <f t="shared" si="7"/>
        <v>361</v>
      </c>
      <c r="B369" s="150" t="str">
        <f>IFERROR(VLOOKUP(BDREGISTROASAMBLEA2025[[#This Row],[NROKARDEX]],BDPADRES[],8,FALSE),"Sin registrado")</f>
        <v>Sin registrado</v>
      </c>
    </row>
    <row r="370" spans="1:2" x14ac:dyDescent="0.25">
      <c r="A370" s="151">
        <f t="shared" si="7"/>
        <v>362</v>
      </c>
      <c r="B370" s="150" t="str">
        <f>IFERROR(VLOOKUP(BDREGISTROASAMBLEA2025[[#This Row],[NROKARDEX]],BDPADRES[],8,FALSE),"Sin registrado")</f>
        <v>ROSALIA CONDORI ALANES</v>
      </c>
    </row>
    <row r="371" spans="1:2" x14ac:dyDescent="0.25">
      <c r="A371" s="151">
        <f t="shared" si="7"/>
        <v>363</v>
      </c>
      <c r="B371" s="150" t="str">
        <f>IFERROR(VLOOKUP(BDREGISTROASAMBLEA2025[[#This Row],[NROKARDEX]],BDPADRES[],8,FALSE),"Sin registrado")</f>
        <v>MARGARITA ABALOS</v>
      </c>
    </row>
    <row r="372" spans="1:2" x14ac:dyDescent="0.25">
      <c r="A372" s="151">
        <f t="shared" si="7"/>
        <v>364</v>
      </c>
      <c r="B372" s="150" t="str">
        <f>IFERROR(VLOOKUP(BDREGISTROASAMBLEA2025[[#This Row],[NROKARDEX]],BDPADRES[],8,FALSE),"Sin registrado")</f>
        <v>BENITA CUBA ROMERO</v>
      </c>
    </row>
    <row r="373" spans="1:2" x14ac:dyDescent="0.25">
      <c r="A373" s="151">
        <f t="shared" si="7"/>
        <v>365</v>
      </c>
      <c r="B373" s="150" t="str">
        <f>IFERROR(VLOOKUP(BDREGISTROASAMBLEA2025[[#This Row],[NROKARDEX]],BDPADRES[],8,FALSE),"Sin registrado")</f>
        <v>ROXANA RENGIPO ZAPATA</v>
      </c>
    </row>
    <row r="374" spans="1:2" x14ac:dyDescent="0.25">
      <c r="A374" s="151">
        <f t="shared" si="7"/>
        <v>366</v>
      </c>
      <c r="B374" s="150" t="str">
        <f>IFERROR(VLOOKUP(BDREGISTROASAMBLEA2025[[#This Row],[NROKARDEX]],BDPADRES[],8,FALSE),"Sin registrado")</f>
        <v>YAQUELIN CARRISALES GUTIERRES</v>
      </c>
    </row>
    <row r="375" spans="1:2" x14ac:dyDescent="0.25">
      <c r="A375" s="151">
        <f t="shared" si="7"/>
        <v>367</v>
      </c>
      <c r="B375" s="150" t="str">
        <f>IFERROR(VLOOKUP(BDREGISTROASAMBLEA2025[[#This Row],[NROKARDEX]],BDPADRES[],8,FALSE),"Sin registrado")</f>
        <v>CRISTINA  DIAZ ALVAREZ</v>
      </c>
    </row>
    <row r="376" spans="1:2" x14ac:dyDescent="0.25">
      <c r="A376" s="151">
        <f t="shared" si="7"/>
        <v>368</v>
      </c>
      <c r="B376" s="150" t="str">
        <f>IFERROR(VLOOKUP(BDREGISTROASAMBLEA2025[[#This Row],[NROKARDEX]],BDPADRES[],8,FALSE),"Sin registrado")</f>
        <v>SULMA TERESA COLQUE MIRANDA</v>
      </c>
    </row>
    <row r="377" spans="1:2" x14ac:dyDescent="0.25">
      <c r="A377" s="151">
        <f t="shared" si="7"/>
        <v>369</v>
      </c>
      <c r="B377" s="150" t="str">
        <f>IFERROR(VLOOKUP(BDREGISTROASAMBLEA2025[[#This Row],[NROKARDEX]],BDPADRES[],8,FALSE),"Sin registrado")</f>
        <v>ISABEL CRUZ BAUTISTA</v>
      </c>
    </row>
    <row r="378" spans="1:2" x14ac:dyDescent="0.25">
      <c r="A378" s="151">
        <f t="shared" si="7"/>
        <v>370</v>
      </c>
      <c r="B378" s="150" t="str">
        <f>IFERROR(VLOOKUP(BDREGISTROASAMBLEA2025[[#This Row],[NROKARDEX]],BDPADRES[],8,FALSE),"Sin registrado")</f>
        <v>MELVY EUGENIA SARACHO VILLAGOMEZ</v>
      </c>
    </row>
    <row r="379" spans="1:2" x14ac:dyDescent="0.25">
      <c r="A379" s="151">
        <f t="shared" si="7"/>
        <v>371</v>
      </c>
      <c r="B379" s="150" t="str">
        <f>IFERROR(VLOOKUP(BDREGISTROASAMBLEA2025[[#This Row],[NROKARDEX]],BDPADRES[],8,FALSE),"Sin registrado")</f>
        <v>Sin registrado</v>
      </c>
    </row>
    <row r="380" spans="1:2" x14ac:dyDescent="0.25">
      <c r="A380" s="151">
        <f t="shared" si="7"/>
        <v>372</v>
      </c>
      <c r="B380" s="150" t="str">
        <f>IFERROR(VLOOKUP(BDREGISTROASAMBLEA2025[[#This Row],[NROKARDEX]],BDPADRES[],8,FALSE),"Sin registrado")</f>
        <v>SANDRA ANDRADE ROBLES</v>
      </c>
    </row>
    <row r="381" spans="1:2" x14ac:dyDescent="0.25">
      <c r="A381" s="151">
        <f t="shared" si="7"/>
        <v>373</v>
      </c>
      <c r="B381" s="150" t="str">
        <f>IFERROR(VLOOKUP(BDREGISTROASAMBLEA2025[[#This Row],[NROKARDEX]],BDPADRES[],8,FALSE),"Sin registrado")</f>
        <v>NANCY MOJICA GONZALES</v>
      </c>
    </row>
    <row r="382" spans="1:2" x14ac:dyDescent="0.25">
      <c r="A382" s="151">
        <f t="shared" si="7"/>
        <v>374</v>
      </c>
      <c r="B382" s="150" t="str">
        <f>IFERROR(VLOOKUP(BDREGISTROASAMBLEA2025[[#This Row],[NROKARDEX]],BDPADRES[],8,FALSE),"Sin registrado")</f>
        <v>FILOMENA CABRERA PANOZO</v>
      </c>
    </row>
    <row r="383" spans="1:2" x14ac:dyDescent="0.25">
      <c r="A383" s="151">
        <f t="shared" si="7"/>
        <v>375</v>
      </c>
      <c r="B383" s="150" t="str">
        <f>IFERROR(VLOOKUP(BDREGISTROASAMBLEA2025[[#This Row],[NROKARDEX]],BDPADRES[],8,FALSE),"Sin registrado")</f>
        <v>Sin registrado</v>
      </c>
    </row>
    <row r="384" spans="1:2" x14ac:dyDescent="0.25">
      <c r="A384" s="151">
        <f t="shared" si="7"/>
        <v>376</v>
      </c>
      <c r="B384" s="150" t="str">
        <f>IFERROR(VLOOKUP(BDREGISTROASAMBLEA2025[[#This Row],[NROKARDEX]],BDPADRES[],8,FALSE),"Sin registrado")</f>
        <v>ISILDA ASILLO MAMANI</v>
      </c>
    </row>
    <row r="385" spans="1:2" x14ac:dyDescent="0.25">
      <c r="A385" s="151">
        <f t="shared" si="7"/>
        <v>377</v>
      </c>
      <c r="B385" s="150" t="str">
        <f>IFERROR(VLOOKUP(BDREGISTROASAMBLEA2025[[#This Row],[NROKARDEX]],BDPADRES[],8,FALSE),"Sin registrado")</f>
        <v>FELICIDAD MAMANI DE FLORES</v>
      </c>
    </row>
    <row r="386" spans="1:2" x14ac:dyDescent="0.25">
      <c r="A386" s="151">
        <f t="shared" si="7"/>
        <v>378</v>
      </c>
      <c r="B386" s="150" t="str">
        <f>IFERROR(VLOOKUP(BDREGISTROASAMBLEA2025[[#This Row],[NROKARDEX]],BDPADRES[],8,FALSE),"Sin registrado")</f>
        <v>OLGA ROQUE TARAÑA</v>
      </c>
    </row>
    <row r="387" spans="1:2" x14ac:dyDescent="0.25">
      <c r="A387" s="151">
        <f t="shared" si="7"/>
        <v>379</v>
      </c>
      <c r="B387" s="150" t="str">
        <f>IFERROR(VLOOKUP(BDREGISTROASAMBLEA2025[[#This Row],[NROKARDEX]],BDPADRES[],8,FALSE),"Sin registrado")</f>
        <v>MARLENY VALVERDE CHOQUE</v>
      </c>
    </row>
    <row r="388" spans="1:2" x14ac:dyDescent="0.25">
      <c r="A388" s="151">
        <f t="shared" si="7"/>
        <v>380</v>
      </c>
      <c r="B388" s="150" t="str">
        <f>IFERROR(VLOOKUP(BDREGISTROASAMBLEA2025[[#This Row],[NROKARDEX]],BDPADRES[],8,FALSE),"Sin registrado")</f>
        <v>GUEDY MARTINEZ ROMERO</v>
      </c>
    </row>
    <row r="389" spans="1:2" x14ac:dyDescent="0.25">
      <c r="A389" s="151">
        <f t="shared" si="7"/>
        <v>381</v>
      </c>
      <c r="B389" s="150" t="str">
        <f>IFERROR(VLOOKUP(BDREGISTROASAMBLEA2025[[#This Row],[NROKARDEX]],BDPADRES[],8,FALSE),"Sin registrado")</f>
        <v>Sin registrado</v>
      </c>
    </row>
    <row r="390" spans="1:2" x14ac:dyDescent="0.25">
      <c r="A390" s="151">
        <f t="shared" si="7"/>
        <v>382</v>
      </c>
      <c r="B390" s="150" t="str">
        <f>IFERROR(VLOOKUP(BDREGISTROASAMBLEA2025[[#This Row],[NROKARDEX]],BDPADRES[],8,FALSE),"Sin registrado")</f>
        <v>FANNY MARTINEZ AGUANTA</v>
      </c>
    </row>
    <row r="391" spans="1:2" x14ac:dyDescent="0.25">
      <c r="A391" s="151">
        <f t="shared" si="7"/>
        <v>383</v>
      </c>
      <c r="B391" s="150" t="str">
        <f>IFERROR(VLOOKUP(BDREGISTROASAMBLEA2025[[#This Row],[NROKARDEX]],BDPADRES[],8,FALSE),"Sin registrado")</f>
        <v>FRANCISCA  FIGUEROA LOAIZA</v>
      </c>
    </row>
    <row r="392" spans="1:2" x14ac:dyDescent="0.25">
      <c r="A392" s="151">
        <f t="shared" si="7"/>
        <v>384</v>
      </c>
      <c r="B392" s="150" t="str">
        <f>IFERROR(VLOOKUP(BDREGISTROASAMBLEA2025[[#This Row],[NROKARDEX]],BDPADRES[],8,FALSE),"Sin registrado")</f>
        <v>ARACELY RODRIGUEZ HURTADO</v>
      </c>
    </row>
    <row r="393" spans="1:2" x14ac:dyDescent="0.25">
      <c r="A393" s="151">
        <f t="shared" si="7"/>
        <v>385</v>
      </c>
      <c r="B393" s="150" t="str">
        <f>IFERROR(VLOOKUP(BDREGISTROASAMBLEA2025[[#This Row],[NROKARDEX]],BDPADRES[],8,FALSE),"Sin registrado")</f>
        <v>EMI LENI MONTAÑO CARDENAS</v>
      </c>
    </row>
    <row r="394" spans="1:2" x14ac:dyDescent="0.25">
      <c r="A394" s="151">
        <f t="shared" si="7"/>
        <v>386</v>
      </c>
      <c r="B394" s="150" t="str">
        <f>IFERROR(VLOOKUP(BDREGISTROASAMBLEA2025[[#This Row],[NROKARDEX]],BDPADRES[],8,FALSE),"Sin registrado")</f>
        <v>FLORA GARCIA GOMEZ</v>
      </c>
    </row>
    <row r="395" spans="1:2" x14ac:dyDescent="0.25">
      <c r="A395" s="151">
        <f t="shared" si="7"/>
        <v>387</v>
      </c>
      <c r="B395" s="150" t="str">
        <f>IFERROR(VLOOKUP(BDREGISTROASAMBLEA2025[[#This Row],[NROKARDEX]],BDPADRES[],8,FALSE),"Sin registrado")</f>
        <v xml:space="preserve">SIN NOMBRE LLANOS  </v>
      </c>
    </row>
    <row r="396" spans="1:2" x14ac:dyDescent="0.25">
      <c r="A396" s="151">
        <f t="shared" si="7"/>
        <v>388</v>
      </c>
      <c r="B396" s="150" t="str">
        <f>IFERROR(VLOOKUP(BDREGISTROASAMBLEA2025[[#This Row],[NROKARDEX]],BDPADRES[],8,FALSE),"Sin registrado")</f>
        <v>ANGELICA CUELLAR MENDOZA</v>
      </c>
    </row>
    <row r="397" spans="1:2" x14ac:dyDescent="0.25">
      <c r="A397" s="151">
        <f t="shared" si="7"/>
        <v>389</v>
      </c>
      <c r="B397" s="150" t="str">
        <f>IFERROR(VLOOKUP(BDREGISTROASAMBLEA2025[[#This Row],[NROKARDEX]],BDPADRES[],8,FALSE),"Sin registrado")</f>
        <v>ELVA FLORES POLANCO</v>
      </c>
    </row>
    <row r="398" spans="1:2" x14ac:dyDescent="0.25">
      <c r="A398" s="151">
        <f t="shared" si="7"/>
        <v>390</v>
      </c>
      <c r="B398" s="150" t="str">
        <f>IFERROR(VLOOKUP(BDREGISTROASAMBLEA2025[[#This Row],[NROKARDEX]],BDPADRES[],8,FALSE),"Sin registrado")</f>
        <v>MARIA RODRIGUEZ CORTEZ</v>
      </c>
    </row>
    <row r="399" spans="1:2" x14ac:dyDescent="0.25">
      <c r="A399" s="151">
        <f t="shared" si="7"/>
        <v>391</v>
      </c>
      <c r="B399" s="150" t="str">
        <f>IFERROR(VLOOKUP(BDREGISTROASAMBLEA2025[[#This Row],[NROKARDEX]],BDPADRES[],8,FALSE),"Sin registrado")</f>
        <v>LEISY AGUADO CORTEZ</v>
      </c>
    </row>
    <row r="400" spans="1:2" x14ac:dyDescent="0.25">
      <c r="A400" s="151">
        <f t="shared" si="7"/>
        <v>392</v>
      </c>
      <c r="B400" s="150" t="str">
        <f>IFERROR(VLOOKUP(BDREGISTROASAMBLEA2025[[#This Row],[NROKARDEX]],BDPADRES[],8,FALSE),"Sin registrado")</f>
        <v>IRENIA RODRIGUEZ CORTEZ</v>
      </c>
    </row>
    <row r="401" spans="1:2" x14ac:dyDescent="0.25">
      <c r="A401" s="151">
        <f t="shared" si="7"/>
        <v>393</v>
      </c>
      <c r="B401" s="150" t="str">
        <f>IFERROR(VLOOKUP(BDREGISTROASAMBLEA2025[[#This Row],[NROKARDEX]],BDPADRES[],8,FALSE),"Sin registrado")</f>
        <v>AVIGAIL ELEYDE CIFUENTES</v>
      </c>
    </row>
    <row r="402" spans="1:2" x14ac:dyDescent="0.25">
      <c r="A402" s="151">
        <f t="shared" si="7"/>
        <v>394</v>
      </c>
      <c r="B402" s="150" t="str">
        <f>IFERROR(VLOOKUP(BDREGISTROASAMBLEA2025[[#This Row],[NROKARDEX]],BDPADRES[],8,FALSE),"Sin registrado")</f>
        <v>NILCA LEAÑO VERGARA</v>
      </c>
    </row>
    <row r="403" spans="1:2" x14ac:dyDescent="0.25">
      <c r="A403" s="151">
        <f t="shared" si="7"/>
        <v>395</v>
      </c>
      <c r="B403" s="150" t="str">
        <f>IFERROR(VLOOKUP(BDREGISTROASAMBLEA2025[[#This Row],[NROKARDEX]],BDPADRES[],8,FALSE),"Sin registrado")</f>
        <v>KARLA MICHELLE MENACHO MELGAR</v>
      </c>
    </row>
    <row r="404" spans="1:2" x14ac:dyDescent="0.25">
      <c r="A404" s="151">
        <f t="shared" si="7"/>
        <v>396</v>
      </c>
      <c r="B404" s="150" t="str">
        <f>IFERROR(VLOOKUP(BDREGISTROASAMBLEA2025[[#This Row],[NROKARDEX]],BDPADRES[],8,FALSE),"Sin registrado")</f>
        <v>ERLINDA MARTINEZ CRUZ</v>
      </c>
    </row>
    <row r="405" spans="1:2" x14ac:dyDescent="0.25">
      <c r="A405" s="151">
        <f t="shared" si="7"/>
        <v>397</v>
      </c>
      <c r="B405" s="150" t="str">
        <f>IFERROR(VLOOKUP(BDREGISTROASAMBLEA2025[[#This Row],[NROKARDEX]],BDPADRES[],8,FALSE),"Sin registrado")</f>
        <v xml:space="preserve">ZONIA VEDIA   </v>
      </c>
    </row>
    <row r="406" spans="1:2" x14ac:dyDescent="0.25">
      <c r="A406" s="151">
        <f t="shared" si="7"/>
        <v>398</v>
      </c>
      <c r="B406" s="150" t="str">
        <f>IFERROR(VLOOKUP(BDREGISTROASAMBLEA2025[[#This Row],[NROKARDEX]],BDPADRES[],8,FALSE),"Sin registrado")</f>
        <v>EULALIA  CORREA ZORAIDE</v>
      </c>
    </row>
    <row r="407" spans="1:2" x14ac:dyDescent="0.25">
      <c r="A407" s="151">
        <f t="shared" si="7"/>
        <v>399</v>
      </c>
      <c r="B407" s="150" t="str">
        <f>IFERROR(VLOOKUP(BDREGISTROASAMBLEA2025[[#This Row],[NROKARDEX]],BDPADRES[],8,FALSE),"Sin registrado")</f>
        <v>DELMA RAMIREZ PEREZ</v>
      </c>
    </row>
    <row r="408" spans="1:2" x14ac:dyDescent="0.25">
      <c r="A408" s="151">
        <f t="shared" si="7"/>
        <v>400</v>
      </c>
      <c r="B408" s="150" t="str">
        <f>IFERROR(VLOOKUP(BDREGISTROASAMBLEA2025[[#This Row],[NROKARDEX]],BDPADRES[],8,FALSE),"Sin registrado")</f>
        <v>VERONICA FERNANDEZ SANTILLAN</v>
      </c>
    </row>
    <row r="409" spans="1:2" x14ac:dyDescent="0.25">
      <c r="A409" s="151">
        <f t="shared" ref="A409:A426" si="8">ROW(A401)</f>
        <v>401</v>
      </c>
      <c r="B409" s="150" t="str">
        <f>IFERROR(VLOOKUP(BDREGISTROASAMBLEA2025[[#This Row],[NROKARDEX]],BDPADRES[],8,FALSE),"Sin registrado")</f>
        <v>MIRIAM FUENTES HEREDIA</v>
      </c>
    </row>
    <row r="410" spans="1:2" x14ac:dyDescent="0.25">
      <c r="A410" s="151">
        <f t="shared" si="8"/>
        <v>402</v>
      </c>
      <c r="B410" s="150" t="str">
        <f>IFERROR(VLOOKUP(BDREGISTROASAMBLEA2025[[#This Row],[NROKARDEX]],BDPADRES[],8,FALSE),"Sin registrado")</f>
        <v>ERLINDA VARON ARANCIBIA</v>
      </c>
    </row>
    <row r="411" spans="1:2" x14ac:dyDescent="0.25">
      <c r="A411" s="151">
        <f t="shared" si="8"/>
        <v>403</v>
      </c>
      <c r="B411" s="150" t="str">
        <f>IFERROR(VLOOKUP(BDREGISTROASAMBLEA2025[[#This Row],[NROKARDEX]],BDPADRES[],8,FALSE),"Sin registrado")</f>
        <v>ANGELICA GARCIA MOSTACEDO</v>
      </c>
    </row>
    <row r="412" spans="1:2" x14ac:dyDescent="0.25">
      <c r="A412" s="151">
        <f t="shared" si="8"/>
        <v>404</v>
      </c>
      <c r="B412" s="150" t="str">
        <f>IFERROR(VLOOKUP(BDREGISTROASAMBLEA2025[[#This Row],[NROKARDEX]],BDPADRES[],8,FALSE),"Sin registrado")</f>
        <v>TANIA ANDREINA BURGOS ROBLES</v>
      </c>
    </row>
    <row r="413" spans="1:2" x14ac:dyDescent="0.25">
      <c r="A413" s="151">
        <f t="shared" si="8"/>
        <v>405</v>
      </c>
      <c r="B413" s="150" t="str">
        <f>IFERROR(VLOOKUP(BDREGISTROASAMBLEA2025[[#This Row],[NROKARDEX]],BDPADRES[],8,FALSE),"Sin registrado")</f>
        <v>YOUSELIN CRUZ LEAÑOS</v>
      </c>
    </row>
    <row r="414" spans="1:2" x14ac:dyDescent="0.25">
      <c r="A414" s="151">
        <f t="shared" si="8"/>
        <v>406</v>
      </c>
      <c r="B414" s="150" t="str">
        <f>IFERROR(VLOOKUP(BDREGISTROASAMBLEA2025[[#This Row],[NROKARDEX]],BDPADRES[],8,FALSE),"Sin registrado")</f>
        <v>ERLINDA PALENQUE BARRIGA</v>
      </c>
    </row>
    <row r="415" spans="1:2" x14ac:dyDescent="0.25">
      <c r="A415" s="151">
        <f t="shared" si="8"/>
        <v>407</v>
      </c>
      <c r="B415" s="150" t="str">
        <f>IFERROR(VLOOKUP(BDREGISTROASAMBLEA2025[[#This Row],[NROKARDEX]],BDPADRES[],8,FALSE),"Sin registrado")</f>
        <v>MARY LUZ CUCHALLO DURAN</v>
      </c>
    </row>
    <row r="416" spans="1:2" x14ac:dyDescent="0.25">
      <c r="A416" s="151">
        <f t="shared" si="8"/>
        <v>408</v>
      </c>
      <c r="B416" s="150" t="str">
        <f>IFERROR(VLOOKUP(BDREGISTROASAMBLEA2025[[#This Row],[NROKARDEX]],BDPADRES[],8,FALSE),"Sin registrado")</f>
        <v>RUBILINDA MORON CONTRERAS</v>
      </c>
    </row>
    <row r="417" spans="1:2" x14ac:dyDescent="0.25">
      <c r="A417" s="151">
        <f t="shared" si="8"/>
        <v>409</v>
      </c>
      <c r="B417" s="150" t="str">
        <f>IFERROR(VLOOKUP(BDREGISTROASAMBLEA2025[[#This Row],[NROKARDEX]],BDPADRES[],8,FALSE),"Sin registrado")</f>
        <v>TERESA FLORES CRUZ</v>
      </c>
    </row>
    <row r="418" spans="1:2" x14ac:dyDescent="0.25">
      <c r="A418" s="151">
        <f t="shared" si="8"/>
        <v>410</v>
      </c>
      <c r="B418" s="150" t="str">
        <f>IFERROR(VLOOKUP(BDREGISTROASAMBLEA2025[[#This Row],[NROKARDEX]],BDPADRES[],8,FALSE),"Sin registrado")</f>
        <v>RITA GONZALES FLORES</v>
      </c>
    </row>
    <row r="419" spans="1:2" x14ac:dyDescent="0.25">
      <c r="A419" s="151">
        <f t="shared" si="8"/>
        <v>411</v>
      </c>
      <c r="B419" s="150" t="str">
        <f>IFERROR(VLOOKUP(BDREGISTROASAMBLEA2025[[#This Row],[NROKARDEX]],BDPADRES[],8,FALSE),"Sin registrado")</f>
        <v>EDUVID OSINAGA NOVA</v>
      </c>
    </row>
    <row r="420" spans="1:2" x14ac:dyDescent="0.25">
      <c r="A420" s="151">
        <f t="shared" si="8"/>
        <v>412</v>
      </c>
      <c r="B420" s="150" t="str">
        <f>IFERROR(VLOOKUP(BDREGISTROASAMBLEA2025[[#This Row],[NROKARDEX]],BDPADRES[],8,FALSE),"Sin registrado")</f>
        <v>SANDRA JUANA FERNANDEZ CESPEDES</v>
      </c>
    </row>
    <row r="421" spans="1:2" x14ac:dyDescent="0.25">
      <c r="A421" s="151">
        <f t="shared" si="8"/>
        <v>413</v>
      </c>
      <c r="B421" s="150" t="str">
        <f>IFERROR(VLOOKUP(BDREGISTROASAMBLEA2025[[#This Row],[NROKARDEX]],BDPADRES[],8,FALSE),"Sin registrado")</f>
        <v>MARIA YANINE PRADO</v>
      </c>
    </row>
    <row r="422" spans="1:2" x14ac:dyDescent="0.25">
      <c r="A422" s="151">
        <f t="shared" si="8"/>
        <v>414</v>
      </c>
      <c r="B422" s="150" t="str">
        <f>IFERROR(VLOOKUP(BDREGISTROASAMBLEA2025[[#This Row],[NROKARDEX]],BDPADRES[],8,FALSE),"Sin registrado")</f>
        <v>MARIA NELA BARROZO ANGULO</v>
      </c>
    </row>
    <row r="423" spans="1:2" x14ac:dyDescent="0.25">
      <c r="A423" s="151">
        <f t="shared" si="8"/>
        <v>415</v>
      </c>
      <c r="B423" s="150" t="str">
        <f>IFERROR(VLOOKUP(BDREGISTROASAMBLEA2025[[#This Row],[NROKARDEX]],BDPADRES[],8,FALSE),"Sin registrado")</f>
        <v>CLAUDIA RAMIREZ CHOQUE</v>
      </c>
    </row>
    <row r="424" spans="1:2" x14ac:dyDescent="0.25">
      <c r="A424" s="151">
        <f t="shared" si="8"/>
        <v>416</v>
      </c>
      <c r="B424" s="150" t="str">
        <f>IFERROR(VLOOKUP(BDREGISTROASAMBLEA2025[[#This Row],[NROKARDEX]],BDPADRES[],8,FALSE),"Sin registrado")</f>
        <v>PAULITA ORTIZ MENDEZ</v>
      </c>
    </row>
    <row r="425" spans="1:2" x14ac:dyDescent="0.25">
      <c r="A425" s="151">
        <f t="shared" si="8"/>
        <v>417</v>
      </c>
      <c r="B425" s="150" t="str">
        <f>IFERROR(VLOOKUP(BDREGISTROASAMBLEA2025[[#This Row],[NROKARDEX]],BDPADRES[],8,FALSE),"Sin registrado")</f>
        <v>MARIA MAGDALENA FERNANDEZ ROJAS</v>
      </c>
    </row>
    <row r="426" spans="1:2" x14ac:dyDescent="0.25">
      <c r="A426" s="151">
        <f t="shared" si="8"/>
        <v>418</v>
      </c>
      <c r="B426" s="150" t="str">
        <f>IFERROR(VLOOKUP(BDREGISTROASAMBLEA2025[[#This Row],[NROKARDEX]],BDPADRES[],8,FALSE),"Sin registrado")</f>
        <v>TANIA MARCELA DELGADILLO RAMOS</v>
      </c>
    </row>
    <row r="427" spans="1:2" x14ac:dyDescent="0.25">
      <c r="A427" s="151">
        <f t="shared" ref="A427:A434" si="9">ROW(A419)</f>
        <v>419</v>
      </c>
      <c r="B427" s="150" t="str">
        <f>IFERROR(VLOOKUP(BDREGISTROASAMBLEA2025[[#This Row],[NROKARDEX]],BDPADRES[],8,FALSE),"Sin registrado")</f>
        <v>CAROLITA GUZMAN GUZMAN</v>
      </c>
    </row>
    <row r="428" spans="1:2" x14ac:dyDescent="0.25">
      <c r="A428" s="151">
        <f t="shared" si="9"/>
        <v>420</v>
      </c>
      <c r="B428" s="150" t="str">
        <f>IFERROR(VLOOKUP(BDREGISTROASAMBLEA2025[[#This Row],[NROKARDEX]],BDPADRES[],8,FALSE),"Sin registrado")</f>
        <v>YULEIDY FERNANDEZ OSINAGA</v>
      </c>
    </row>
    <row r="429" spans="1:2" x14ac:dyDescent="0.25">
      <c r="A429" s="151">
        <f t="shared" si="9"/>
        <v>421</v>
      </c>
      <c r="B429" s="150" t="str">
        <f>IFERROR(VLOOKUP(BDREGISTROASAMBLEA2025[[#This Row],[NROKARDEX]],BDPADRES[],8,FALSE),"Sin registrado")</f>
        <v>NELIDA MARTINEZ PEREZ</v>
      </c>
    </row>
    <row r="430" spans="1:2" x14ac:dyDescent="0.25">
      <c r="A430" s="151">
        <f t="shared" si="9"/>
        <v>422</v>
      </c>
      <c r="B430" s="150" t="str">
        <f>IFERROR(VLOOKUP(BDREGISTROASAMBLEA2025[[#This Row],[NROKARDEX]],BDPADRES[],8,FALSE),"Sin registrado")</f>
        <v>ELFY MORALES MOSCOSO</v>
      </c>
    </row>
    <row r="431" spans="1:2" x14ac:dyDescent="0.25">
      <c r="A431" s="151">
        <f t="shared" si="9"/>
        <v>423</v>
      </c>
      <c r="B431" s="150" t="str">
        <f>IFERROR(VLOOKUP(BDREGISTROASAMBLEA2025[[#This Row],[NROKARDEX]],BDPADRES[],8,FALSE),"Sin registrado")</f>
        <v>SILVIA  CHOQUE ESPINOZA</v>
      </c>
    </row>
    <row r="432" spans="1:2" x14ac:dyDescent="0.25">
      <c r="A432" s="151">
        <f t="shared" si="9"/>
        <v>424</v>
      </c>
      <c r="B432" s="150" t="str">
        <f>IFERROR(VLOOKUP(BDREGISTROASAMBLEA2025[[#This Row],[NROKARDEX]],BDPADRES[],8,FALSE),"Sin registrado")</f>
        <v>Sin registrado</v>
      </c>
    </row>
    <row r="433" spans="1:2" x14ac:dyDescent="0.25">
      <c r="A433" s="151">
        <f t="shared" si="9"/>
        <v>425</v>
      </c>
      <c r="B433" s="150" t="str">
        <f>IFERROR(VLOOKUP(BDREGISTROASAMBLEA2025[[#This Row],[NROKARDEX]],BDPADRES[],8,FALSE),"Sin registrado")</f>
        <v>ALICIA MAMANI GARCIA</v>
      </c>
    </row>
    <row r="434" spans="1:2" x14ac:dyDescent="0.25">
      <c r="A434" s="151">
        <f t="shared" si="9"/>
        <v>426</v>
      </c>
      <c r="B434" s="150" t="str">
        <f>IFERROR(VLOOKUP(BDREGISTROASAMBLEA2025[[#This Row],[NROKARDEX]],BDPADRES[],8,FALSE),"Sin registrado")</f>
        <v>ELIANA CONDORI QUISPE</v>
      </c>
    </row>
    <row r="435" spans="1:2" x14ac:dyDescent="0.25">
      <c r="A435" s="151">
        <f t="shared" ref="A435:A446" si="10">ROW(A427)</f>
        <v>427</v>
      </c>
      <c r="B435" s="150" t="str">
        <f>IFERROR(VLOOKUP(BDREGISTROASAMBLEA2025[[#This Row],[NROKARDEX]],BDPADRES[],8,FALSE),"Sin registrado")</f>
        <v>Sin registrado</v>
      </c>
    </row>
    <row r="436" spans="1:2" x14ac:dyDescent="0.25">
      <c r="A436" s="151">
        <f t="shared" si="10"/>
        <v>428</v>
      </c>
      <c r="B436" s="150" t="str">
        <f>IFERROR(VLOOKUP(BDREGISTROASAMBLEA2025[[#This Row],[NROKARDEX]],BDPADRES[],8,FALSE),"Sin registrado")</f>
        <v>VIVIANA RIVERA AVALOS</v>
      </c>
    </row>
    <row r="437" spans="1:2" x14ac:dyDescent="0.25">
      <c r="A437" s="151">
        <f t="shared" si="10"/>
        <v>429</v>
      </c>
      <c r="B437" s="150" t="str">
        <f>IFERROR(VLOOKUP(BDREGISTROASAMBLEA2025[[#This Row],[NROKARDEX]],BDPADRES[],8,FALSE),"Sin registrado")</f>
        <v>SALOME CASTRO PINTO</v>
      </c>
    </row>
    <row r="438" spans="1:2" x14ac:dyDescent="0.25">
      <c r="A438" s="151">
        <f t="shared" si="10"/>
        <v>430</v>
      </c>
      <c r="B438" s="150" t="str">
        <f>IFERROR(VLOOKUP(BDREGISTROASAMBLEA2025[[#This Row],[NROKARDEX]],BDPADRES[],8,FALSE),"Sin registrado")</f>
        <v>SANDRA MATURANO GARCIA</v>
      </c>
    </row>
    <row r="439" spans="1:2" x14ac:dyDescent="0.25">
      <c r="A439" s="151">
        <f t="shared" si="10"/>
        <v>431</v>
      </c>
      <c r="B439" s="150" t="str">
        <f>IFERROR(VLOOKUP(BDREGISTROASAMBLEA2025[[#This Row],[NROKARDEX]],BDPADRES[],8,FALSE),"Sin registrado")</f>
        <v>MARIBEL  ARROYO ESCOBAR</v>
      </c>
    </row>
    <row r="440" spans="1:2" x14ac:dyDescent="0.25">
      <c r="A440" s="151">
        <f t="shared" si="10"/>
        <v>432</v>
      </c>
      <c r="B440" s="150" t="str">
        <f>IFERROR(VLOOKUP(BDREGISTROASAMBLEA2025[[#This Row],[NROKARDEX]],BDPADRES[],8,FALSE),"Sin registrado")</f>
        <v>CONSUELO VANESA GARCIA ALVAREZ</v>
      </c>
    </row>
    <row r="441" spans="1:2" x14ac:dyDescent="0.25">
      <c r="A441" s="151">
        <f t="shared" si="10"/>
        <v>433</v>
      </c>
      <c r="B441" s="150" t="str">
        <f>IFERROR(VLOOKUP(BDREGISTROASAMBLEA2025[[#This Row],[NROKARDEX]],BDPADRES[],8,FALSE),"Sin registrado")</f>
        <v>ERCILIA PACHA ARCIBIA</v>
      </c>
    </row>
    <row r="442" spans="1:2" x14ac:dyDescent="0.25">
      <c r="A442" s="151">
        <f t="shared" si="10"/>
        <v>434</v>
      </c>
      <c r="B442" s="150" t="str">
        <f>IFERROR(VLOOKUP(BDREGISTROASAMBLEA2025[[#This Row],[NROKARDEX]],BDPADRES[],8,FALSE),"Sin registrado")</f>
        <v>IDE RODRIGUEZ LIZO</v>
      </c>
    </row>
    <row r="443" spans="1:2" x14ac:dyDescent="0.25">
      <c r="A443" s="151">
        <f t="shared" si="10"/>
        <v>435</v>
      </c>
      <c r="B443" s="150" t="str">
        <f>IFERROR(VLOOKUP(BDREGISTROASAMBLEA2025[[#This Row],[NROKARDEX]],BDPADRES[],8,FALSE),"Sin registrado")</f>
        <v>RUTH VIDAL</v>
      </c>
    </row>
    <row r="444" spans="1:2" x14ac:dyDescent="0.25">
      <c r="A444" s="151">
        <f t="shared" si="10"/>
        <v>436</v>
      </c>
      <c r="B444" s="150" t="str">
        <f>IFERROR(VLOOKUP(BDREGISTROASAMBLEA2025[[#This Row],[NROKARDEX]],BDPADRES[],8,FALSE),"Sin registrado")</f>
        <v>MARTHA HUISA ROMAN</v>
      </c>
    </row>
    <row r="445" spans="1:2" x14ac:dyDescent="0.25">
      <c r="A445" s="151">
        <f t="shared" si="10"/>
        <v>437</v>
      </c>
      <c r="B445" s="150" t="str">
        <f>IFERROR(VLOOKUP(BDREGISTROASAMBLEA2025[[#This Row],[NROKARDEX]],BDPADRES[],8,FALSE),"Sin registrado")</f>
        <v>SANTUSA MONCADA AMADOR</v>
      </c>
    </row>
    <row r="446" spans="1:2" x14ac:dyDescent="0.25">
      <c r="A446" s="151">
        <f t="shared" si="10"/>
        <v>438</v>
      </c>
      <c r="B446" s="150" t="str">
        <f>IFERROR(VLOOKUP(BDREGISTROASAMBLEA2025[[#This Row],[NROKARDEX]],BDPADRES[],8,FALSE),"Sin registrado")</f>
        <v>SABINA PADILLA ZENTENO</v>
      </c>
    </row>
    <row r="447" spans="1:2" x14ac:dyDescent="0.25">
      <c r="A447" s="151">
        <f t="shared" ref="A447:A457" si="11">ROW(A439)</f>
        <v>439</v>
      </c>
      <c r="B447" s="150" t="str">
        <f>IFERROR(VLOOKUP(BDREGISTROASAMBLEA2025[[#This Row],[NROKARDEX]],BDPADRES[],8,FALSE),"Sin registrado")</f>
        <v>GIOVANA  MOREIRA VARGAS</v>
      </c>
    </row>
    <row r="448" spans="1:2" x14ac:dyDescent="0.25">
      <c r="A448" s="151">
        <f t="shared" si="11"/>
        <v>440</v>
      </c>
      <c r="B448" s="150" t="str">
        <f>IFERROR(VLOOKUP(BDREGISTROASAMBLEA2025[[#This Row],[NROKARDEX]],BDPADRES[],8,FALSE),"Sin registrado")</f>
        <v>GETHZY IVETH MAMANI FIGUEROA</v>
      </c>
    </row>
    <row r="449" spans="1:2" x14ac:dyDescent="0.25">
      <c r="A449" s="151">
        <f t="shared" si="11"/>
        <v>441</v>
      </c>
      <c r="B449" s="150" t="str">
        <f>IFERROR(VLOOKUP(BDREGISTROASAMBLEA2025[[#This Row],[NROKARDEX]],BDPADRES[],8,FALSE),"Sin registrado")</f>
        <v>DANIELA PEÑA PACHI</v>
      </c>
    </row>
    <row r="450" spans="1:2" x14ac:dyDescent="0.25">
      <c r="A450" s="151">
        <f t="shared" si="11"/>
        <v>442</v>
      </c>
      <c r="B450" s="150" t="str">
        <f>IFERROR(VLOOKUP(BDREGISTROASAMBLEA2025[[#This Row],[NROKARDEX]],BDPADRES[],8,FALSE),"Sin registrado")</f>
        <v>RILMA FIGUEROA HINOJOSA</v>
      </c>
    </row>
    <row r="451" spans="1:2" x14ac:dyDescent="0.25">
      <c r="A451" s="151">
        <f t="shared" si="11"/>
        <v>443</v>
      </c>
      <c r="B451" s="150" t="str">
        <f>IFERROR(VLOOKUP(BDREGISTROASAMBLEA2025[[#This Row],[NROKARDEX]],BDPADRES[],8,FALSE),"Sin registrado")</f>
        <v>KARINA CHURATA LAMAS</v>
      </c>
    </row>
    <row r="452" spans="1:2" x14ac:dyDescent="0.25">
      <c r="A452" s="151">
        <f t="shared" si="11"/>
        <v>444</v>
      </c>
      <c r="B452" s="150" t="str">
        <f>IFERROR(VLOOKUP(BDREGISTROASAMBLEA2025[[#This Row],[NROKARDEX]],BDPADRES[],8,FALSE),"Sin registrado")</f>
        <v>JAHEL  ROMERO ACHO</v>
      </c>
    </row>
    <row r="453" spans="1:2" x14ac:dyDescent="0.25">
      <c r="A453" s="151">
        <f t="shared" si="11"/>
        <v>445</v>
      </c>
      <c r="B453" s="150" t="str">
        <f>IFERROR(VLOOKUP(BDREGISTROASAMBLEA2025[[#This Row],[NROKARDEX]],BDPADRES[],8,FALSE),"Sin registrado")</f>
        <v>MARISOL CHAVARRIA SANCHEZ</v>
      </c>
    </row>
    <row r="454" spans="1:2" x14ac:dyDescent="0.25">
      <c r="A454" s="151">
        <f t="shared" si="11"/>
        <v>446</v>
      </c>
      <c r="B454" s="150" t="str">
        <f>IFERROR(VLOOKUP(BDREGISTROASAMBLEA2025[[#This Row],[NROKARDEX]],BDPADRES[],8,FALSE),"Sin registrado")</f>
        <v>JESIKA BONILLA GALVIZ</v>
      </c>
    </row>
    <row r="455" spans="1:2" x14ac:dyDescent="0.25">
      <c r="A455" s="151">
        <f t="shared" si="11"/>
        <v>447</v>
      </c>
      <c r="B455" s="150" t="str">
        <f>IFERROR(VLOOKUP(BDREGISTROASAMBLEA2025[[#This Row],[NROKARDEX]],BDPADRES[],8,FALSE),"Sin registrado")</f>
        <v>Sin registrado</v>
      </c>
    </row>
    <row r="456" spans="1:2" x14ac:dyDescent="0.25">
      <c r="A456" s="151">
        <f t="shared" si="11"/>
        <v>448</v>
      </c>
      <c r="B456" s="150" t="str">
        <f>IFERROR(VLOOKUP(BDREGISTROASAMBLEA2025[[#This Row],[NROKARDEX]],BDPADRES[],8,FALSE),"Sin registrado")</f>
        <v>Sin registrado</v>
      </c>
    </row>
    <row r="457" spans="1:2" x14ac:dyDescent="0.25">
      <c r="A457" s="151">
        <f t="shared" si="11"/>
        <v>449</v>
      </c>
      <c r="B457" s="150" t="str">
        <f>IFERROR(VLOOKUP(BDREGISTROASAMBLEA2025[[#This Row],[NROKARDEX]],BDPADRES[],8,FALSE),"Sin registrado")</f>
        <v>CINTHIA RODRIGUEZ MARISCAL</v>
      </c>
    </row>
    <row r="458" spans="1:2" x14ac:dyDescent="0.25">
      <c r="A458" s="151">
        <f t="shared" ref="A458:A464" si="12">ROW(A450)</f>
        <v>450</v>
      </c>
      <c r="B458" s="150" t="str">
        <f>IFERROR(VLOOKUP(BDREGISTROASAMBLEA2025[[#This Row],[NROKARDEX]],BDPADRES[],8,FALSE),"Sin registrado")</f>
        <v>Sin registrado</v>
      </c>
    </row>
    <row r="459" spans="1:2" x14ac:dyDescent="0.25">
      <c r="A459" s="151">
        <f t="shared" si="12"/>
        <v>451</v>
      </c>
      <c r="B459" s="150" t="str">
        <f>IFERROR(VLOOKUP(BDREGISTROASAMBLEA2025[[#This Row],[NROKARDEX]],BDPADRES[],8,FALSE),"Sin registrado")</f>
        <v>Sin registrado</v>
      </c>
    </row>
    <row r="460" spans="1:2" x14ac:dyDescent="0.25">
      <c r="A460" s="151">
        <f t="shared" si="12"/>
        <v>452</v>
      </c>
      <c r="B460" s="150" t="str">
        <f>IFERROR(VLOOKUP(BDREGISTROASAMBLEA2025[[#This Row],[NROKARDEX]],BDPADRES[],8,FALSE),"Sin registrado")</f>
        <v>LORENA RODRIGUEZ CAMACHO</v>
      </c>
    </row>
    <row r="461" spans="1:2" x14ac:dyDescent="0.25">
      <c r="A461" s="151">
        <f t="shared" si="12"/>
        <v>453</v>
      </c>
      <c r="B461" s="150" t="str">
        <f>IFERROR(VLOOKUP(BDREGISTROASAMBLEA2025[[#This Row],[NROKARDEX]],BDPADRES[],8,FALSE),"Sin registrado")</f>
        <v>Sin registrado</v>
      </c>
    </row>
    <row r="462" spans="1:2" x14ac:dyDescent="0.25">
      <c r="A462" s="151">
        <f t="shared" si="12"/>
        <v>454</v>
      </c>
      <c r="B462" s="150" t="str">
        <f>IFERROR(VLOOKUP(BDREGISTROASAMBLEA2025[[#This Row],[NROKARDEX]],BDPADRES[],8,FALSE),"Sin registrado")</f>
        <v>LOURDES ORIAS CALDERON</v>
      </c>
    </row>
    <row r="463" spans="1:2" x14ac:dyDescent="0.25">
      <c r="A463" s="151">
        <f t="shared" si="12"/>
        <v>455</v>
      </c>
      <c r="B463" s="150" t="str">
        <f>IFERROR(VLOOKUP(BDREGISTROASAMBLEA2025[[#This Row],[NROKARDEX]],BDPADRES[],8,FALSE),"Sin registrado")</f>
        <v>DAMIANA COLQUE QUISPE</v>
      </c>
    </row>
    <row r="464" spans="1:2" x14ac:dyDescent="0.25">
      <c r="A464" s="151">
        <f t="shared" si="12"/>
        <v>456</v>
      </c>
      <c r="B464" s="150" t="str">
        <f>IFERROR(VLOOKUP(BDREGISTROASAMBLEA2025[[#This Row],[NROKARDEX]],BDPADRES[],8,FALSE),"Sin registrado")</f>
        <v>Sin registrado</v>
      </c>
    </row>
    <row r="465" spans="1:2" x14ac:dyDescent="0.25">
      <c r="A465" s="151">
        <f t="shared" ref="A465:A472" si="13">ROW(A457)</f>
        <v>457</v>
      </c>
      <c r="B465" s="150" t="str">
        <f>IFERROR(VLOOKUP(BDREGISTROASAMBLEA2025[[#This Row],[NROKARDEX]],BDPADRES[],8,FALSE),"Sin registrado")</f>
        <v>Sin registrado</v>
      </c>
    </row>
    <row r="466" spans="1:2" x14ac:dyDescent="0.25">
      <c r="A466" s="151">
        <f t="shared" si="13"/>
        <v>458</v>
      </c>
      <c r="B466" s="150" t="str">
        <f>IFERROR(VLOOKUP(BDREGISTROASAMBLEA2025[[#This Row],[NROKARDEX]],BDPADRES[],8,FALSE),"Sin registrado")</f>
        <v>Sin registrado</v>
      </c>
    </row>
    <row r="467" spans="1:2" x14ac:dyDescent="0.25">
      <c r="A467" s="151">
        <f t="shared" si="13"/>
        <v>459</v>
      </c>
      <c r="B467" s="150" t="str">
        <f>IFERROR(VLOOKUP(BDREGISTROASAMBLEA2025[[#This Row],[NROKARDEX]],BDPADRES[],8,FALSE),"Sin registrado")</f>
        <v>Sin registrado</v>
      </c>
    </row>
    <row r="468" spans="1:2" x14ac:dyDescent="0.25">
      <c r="A468" s="151">
        <f t="shared" si="13"/>
        <v>460</v>
      </c>
      <c r="B468" s="150" t="str">
        <f>IFERROR(VLOOKUP(BDREGISTROASAMBLEA2025[[#This Row],[NROKARDEX]],BDPADRES[],8,FALSE),"Sin registrado")</f>
        <v>Sin registrado</v>
      </c>
    </row>
    <row r="469" spans="1:2" x14ac:dyDescent="0.25">
      <c r="A469" s="151">
        <f t="shared" si="13"/>
        <v>461</v>
      </c>
      <c r="B469" s="150" t="str">
        <f>IFERROR(VLOOKUP(BDREGISTROASAMBLEA2025[[#This Row],[NROKARDEX]],BDPADRES[],8,FALSE),"Sin registrado")</f>
        <v>Sin registrado</v>
      </c>
    </row>
    <row r="470" spans="1:2" x14ac:dyDescent="0.25">
      <c r="A470" s="151">
        <f t="shared" si="13"/>
        <v>462</v>
      </c>
      <c r="B470" s="150" t="str">
        <f>IFERROR(VLOOKUP(BDREGISTROASAMBLEA2025[[#This Row],[NROKARDEX]],BDPADRES[],8,FALSE),"Sin registrado")</f>
        <v>Sin registrado</v>
      </c>
    </row>
    <row r="471" spans="1:2" x14ac:dyDescent="0.25">
      <c r="A471" s="151">
        <f t="shared" si="13"/>
        <v>463</v>
      </c>
      <c r="B471" s="150" t="str">
        <f>IFERROR(VLOOKUP(BDREGISTROASAMBLEA2025[[#This Row],[NROKARDEX]],BDPADRES[],8,FALSE),"Sin registrado")</f>
        <v>Sin registrado</v>
      </c>
    </row>
    <row r="472" spans="1:2" x14ac:dyDescent="0.25">
      <c r="A472" s="151">
        <f t="shared" si="13"/>
        <v>464</v>
      </c>
      <c r="B472" s="150" t="str">
        <f>IFERROR(VLOOKUP(BDREGISTROASAMBLEA2025[[#This Row],[NROKARDEX]],BDPADRES[],8,FALSE),"Sin registrado")</f>
        <v>Sin registrado</v>
      </c>
    </row>
    <row r="473" spans="1:2" x14ac:dyDescent="0.25">
      <c r="A473" s="151">
        <f t="shared" ref="A473:A481" si="14">ROW(A465)</f>
        <v>465</v>
      </c>
      <c r="B473" s="150" t="str">
        <f>IFERROR(VLOOKUP(BDREGISTROASAMBLEA2025[[#This Row],[NROKARDEX]],BDPADRES[],8,FALSE),"Sin registrado")</f>
        <v>LINA SOLIS GARNICA</v>
      </c>
    </row>
    <row r="474" spans="1:2" x14ac:dyDescent="0.25">
      <c r="A474" s="151">
        <f t="shared" si="14"/>
        <v>466</v>
      </c>
      <c r="B474" s="150" t="str">
        <f>IFERROR(VLOOKUP(BDREGISTROASAMBLEA2025[[#This Row],[NROKARDEX]],BDPADRES[],8,FALSE),"Sin registrado")</f>
        <v>Sin registrado</v>
      </c>
    </row>
    <row r="475" spans="1:2" x14ac:dyDescent="0.25">
      <c r="A475" s="151">
        <f t="shared" si="14"/>
        <v>467</v>
      </c>
      <c r="B475" s="150" t="str">
        <f>IFERROR(VLOOKUP(BDREGISTROASAMBLEA2025[[#This Row],[NROKARDEX]],BDPADRES[],8,FALSE),"Sin registrado")</f>
        <v>Sin registrado</v>
      </c>
    </row>
    <row r="476" spans="1:2" x14ac:dyDescent="0.25">
      <c r="A476" s="151">
        <f t="shared" si="14"/>
        <v>468</v>
      </c>
      <c r="B476" s="150" t="str">
        <f>IFERROR(VLOOKUP(BDREGISTROASAMBLEA2025[[#This Row],[NROKARDEX]],BDPADRES[],8,FALSE),"Sin registrado")</f>
        <v>Sin registrado</v>
      </c>
    </row>
    <row r="477" spans="1:2" x14ac:dyDescent="0.25">
      <c r="A477" s="151">
        <f t="shared" si="14"/>
        <v>469</v>
      </c>
      <c r="B477" s="150" t="str">
        <f>IFERROR(VLOOKUP(BDREGISTROASAMBLEA2025[[#This Row],[NROKARDEX]],BDPADRES[],8,FALSE),"Sin registrado")</f>
        <v>Sin registrado</v>
      </c>
    </row>
    <row r="478" spans="1:2" x14ac:dyDescent="0.25">
      <c r="A478" s="151">
        <f t="shared" si="14"/>
        <v>470</v>
      </c>
      <c r="B478" s="150" t="str">
        <f>IFERROR(VLOOKUP(BDREGISTROASAMBLEA2025[[#This Row],[NROKARDEX]],BDPADRES[],8,FALSE),"Sin registrado")</f>
        <v>Sin registrado</v>
      </c>
    </row>
    <row r="479" spans="1:2" x14ac:dyDescent="0.25">
      <c r="A479" s="151">
        <f t="shared" si="14"/>
        <v>471</v>
      </c>
      <c r="B479" s="150" t="str">
        <f>IFERROR(VLOOKUP(BDREGISTROASAMBLEA2025[[#This Row],[NROKARDEX]],BDPADRES[],8,FALSE),"Sin registrado")</f>
        <v>Sin registrado</v>
      </c>
    </row>
    <row r="480" spans="1:2" x14ac:dyDescent="0.25">
      <c r="A480" s="151">
        <f t="shared" si="14"/>
        <v>472</v>
      </c>
      <c r="B480" s="150" t="str">
        <f>IFERROR(VLOOKUP(BDREGISTROASAMBLEA2025[[#This Row],[NROKARDEX]],BDPADRES[],8,FALSE),"Sin registrado")</f>
        <v>CATHIA ORTIZ CRUZ</v>
      </c>
    </row>
    <row r="481" spans="1:2" x14ac:dyDescent="0.25">
      <c r="A481" s="151">
        <f t="shared" si="14"/>
        <v>473</v>
      </c>
      <c r="B481" s="150" t="str">
        <f>IFERROR(VLOOKUP(BDREGISTROASAMBLEA2025[[#This Row],[NROKARDEX]],BDPADRES[],8,FALSE),"Sin registrado")</f>
        <v>Sin registrado</v>
      </c>
    </row>
    <row r="482" spans="1:2" ht="14.4" x14ac:dyDescent="0.3">
      <c r="A482" s="1" t="s">
        <v>3114</v>
      </c>
      <c r="B482" s="150" t="str">
        <f>IFERROR(VLOOKUP(BDREGISTROASAMBLEA2025[[#This Row],[NROKARDEX]],BDPADRES[],8,FALSE),"Sin registrado")</f>
        <v>ANA LUISA RIVERA MENESES</v>
      </c>
    </row>
    <row r="483" spans="1:2" ht="14.4" x14ac:dyDescent="0.3">
      <c r="A483" s="1" t="s">
        <v>3115</v>
      </c>
      <c r="B483" s="150" t="str">
        <f>IFERROR(VLOOKUP(BDREGISTROASAMBLEA2025[[#This Row],[NROKARDEX]],BDPADRES[],8,FALSE),"Sin registrado")</f>
        <v>BETANIA SICPORO RODRIGUEZ</v>
      </c>
    </row>
    <row r="484" spans="1:2" ht="14.4" x14ac:dyDescent="0.3">
      <c r="A484" s="1" t="s">
        <v>3116</v>
      </c>
      <c r="B484" s="150" t="str">
        <f>IFERROR(VLOOKUP(BDREGISTROASAMBLEA2025[[#This Row],[NROKARDEX]],BDPADRES[],8,FALSE),"Sin registrado")</f>
        <v>Sin registrado</v>
      </c>
    </row>
    <row r="485" spans="1:2" ht="14.4" x14ac:dyDescent="0.3">
      <c r="A485" s="1" t="s">
        <v>3117</v>
      </c>
      <c r="B485" s="150" t="str">
        <f>IFERROR(VLOOKUP(BDREGISTROASAMBLEA2025[[#This Row],[NROKARDEX]],BDPADRES[],8,FALSE),"Sin registrado")</f>
        <v>Sin registrado</v>
      </c>
    </row>
    <row r="486" spans="1:2" ht="14.4" x14ac:dyDescent="0.3">
      <c r="A486" s="1" t="s">
        <v>3118</v>
      </c>
      <c r="B486" s="150" t="str">
        <f>IFERROR(VLOOKUP(BDREGISTROASAMBLEA2025[[#This Row],[NROKARDEX]],BDPADRES[],8,FALSE),"Sin registrado")</f>
        <v>FIDELIA LAQUE RAMOS</v>
      </c>
    </row>
    <row r="487" spans="1:2" ht="14.4" x14ac:dyDescent="0.3">
      <c r="A487" s="1" t="s">
        <v>3119</v>
      </c>
      <c r="B487" s="150" t="str">
        <f>IFERROR(VLOOKUP(BDREGISTROASAMBLEA2025[[#This Row],[NROKARDEX]],BDPADRES[],8,FALSE),"Sin registrado")</f>
        <v>MARINA USCAMAYTA CONDORI</v>
      </c>
    </row>
    <row r="488" spans="1:2" ht="14.4" x14ac:dyDescent="0.3">
      <c r="A488" s="1" t="s">
        <v>3120</v>
      </c>
      <c r="B488" s="150" t="str">
        <f>IFERROR(VLOOKUP(BDREGISTROASAMBLEA2025[[#This Row],[NROKARDEX]],BDPADRES[],8,FALSE),"Sin registrado")</f>
        <v>PATRICIA SALVATIERRA JIMENEZ</v>
      </c>
    </row>
    <row r="489" spans="1:2" ht="14.4" x14ac:dyDescent="0.3">
      <c r="A489" s="1" t="s">
        <v>3121</v>
      </c>
      <c r="B489" s="150" t="str">
        <f>IFERROR(VLOOKUP(BDREGISTROASAMBLEA2025[[#This Row],[NROKARDEX]],BDPADRES[],8,FALSE),"Sin registrado")</f>
        <v>MARIELA MAMANI ACHAYA</v>
      </c>
    </row>
    <row r="490" spans="1:2" ht="14.4" x14ac:dyDescent="0.3">
      <c r="A490" s="1" t="s">
        <v>3122</v>
      </c>
      <c r="B490" s="150" t="str">
        <f>IFERROR(VLOOKUP(BDREGISTROASAMBLEA2025[[#This Row],[NROKARDEX]],BDPADRES[],8,FALSE),"Sin registrado")</f>
        <v>IVET BELTRAN GONZALES</v>
      </c>
    </row>
    <row r="491" spans="1:2" ht="14.4" x14ac:dyDescent="0.3">
      <c r="A491" s="1" t="s">
        <v>3123</v>
      </c>
      <c r="B491" s="150" t="str">
        <f>IFERROR(VLOOKUP(BDREGISTROASAMBLEA2025[[#This Row],[NROKARDEX]],BDPADRES[],8,FALSE),"Sin registrado")</f>
        <v>LOURDES FERNANDEZ ORTIZ</v>
      </c>
    </row>
    <row r="492" spans="1:2" ht="14.4" x14ac:dyDescent="0.3">
      <c r="A492" s="1" t="s">
        <v>3124</v>
      </c>
      <c r="B492" s="150" t="str">
        <f>IFERROR(VLOOKUP(BDREGISTROASAMBLEA2025[[#This Row],[NROKARDEX]],BDPADRES[],8,FALSE),"Sin registrado")</f>
        <v>DEYSY ROBLEDO AVALOS</v>
      </c>
    </row>
    <row r="493" spans="1:2" ht="14.4" x14ac:dyDescent="0.3">
      <c r="A493" s="1" t="s">
        <v>3125</v>
      </c>
      <c r="B493" s="150" t="str">
        <f>IFERROR(VLOOKUP(BDREGISTROASAMBLEA2025[[#This Row],[NROKARDEX]],BDPADRES[],8,FALSE),"Sin registrado")</f>
        <v>MARIANA VACA NOVA</v>
      </c>
    </row>
    <row r="494" spans="1:2" ht="14.4" x14ac:dyDescent="0.3">
      <c r="A494" s="1" t="s">
        <v>3126</v>
      </c>
      <c r="B494" s="150" t="str">
        <f>IFERROR(VLOOKUP(BDREGISTROASAMBLEA2025[[#This Row],[NROKARDEX]],BDPADRES[],8,FALSE),"Sin registrado")</f>
        <v>ADRIANA HUAILLA ORELLANA</v>
      </c>
    </row>
    <row r="495" spans="1:2" ht="14.4" x14ac:dyDescent="0.3">
      <c r="A495" s="1" t="s">
        <v>3127</v>
      </c>
      <c r="B495" s="150" t="str">
        <f>IFERROR(VLOOKUP(BDREGISTROASAMBLEA2025[[#This Row],[NROKARDEX]],BDPADRES[],8,FALSE),"Sin registrado")</f>
        <v>MIRIAN MENDOZA RIVERA</v>
      </c>
    </row>
    <row r="496" spans="1:2" ht="14.4" x14ac:dyDescent="0.3">
      <c r="A496" s="1" t="s">
        <v>3128</v>
      </c>
      <c r="B496" s="150" t="str">
        <f>IFERROR(VLOOKUP(BDREGISTROASAMBLEA2025[[#This Row],[NROKARDEX]],BDPADRES[],8,FALSE),"Sin registrado")</f>
        <v>HERMINIA QUEMAYA GARCIA</v>
      </c>
    </row>
    <row r="497" spans="1:2" ht="14.4" x14ac:dyDescent="0.3">
      <c r="A497" s="1" t="s">
        <v>3129</v>
      </c>
      <c r="B497" s="150" t="str">
        <f>IFERROR(VLOOKUP(BDREGISTROASAMBLEA2025[[#This Row],[NROKARDEX]],BDPADRES[],8,FALSE),"Sin registrado")</f>
        <v>DELMA MERUBIA AVILA</v>
      </c>
    </row>
    <row r="498" spans="1:2" ht="14.4" x14ac:dyDescent="0.3">
      <c r="A498" s="1" t="s">
        <v>3130</v>
      </c>
      <c r="B498" s="150" t="str">
        <f>IFERROR(VLOOKUP(BDREGISTROASAMBLEA2025[[#This Row],[NROKARDEX]],BDPADRES[],8,FALSE),"Sin registrado")</f>
        <v>YOVANA MARTINEZ ROMERO</v>
      </c>
    </row>
    <row r="499" spans="1:2" ht="14.4" x14ac:dyDescent="0.3">
      <c r="A499" s="1" t="s">
        <v>3131</v>
      </c>
      <c r="B499" s="150" t="str">
        <f>IFERROR(VLOOKUP(BDREGISTROASAMBLEA2025[[#This Row],[NROKARDEX]],BDPADRES[],8,FALSE),"Sin registrado")</f>
        <v>Sin registrado</v>
      </c>
    </row>
    <row r="500" spans="1:2" ht="14.4" x14ac:dyDescent="0.3">
      <c r="A500" s="1" t="s">
        <v>3132</v>
      </c>
      <c r="B500" s="150" t="str">
        <f>IFERROR(VLOOKUP(BDREGISTROASAMBLEA2025[[#This Row],[NROKARDEX]],BDPADRES[],8,FALSE),"Sin registrado")</f>
        <v>NORMA FLORES ABREGO</v>
      </c>
    </row>
    <row r="501" spans="1:2" ht="14.4" x14ac:dyDescent="0.3">
      <c r="A501" s="1" t="s">
        <v>3133</v>
      </c>
      <c r="B501" s="150" t="str">
        <f>IFERROR(VLOOKUP(BDREGISTROASAMBLEA2025[[#This Row],[NROKARDEX]],BDPADRES[],8,FALSE),"Sin registrado")</f>
        <v>MARGARITA COIMBRA SOLIZ</v>
      </c>
    </row>
    <row r="502" spans="1:2" ht="14.4" x14ac:dyDescent="0.3">
      <c r="A502" s="1" t="s">
        <v>3134</v>
      </c>
      <c r="B502" s="150" t="str">
        <f>IFERROR(VLOOKUP(BDREGISTROASAMBLEA2025[[#This Row],[NROKARDEX]],BDPADRES[],8,FALSE),"Sin registrado")</f>
        <v xml:space="preserve">NREG/NOMBRE PEREZ </v>
      </c>
    </row>
    <row r="503" spans="1:2" ht="14.4" x14ac:dyDescent="0.3">
      <c r="A503" s="1" t="s">
        <v>3135</v>
      </c>
      <c r="B503" s="150" t="str">
        <f>IFERROR(VLOOKUP(BDREGISTROASAMBLEA2025[[#This Row],[NROKARDEX]],BDPADRES[],8,FALSE),"Sin registrado")</f>
        <v>CIERIDEY CEREZO GARCIA</v>
      </c>
    </row>
    <row r="504" spans="1:2" ht="14.4" x14ac:dyDescent="0.3">
      <c r="A504" s="1" t="s">
        <v>3136</v>
      </c>
      <c r="B504" s="150" t="str">
        <f>IFERROR(VLOOKUP(BDREGISTROASAMBLEA2025[[#This Row],[NROKARDEX]],BDPADRES[],8,FALSE),"Sin registrado")</f>
        <v>CONSUELO MILENKA RAMOS VILLEGAS</v>
      </c>
    </row>
    <row r="505" spans="1:2" ht="14.4" x14ac:dyDescent="0.3">
      <c r="A505" s="1" t="s">
        <v>3137</v>
      </c>
      <c r="B505" s="150" t="str">
        <f>IFERROR(VLOOKUP(BDREGISTROASAMBLEA2025[[#This Row],[NROKARDEX]],BDPADRES[],8,FALSE),"Sin registrado")</f>
        <v>NICOLAZA BONIFAZ ALVAREZ</v>
      </c>
    </row>
    <row r="506" spans="1:2" ht="14.4" x14ac:dyDescent="0.3">
      <c r="A506" s="1" t="s">
        <v>3138</v>
      </c>
      <c r="B506" s="150" t="str">
        <f>IFERROR(VLOOKUP(BDREGISTROASAMBLEA2025[[#This Row],[NROKARDEX]],BDPADRES[],8,FALSE),"Sin registrado")</f>
        <v>MARIA CUELLAR MOSCOSO</v>
      </c>
    </row>
    <row r="507" spans="1:2" ht="14.4" x14ac:dyDescent="0.3">
      <c r="A507" s="1" t="s">
        <v>3139</v>
      </c>
      <c r="B507" s="150" t="str">
        <f>IFERROR(VLOOKUP(BDREGISTROASAMBLEA2025[[#This Row],[NROKARDEX]],BDPADRES[],8,FALSE),"Sin registrado")</f>
        <v>PATRICIA CLAUDIA SERRANO BANEGAS</v>
      </c>
    </row>
    <row r="508" spans="1:2" ht="14.4" x14ac:dyDescent="0.3">
      <c r="A508" s="1" t="s">
        <v>3140</v>
      </c>
      <c r="B508" s="150" t="str">
        <f>IFERROR(VLOOKUP(BDREGISTROASAMBLEA2025[[#This Row],[NROKARDEX]],BDPADRES[],8,FALSE),"Sin registrado")</f>
        <v>ISABELA CONDORI PATZI</v>
      </c>
    </row>
    <row r="509" spans="1:2" ht="14.4" x14ac:dyDescent="0.3">
      <c r="A509" s="1" t="s">
        <v>3141</v>
      </c>
      <c r="B509" s="150" t="str">
        <f>IFERROR(VLOOKUP(BDREGISTROASAMBLEA2025[[#This Row],[NROKARDEX]],BDPADRES[],8,FALSE),"Sin registrado")</f>
        <v>YANIRA  CARVALHO ESCOBAR</v>
      </c>
    </row>
    <row r="510" spans="1:2" ht="14.4" x14ac:dyDescent="0.3">
      <c r="A510" s="1" t="s">
        <v>3142</v>
      </c>
      <c r="B510" s="150" t="str">
        <f>IFERROR(VLOOKUP(BDREGISTROASAMBLEA2025[[#This Row],[NROKARDEX]],BDPADRES[],8,FALSE),"Sin registrado")</f>
        <v>CRISTINA  CRUZ OYOLA</v>
      </c>
    </row>
    <row r="511" spans="1:2" ht="14.4" x14ac:dyDescent="0.3">
      <c r="A511" s="1" t="s">
        <v>3143</v>
      </c>
      <c r="B511" s="150" t="str">
        <f>IFERROR(VLOOKUP(BDREGISTROASAMBLEA2025[[#This Row],[NROKARDEX]],BDPADRES[],8,FALSE),"Sin registrado")</f>
        <v>MARIELY HURTADO</v>
      </c>
    </row>
    <row r="512" spans="1:2" ht="14.4" x14ac:dyDescent="0.3">
      <c r="A512" s="1" t="s">
        <v>3144</v>
      </c>
      <c r="B512" s="150" t="str">
        <f>IFERROR(VLOOKUP(BDREGISTROASAMBLEA2025[[#This Row],[NROKARDEX]],BDPADRES[],8,FALSE),"Sin registrado")</f>
        <v>LORENA SANDOVAL ALGARAÑAZ</v>
      </c>
    </row>
    <row r="513" spans="1:2" ht="14.4" x14ac:dyDescent="0.3">
      <c r="A513" s="1" t="s">
        <v>3145</v>
      </c>
      <c r="B513" s="150" t="str">
        <f>IFERROR(VLOOKUP(BDREGISTROASAMBLEA2025[[#This Row],[NROKARDEX]],BDPADRES[],8,FALSE),"Sin registrado")</f>
        <v>MARLENI SOLEDAD ALDAPI GONZALES</v>
      </c>
    </row>
    <row r="514" spans="1:2" ht="14.4" x14ac:dyDescent="0.3">
      <c r="A514" s="1" t="s">
        <v>3146</v>
      </c>
      <c r="B514" s="150" t="str">
        <f>IFERROR(VLOOKUP(BDREGISTROASAMBLEA2025[[#This Row],[NROKARDEX]],BDPADRES[],8,FALSE),"Sin registrado")</f>
        <v>RICHARD JOSE VARGAS TELLEZ</v>
      </c>
    </row>
    <row r="515" spans="1:2" ht="14.4" x14ac:dyDescent="0.3">
      <c r="A515" s="1" t="s">
        <v>3147</v>
      </c>
      <c r="B515" s="150" t="str">
        <f>IFERROR(VLOOKUP(BDREGISTROASAMBLEA2025[[#This Row],[NROKARDEX]],BDPADRES[],8,FALSE),"Sin registrado")</f>
        <v>MARLENI   LAQUE RAMOS</v>
      </c>
    </row>
    <row r="516" spans="1:2" ht="14.4" x14ac:dyDescent="0.3">
      <c r="A516" s="1" t="s">
        <v>3148</v>
      </c>
      <c r="B516" s="150" t="str">
        <f>IFERROR(VLOOKUP(BDREGISTROASAMBLEA2025[[#This Row],[NROKARDEX]],BDPADRES[],8,FALSE),"Sin registrado")</f>
        <v>MIOLET CEREZO GARCIA</v>
      </c>
    </row>
    <row r="517" spans="1:2" ht="14.4" x14ac:dyDescent="0.3">
      <c r="A517" s="1" t="s">
        <v>3149</v>
      </c>
      <c r="B517" s="150" t="str">
        <f>IFERROR(VLOOKUP(BDREGISTROASAMBLEA2025[[#This Row],[NROKARDEX]],BDPADRES[],8,FALSE),"Sin registrado")</f>
        <v>MAIBER PESSOA GARCIA</v>
      </c>
    </row>
    <row r="518" spans="1:2" ht="14.4" x14ac:dyDescent="0.3">
      <c r="A518" s="1" t="s">
        <v>3150</v>
      </c>
      <c r="B518" s="150" t="str">
        <f>IFERROR(VLOOKUP(BDREGISTROASAMBLEA2025[[#This Row],[NROKARDEX]],BDPADRES[],8,FALSE),"Sin registrado")</f>
        <v>ELSA ALVAREZ ORELLANA</v>
      </c>
    </row>
    <row r="519" spans="1:2" ht="14.4" x14ac:dyDescent="0.3">
      <c r="A519" s="1" t="s">
        <v>3151</v>
      </c>
      <c r="B519" s="150" t="str">
        <f>IFERROR(VLOOKUP(BDREGISTROASAMBLEA2025[[#This Row],[NROKARDEX]],BDPADRES[],8,FALSE),"Sin registrado")</f>
        <v>MARY GULDING VILLAVICENCIO CONTRERAS</v>
      </c>
    </row>
    <row r="520" spans="1:2" ht="14.4" x14ac:dyDescent="0.3">
      <c r="A520" s="1" t="s">
        <v>3155</v>
      </c>
      <c r="B520" s="150" t="str">
        <f>IFERROR(VLOOKUP(BDREGISTROASAMBLEA2025[[#This Row],[NROKARDEX]],BDPADRES[],8,FALSE),"Sin registrado")</f>
        <v>MATILDE FLORES MAIZARES</v>
      </c>
    </row>
    <row r="521" spans="1:2" ht="14.4" x14ac:dyDescent="0.3">
      <c r="A521" s="1" t="s">
        <v>3152</v>
      </c>
      <c r="B521" s="150" t="str">
        <f>IFERROR(VLOOKUP(BDREGISTROASAMBLEA2025[[#This Row],[NROKARDEX]],BDPADRES[],8,FALSE),"Sin registrado")</f>
        <v>N/SINREGISTRO RODAS</v>
      </c>
    </row>
    <row r="522" spans="1:2" ht="14.4" x14ac:dyDescent="0.3">
      <c r="A522" s="1" t="s">
        <v>3153</v>
      </c>
      <c r="B522" s="150" t="str">
        <f>IFERROR(VLOOKUP(BDREGISTROASAMBLEA2025[[#This Row],[NROKARDEX]],BDPADRES[],8,FALSE),"Sin registrado")</f>
        <v xml:space="preserve"> ROBLEDO</v>
      </c>
    </row>
    <row r="523" spans="1:2" ht="14.4" x14ac:dyDescent="0.3">
      <c r="A523" s="1" t="s">
        <v>3154</v>
      </c>
      <c r="B523" s="150" t="str">
        <f>IFERROR(VLOOKUP(BDREGISTROASAMBLEA2025[[#This Row],[NROKARDEX]],BDPADRES[],8,FALSE),"Sin registrado")</f>
        <v>TERESA JIMENEZ CARRIAZO</v>
      </c>
    </row>
    <row r="524" spans="1:2" ht="14.4" x14ac:dyDescent="0.3">
      <c r="A524" s="1" t="s">
        <v>3156</v>
      </c>
      <c r="B524" s="150" t="str">
        <f>IFERROR(VLOOKUP(BDREGISTROASAMBLEA2025[[#This Row],[NROKARDEX]],BDPADRES[],8,FALSE),"Sin registrado")</f>
        <v>Sin registrado</v>
      </c>
    </row>
  </sheetData>
  <mergeCells count="2">
    <mergeCell ref="A1:M3"/>
    <mergeCell ref="B5:D5"/>
  </mergeCells>
  <conditionalFormatting sqref="B1:B1048576">
    <cfRule type="duplicateValues" dxfId="27" priority="1"/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7E94F-4818-4945-A7EB-3048A158ED2F}">
  <sheetPr codeName="Hoja14"/>
  <dimension ref="A1:J533"/>
  <sheetViews>
    <sheetView workbookViewId="0">
      <selection activeCell="E9" sqref="E9"/>
    </sheetView>
  </sheetViews>
  <sheetFormatPr baseColWidth="10" defaultRowHeight="13.8" x14ac:dyDescent="0.25"/>
  <cols>
    <col min="1" max="1" width="11.5546875" style="150"/>
    <col min="2" max="2" width="16.109375" style="150" bestFit="1" customWidth="1"/>
    <col min="3" max="3" width="45" style="150" bestFit="1" customWidth="1"/>
    <col min="4" max="6" width="11" style="150" bestFit="1" customWidth="1"/>
    <col min="7" max="7" width="9.88671875" style="150" bestFit="1" customWidth="1"/>
    <col min="8" max="8" width="15.6640625" style="150" bestFit="1" customWidth="1"/>
    <col min="9" max="9" width="9.88671875" style="150" bestFit="1" customWidth="1"/>
    <col min="10" max="16384" width="11.5546875" style="150"/>
  </cols>
  <sheetData>
    <row r="1" spans="1:10" ht="13.8" customHeight="1" x14ac:dyDescent="0.25">
      <c r="A1" s="164" t="s">
        <v>3084</v>
      </c>
      <c r="B1" s="164"/>
      <c r="C1" s="164"/>
      <c r="D1" s="164"/>
      <c r="E1" s="164"/>
      <c r="F1" s="164"/>
      <c r="G1" s="164"/>
      <c r="H1" s="164"/>
      <c r="I1" s="164"/>
      <c r="J1" s="164"/>
    </row>
    <row r="2" spans="1:10" ht="13.8" customHeight="1" x14ac:dyDescent="0.25">
      <c r="A2" s="164"/>
      <c r="B2" s="164"/>
      <c r="C2" s="164"/>
      <c r="D2" s="164"/>
      <c r="E2" s="164"/>
      <c r="F2" s="164"/>
      <c r="G2" s="164"/>
      <c r="H2" s="164"/>
      <c r="I2" s="164"/>
      <c r="J2" s="164"/>
    </row>
    <row r="3" spans="1:10" ht="13.8" customHeight="1" x14ac:dyDescent="0.25">
      <c r="A3" s="164"/>
      <c r="B3" s="164"/>
      <c r="C3" s="164"/>
      <c r="D3" s="164"/>
      <c r="E3" s="164"/>
      <c r="F3" s="164"/>
      <c r="G3" s="164"/>
      <c r="H3" s="164"/>
      <c r="I3" s="164"/>
      <c r="J3" s="164"/>
    </row>
    <row r="5" spans="1:10" x14ac:dyDescent="0.25">
      <c r="C5" s="165" t="s">
        <v>3075</v>
      </c>
      <c r="D5" s="165"/>
      <c r="E5" s="165"/>
      <c r="F5" s="151">
        <v>50</v>
      </c>
    </row>
    <row r="6" spans="1:10" ht="14.4" thickBot="1" x14ac:dyDescent="0.3">
      <c r="C6" s="151"/>
      <c r="D6" s="151"/>
      <c r="E6" s="151"/>
      <c r="F6" s="151"/>
    </row>
    <row r="7" spans="1:10" ht="18.600000000000001" customHeight="1" thickBot="1" x14ac:dyDescent="0.45">
      <c r="C7" s="156" t="s">
        <v>3088</v>
      </c>
      <c r="D7" s="153"/>
      <c r="E7" s="153"/>
      <c r="F7" s="153"/>
      <c r="G7" s="155"/>
    </row>
    <row r="8" spans="1:10" x14ac:dyDescent="0.25">
      <c r="B8" s="150" t="s">
        <v>26</v>
      </c>
      <c r="C8" s="150" t="s">
        <v>3076</v>
      </c>
      <c r="D8" s="150" t="s">
        <v>3085</v>
      </c>
      <c r="E8" s="150" t="s">
        <v>3086</v>
      </c>
      <c r="F8" s="150" t="s">
        <v>3087</v>
      </c>
      <c r="G8" s="150" t="s">
        <v>3032</v>
      </c>
    </row>
    <row r="9" spans="1:10" x14ac:dyDescent="0.25">
      <c r="B9" s="151">
        <f>ROW(A1)</f>
        <v>1</v>
      </c>
      <c r="C9" s="150" t="str">
        <f>IFERROR(VLOOKUP(BDREGISTROMINGA2025[[#This Row],[NROKARDEX]],BDPADRES[],8,FALSE),"Sin registrado")</f>
        <v>ZUNILDA ARANCIBIA ROSADO</v>
      </c>
      <c r="D9" s="150">
        <v>50</v>
      </c>
      <c r="G9" s="157">
        <v>50</v>
      </c>
    </row>
    <row r="10" spans="1:10" x14ac:dyDescent="0.25">
      <c r="B10" s="151">
        <f t="shared" ref="B10:B73" si="0">ROW(A2)</f>
        <v>2</v>
      </c>
      <c r="C10" s="150" t="str">
        <f>IFERROR(VLOOKUP(BDREGISTROMINGA2025[[#This Row],[NROKARDEX]],BDPADRES[],8,FALSE),"Sin registrado")</f>
        <v>GUISELA ULLOA MAMANI</v>
      </c>
      <c r="G10" s="157"/>
    </row>
    <row r="11" spans="1:10" x14ac:dyDescent="0.25">
      <c r="B11" s="151">
        <f t="shared" si="0"/>
        <v>3</v>
      </c>
      <c r="C11" s="150" t="str">
        <f>IFERROR(VLOOKUP(BDREGISTROMINGA2025[[#This Row],[NROKARDEX]],BDPADRES[],8,FALSE),"Sin registrado")</f>
        <v>BENITA VILLARES PACHILE</v>
      </c>
      <c r="G11" s="157"/>
    </row>
    <row r="12" spans="1:10" x14ac:dyDescent="0.25">
      <c r="B12" s="151">
        <f t="shared" si="0"/>
        <v>4</v>
      </c>
      <c r="C12" s="150" t="str">
        <f>IFERROR(VLOOKUP(BDREGISTROMINGA2025[[#This Row],[NROKARDEX]],BDPADRES[],8,FALSE),"Sin registrado")</f>
        <v>MARIELA ORELLANA ARANCIBIA</v>
      </c>
      <c r="G12" s="157"/>
    </row>
    <row r="13" spans="1:10" x14ac:dyDescent="0.25">
      <c r="B13" s="151">
        <f t="shared" si="0"/>
        <v>5</v>
      </c>
      <c r="C13" s="150" t="str">
        <f>IFERROR(VLOOKUP(BDREGISTROMINGA2025[[#This Row],[NROKARDEX]],BDPADRES[],8,FALSE),"Sin registrado")</f>
        <v>YILDA ROSADO ARAUZ</v>
      </c>
      <c r="G13" s="157"/>
    </row>
    <row r="14" spans="1:10" x14ac:dyDescent="0.25">
      <c r="B14" s="151">
        <f t="shared" si="0"/>
        <v>6</v>
      </c>
      <c r="C14" s="150" t="str">
        <f>IFERROR(VLOOKUP(BDREGISTROMINGA2025[[#This Row],[NROKARDEX]],BDPADRES[],8,FALSE),"Sin registrado")</f>
        <v>LEIDY KAROLA MEDINA BELTRAN</v>
      </c>
      <c r="G14" s="157"/>
    </row>
    <row r="15" spans="1:10" x14ac:dyDescent="0.25">
      <c r="B15" s="151">
        <f t="shared" si="0"/>
        <v>7</v>
      </c>
      <c r="C15" s="150" t="str">
        <f>IFERROR(VLOOKUP(BDREGISTROMINGA2025[[#This Row],[NROKARDEX]],BDPADRES[],8,FALSE),"Sin registrado")</f>
        <v>LUZ CORAZON ALBORNOS ZABALAGA</v>
      </c>
      <c r="G15" s="157"/>
    </row>
    <row r="16" spans="1:10" x14ac:dyDescent="0.25">
      <c r="B16" s="151">
        <f t="shared" si="0"/>
        <v>8</v>
      </c>
      <c r="C16" s="150" t="str">
        <f>IFERROR(VLOOKUP(BDREGISTROMINGA2025[[#This Row],[NROKARDEX]],BDPADRES[],8,FALSE),"Sin registrado")</f>
        <v>ANA KAREN ESTRADA URIONA</v>
      </c>
      <c r="G16" s="157"/>
    </row>
    <row r="17" spans="2:7" x14ac:dyDescent="0.25">
      <c r="B17" s="151">
        <f t="shared" si="0"/>
        <v>9</v>
      </c>
      <c r="C17" s="150" t="str">
        <f>IFERROR(VLOOKUP(BDREGISTROMINGA2025[[#This Row],[NROKARDEX]],BDPADRES[],8,FALSE),"Sin registrado")</f>
        <v>PAMELA LEONESA MARTINEZ ROMERO</v>
      </c>
      <c r="G17" s="157"/>
    </row>
    <row r="18" spans="2:7" x14ac:dyDescent="0.25">
      <c r="B18" s="151">
        <f t="shared" si="0"/>
        <v>10</v>
      </c>
      <c r="C18" s="150" t="str">
        <f>IFERROR(VLOOKUP(BDREGISTROMINGA2025[[#This Row],[NROKARDEX]],BDPADRES[],8,FALSE),"Sin registrado")</f>
        <v>EVELIN BALDERRAMA ROJAS</v>
      </c>
      <c r="G18" s="157"/>
    </row>
    <row r="19" spans="2:7" x14ac:dyDescent="0.25">
      <c r="B19" s="151">
        <f t="shared" si="0"/>
        <v>11</v>
      </c>
      <c r="C19" s="150" t="str">
        <f>IFERROR(VLOOKUP(BDREGISTROMINGA2025[[#This Row],[NROKARDEX]],BDPADRES[],8,FALSE),"Sin registrado")</f>
        <v>CELIA ORELLANA GUTIERREZ</v>
      </c>
      <c r="G19" s="157"/>
    </row>
    <row r="20" spans="2:7" x14ac:dyDescent="0.25">
      <c r="B20" s="151">
        <f t="shared" si="0"/>
        <v>12</v>
      </c>
      <c r="C20" s="150" t="str">
        <f>IFERROR(VLOOKUP(BDREGISTROMINGA2025[[#This Row],[NROKARDEX]],BDPADRES[],8,FALSE),"Sin registrado")</f>
        <v>MARCELINA MOJIANO MOSCOSO</v>
      </c>
      <c r="G20" s="157"/>
    </row>
    <row r="21" spans="2:7" x14ac:dyDescent="0.25">
      <c r="B21" s="151">
        <f t="shared" si="0"/>
        <v>13</v>
      </c>
      <c r="C21" s="150" t="str">
        <f>IFERROR(VLOOKUP(BDREGISTROMINGA2025[[#This Row],[NROKARDEX]],BDPADRES[],8,FALSE),"Sin registrado")</f>
        <v>YOLANDA CRUZ AGUIRRE</v>
      </c>
      <c r="G21" s="157"/>
    </row>
    <row r="22" spans="2:7" x14ac:dyDescent="0.25">
      <c r="B22" s="151">
        <f t="shared" si="0"/>
        <v>14</v>
      </c>
      <c r="C22" s="150" t="str">
        <f>IFERROR(VLOOKUP(BDREGISTROMINGA2025[[#This Row],[NROKARDEX]],BDPADRES[],8,FALSE),"Sin registrado")</f>
        <v>MARGARITA VARGAS BOBARIN</v>
      </c>
      <c r="G22" s="157"/>
    </row>
    <row r="23" spans="2:7" x14ac:dyDescent="0.25">
      <c r="B23" s="151">
        <f t="shared" si="0"/>
        <v>15</v>
      </c>
      <c r="C23" s="150" t="str">
        <f>IFERROR(VLOOKUP(BDREGISTROMINGA2025[[#This Row],[NROKARDEX]],BDPADRES[],8,FALSE),"Sin registrado")</f>
        <v>CANDELARIA ZAPATA CRESPO</v>
      </c>
      <c r="G23" s="157"/>
    </row>
    <row r="24" spans="2:7" x14ac:dyDescent="0.25">
      <c r="B24" s="151">
        <f t="shared" si="0"/>
        <v>16</v>
      </c>
      <c r="C24" s="150" t="str">
        <f>IFERROR(VLOOKUP(BDREGISTROMINGA2025[[#This Row],[NROKARDEX]],BDPADRES[],8,FALSE),"Sin registrado")</f>
        <v>DOLORES QUENTA BARRIENTOS</v>
      </c>
      <c r="G24" s="157"/>
    </row>
    <row r="25" spans="2:7" x14ac:dyDescent="0.25">
      <c r="B25" s="151">
        <f t="shared" si="0"/>
        <v>17</v>
      </c>
      <c r="C25" s="150" t="str">
        <f>IFERROR(VLOOKUP(BDREGISTROMINGA2025[[#This Row],[NROKARDEX]],BDPADRES[],8,FALSE),"Sin registrado")</f>
        <v>ANA MARIA CHOQUE LEITON</v>
      </c>
      <c r="G25" s="157"/>
    </row>
    <row r="26" spans="2:7" x14ac:dyDescent="0.25">
      <c r="B26" s="151">
        <f t="shared" si="0"/>
        <v>18</v>
      </c>
      <c r="C26" s="150" t="str">
        <f>IFERROR(VLOOKUP(BDREGISTROMINGA2025[[#This Row],[NROKARDEX]],BDPADRES[],8,FALSE),"Sin registrado")</f>
        <v>YASELY RUTH MURILLO CASTRO</v>
      </c>
      <c r="G26" s="157"/>
    </row>
    <row r="27" spans="2:7" x14ac:dyDescent="0.25">
      <c r="B27" s="151">
        <f t="shared" si="0"/>
        <v>19</v>
      </c>
      <c r="C27" s="150" t="str">
        <f>IFERROR(VLOOKUP(BDREGISTROMINGA2025[[#This Row],[NROKARDEX]],BDPADRES[],8,FALSE),"Sin registrado")</f>
        <v>LIBERATA DIAZ CASTRO</v>
      </c>
      <c r="G27" s="157"/>
    </row>
    <row r="28" spans="2:7" x14ac:dyDescent="0.25">
      <c r="B28" s="151">
        <f t="shared" si="0"/>
        <v>20</v>
      </c>
      <c r="C28" s="150" t="str">
        <f>IFERROR(VLOOKUP(BDREGISTROMINGA2025[[#This Row],[NROKARDEX]],BDPADRES[],8,FALSE),"Sin registrado")</f>
        <v>EMY RUDY MURILLO CASTRO</v>
      </c>
      <c r="G28" s="157"/>
    </row>
    <row r="29" spans="2:7" x14ac:dyDescent="0.25">
      <c r="B29" s="151">
        <f t="shared" si="0"/>
        <v>21</v>
      </c>
      <c r="C29" s="150" t="str">
        <f>IFERROR(VLOOKUP(BDREGISTROMINGA2025[[#This Row],[NROKARDEX]],BDPADRES[],8,FALSE),"Sin registrado")</f>
        <v>ABIGAIL LEON SEAS</v>
      </c>
      <c r="G29" s="157"/>
    </row>
    <row r="30" spans="2:7" x14ac:dyDescent="0.25">
      <c r="B30" s="151">
        <f t="shared" si="0"/>
        <v>22</v>
      </c>
      <c r="C30" s="150" t="str">
        <f>IFERROR(VLOOKUP(BDREGISTROMINGA2025[[#This Row],[NROKARDEX]],BDPADRES[],8,FALSE),"Sin registrado")</f>
        <v>SANDRA PUMA ROSAS</v>
      </c>
      <c r="G30" s="157"/>
    </row>
    <row r="31" spans="2:7" x14ac:dyDescent="0.25">
      <c r="B31" s="151">
        <f t="shared" si="0"/>
        <v>23</v>
      </c>
      <c r="C31" s="150" t="str">
        <f>IFERROR(VLOOKUP(BDREGISTROMINGA2025[[#This Row],[NROKARDEX]],BDPADRES[],8,FALSE),"Sin registrado")</f>
        <v>VERONICA AIZA QUIROGA</v>
      </c>
      <c r="G31" s="157"/>
    </row>
    <row r="32" spans="2:7" x14ac:dyDescent="0.25">
      <c r="B32" s="151">
        <f t="shared" si="0"/>
        <v>24</v>
      </c>
      <c r="C32" s="150" t="str">
        <f>IFERROR(VLOOKUP(BDREGISTROMINGA2025[[#This Row],[NROKARDEX]],BDPADRES[],8,FALSE),"Sin registrado")</f>
        <v>ESMERALDA MARINA BARRERA PUMA</v>
      </c>
      <c r="G32" s="157"/>
    </row>
    <row r="33" spans="2:7" x14ac:dyDescent="0.25">
      <c r="B33" s="151">
        <f t="shared" si="0"/>
        <v>25</v>
      </c>
      <c r="C33" s="150" t="str">
        <f>IFERROR(VLOOKUP(BDREGISTROMINGA2025[[#This Row],[NROKARDEX]],BDPADRES[],8,FALSE),"Sin registrado")</f>
        <v>HEIDY PACO CASTRO</v>
      </c>
      <c r="G33" s="157"/>
    </row>
    <row r="34" spans="2:7" x14ac:dyDescent="0.25">
      <c r="B34" s="151">
        <f t="shared" si="0"/>
        <v>26</v>
      </c>
      <c r="C34" s="150" t="str">
        <f>IFERROR(VLOOKUP(BDREGISTROMINGA2025[[#This Row],[NROKARDEX]],BDPADRES[],8,FALSE),"Sin registrado")</f>
        <v>PATRICIA LOPEZ CHOQUE</v>
      </c>
      <c r="G34" s="157"/>
    </row>
    <row r="35" spans="2:7" x14ac:dyDescent="0.25">
      <c r="B35" s="151">
        <f t="shared" si="0"/>
        <v>27</v>
      </c>
      <c r="C35" s="150" t="str">
        <f>IFERROR(VLOOKUP(BDREGISTROMINGA2025[[#This Row],[NROKARDEX]],BDPADRES[],8,FALSE),"Sin registrado")</f>
        <v>BASILIA PADILLA REINA</v>
      </c>
      <c r="G35" s="157"/>
    </row>
    <row r="36" spans="2:7" x14ac:dyDescent="0.25">
      <c r="B36" s="151">
        <f t="shared" si="0"/>
        <v>28</v>
      </c>
      <c r="C36" s="150" t="str">
        <f>IFERROR(VLOOKUP(BDREGISTROMINGA2025[[#This Row],[NROKARDEX]],BDPADRES[],8,FALSE),"Sin registrado")</f>
        <v>DALCY SILES ROSADO</v>
      </c>
      <c r="G36" s="157"/>
    </row>
    <row r="37" spans="2:7" x14ac:dyDescent="0.25">
      <c r="B37" s="151">
        <f t="shared" si="0"/>
        <v>29</v>
      </c>
      <c r="C37" s="150" t="str">
        <f>IFERROR(VLOOKUP(BDREGISTROMINGA2025[[#This Row],[NROKARDEX]],BDPADRES[],8,FALSE),"Sin registrado")</f>
        <v>NICOLE PEREYRA CABRERA</v>
      </c>
      <c r="G37" s="157"/>
    </row>
    <row r="38" spans="2:7" x14ac:dyDescent="0.25">
      <c r="B38" s="151">
        <f t="shared" si="0"/>
        <v>30</v>
      </c>
      <c r="C38" s="150" t="str">
        <f>IFERROR(VLOOKUP(BDREGISTROMINGA2025[[#This Row],[NROKARDEX]],BDPADRES[],8,FALSE),"Sin registrado")</f>
        <v>TERESA  ANDREA CONDORI LOPEZ</v>
      </c>
      <c r="G38" s="157"/>
    </row>
    <row r="39" spans="2:7" x14ac:dyDescent="0.25">
      <c r="B39" s="151">
        <f t="shared" si="0"/>
        <v>31</v>
      </c>
      <c r="C39" s="150" t="str">
        <f>IFERROR(VLOOKUP(BDREGISTROMINGA2025[[#This Row],[NROKARDEX]],BDPADRES[],8,FALSE),"Sin registrado")</f>
        <v>Sin registrado</v>
      </c>
      <c r="G39" s="157"/>
    </row>
    <row r="40" spans="2:7" x14ac:dyDescent="0.25">
      <c r="B40" s="151">
        <f t="shared" si="0"/>
        <v>32</v>
      </c>
      <c r="C40" s="150" t="str">
        <f>IFERROR(VLOOKUP(BDREGISTROMINGA2025[[#This Row],[NROKARDEX]],BDPADRES[],8,FALSE),"Sin registrado")</f>
        <v>RODEE FLORES TITO</v>
      </c>
      <c r="G40" s="157"/>
    </row>
    <row r="41" spans="2:7" x14ac:dyDescent="0.25">
      <c r="B41" s="151">
        <f t="shared" si="0"/>
        <v>33</v>
      </c>
      <c r="C41" s="150" t="str">
        <f>IFERROR(VLOOKUP(BDREGISTROMINGA2025[[#This Row],[NROKARDEX]],BDPADRES[],8,FALSE),"Sin registrado")</f>
        <v>ANA ISABEL APAZA MAMANI</v>
      </c>
      <c r="G41" s="157"/>
    </row>
    <row r="42" spans="2:7" x14ac:dyDescent="0.25">
      <c r="B42" s="151">
        <f t="shared" si="0"/>
        <v>34</v>
      </c>
      <c r="C42" s="150" t="str">
        <f>IFERROR(VLOOKUP(BDREGISTROMINGA2025[[#This Row],[NROKARDEX]],BDPADRES[],8,FALSE),"Sin registrado")</f>
        <v>JUANA FERNANDEZ LOPEZ</v>
      </c>
      <c r="G42" s="157"/>
    </row>
    <row r="43" spans="2:7" x14ac:dyDescent="0.25">
      <c r="B43" s="151">
        <f t="shared" si="0"/>
        <v>35</v>
      </c>
      <c r="C43" s="150" t="str">
        <f>IFERROR(VLOOKUP(BDREGISTROMINGA2025[[#This Row],[NROKARDEX]],BDPADRES[],8,FALSE),"Sin registrado")</f>
        <v>OLIVIA FLORES SERRUTO</v>
      </c>
      <c r="G43" s="157"/>
    </row>
    <row r="44" spans="2:7" x14ac:dyDescent="0.25">
      <c r="B44" s="151">
        <f t="shared" si="0"/>
        <v>36</v>
      </c>
      <c r="C44" s="150" t="str">
        <f>IFERROR(VLOOKUP(BDREGISTROMINGA2025[[#This Row],[NROKARDEX]],BDPADRES[],8,FALSE),"Sin registrado")</f>
        <v>MARLENE   VEDIA BALLESTEROS</v>
      </c>
      <c r="G44" s="157"/>
    </row>
    <row r="45" spans="2:7" x14ac:dyDescent="0.25">
      <c r="B45" s="151">
        <f t="shared" si="0"/>
        <v>37</v>
      </c>
      <c r="C45" s="150" t="str">
        <f>IFERROR(VLOOKUP(BDREGISTROMINGA2025[[#This Row],[NROKARDEX]],BDPADRES[],8,FALSE),"Sin registrado")</f>
        <v>SEGUNDINA PEÑARRIETA BARVOLIN</v>
      </c>
      <c r="G45" s="157"/>
    </row>
    <row r="46" spans="2:7" x14ac:dyDescent="0.25">
      <c r="B46" s="151">
        <f t="shared" si="0"/>
        <v>38</v>
      </c>
      <c r="C46" s="150" t="str">
        <f>IFERROR(VLOOKUP(BDREGISTROMINGA2025[[#This Row],[NROKARDEX]],BDPADRES[],8,FALSE),"Sin registrado")</f>
        <v>MERY AGUADO TORREZ</v>
      </c>
      <c r="G46" s="157"/>
    </row>
    <row r="47" spans="2:7" x14ac:dyDescent="0.25">
      <c r="B47" s="151">
        <f t="shared" si="0"/>
        <v>39</v>
      </c>
      <c r="C47" s="150" t="str">
        <f>IFERROR(VLOOKUP(BDREGISTROMINGA2025[[#This Row],[NROKARDEX]],BDPADRES[],8,FALSE),"Sin registrado")</f>
        <v>JOVITA GARCIA TANTUTELA</v>
      </c>
      <c r="G47" s="157"/>
    </row>
    <row r="48" spans="2:7" x14ac:dyDescent="0.25">
      <c r="B48" s="151">
        <f t="shared" si="0"/>
        <v>40</v>
      </c>
      <c r="C48" s="150" t="str">
        <f>IFERROR(VLOOKUP(BDREGISTROMINGA2025[[#This Row],[NROKARDEX]],BDPADRES[],8,FALSE),"Sin registrado")</f>
        <v>MARINA MEJIA BEJARANO</v>
      </c>
      <c r="G48" s="157"/>
    </row>
    <row r="49" spans="2:7" x14ac:dyDescent="0.25">
      <c r="B49" s="151">
        <f t="shared" si="0"/>
        <v>41</v>
      </c>
      <c r="C49" s="150" t="str">
        <f>IFERROR(VLOOKUP(BDREGISTROMINGA2025[[#This Row],[NROKARDEX]],BDPADRES[],8,FALSE),"Sin registrado")</f>
        <v>ELSA TITO CABRERA</v>
      </c>
      <c r="G49" s="157"/>
    </row>
    <row r="50" spans="2:7" x14ac:dyDescent="0.25">
      <c r="B50" s="151">
        <f t="shared" si="0"/>
        <v>42</v>
      </c>
      <c r="C50" s="150" t="str">
        <f>IFERROR(VLOOKUP(BDREGISTROMINGA2025[[#This Row],[NROKARDEX]],BDPADRES[],8,FALSE),"Sin registrado")</f>
        <v>MARINA  SANTOS PADILLA</v>
      </c>
      <c r="G50" s="157"/>
    </row>
    <row r="51" spans="2:7" x14ac:dyDescent="0.25">
      <c r="B51" s="151">
        <f t="shared" si="0"/>
        <v>43</v>
      </c>
      <c r="C51" s="150" t="str">
        <f>IFERROR(VLOOKUP(BDREGISTROMINGA2025[[#This Row],[NROKARDEX]],BDPADRES[],8,FALSE),"Sin registrado")</f>
        <v>YOLANDA TORREZ ROJAS</v>
      </c>
      <c r="G51" s="157"/>
    </row>
    <row r="52" spans="2:7" x14ac:dyDescent="0.25">
      <c r="B52" s="151">
        <f t="shared" si="0"/>
        <v>44</v>
      </c>
      <c r="C52" s="150" t="str">
        <f>IFERROR(VLOOKUP(BDREGISTROMINGA2025[[#This Row],[NROKARDEX]],BDPADRES[],8,FALSE),"Sin registrado")</f>
        <v>MARIA DEISY TERRAZAS GUTIERREZ</v>
      </c>
      <c r="G52" s="157"/>
    </row>
    <row r="53" spans="2:7" x14ac:dyDescent="0.25">
      <c r="B53" s="151">
        <f t="shared" si="0"/>
        <v>45</v>
      </c>
      <c r="C53" s="150" t="str">
        <f>IFERROR(VLOOKUP(BDREGISTROMINGA2025[[#This Row],[NROKARDEX]],BDPADRES[],8,FALSE),"Sin registrado")</f>
        <v>LIDIA ALVAREZ MONTAÑO</v>
      </c>
      <c r="G53" s="157"/>
    </row>
    <row r="54" spans="2:7" x14ac:dyDescent="0.25">
      <c r="B54" s="151">
        <f t="shared" si="0"/>
        <v>46</v>
      </c>
      <c r="C54" s="150" t="str">
        <f>IFERROR(VLOOKUP(BDREGISTROMINGA2025[[#This Row],[NROKARDEX]],BDPADRES[],8,FALSE),"Sin registrado")</f>
        <v>YESSICA AGUILAR ALVAREZ</v>
      </c>
      <c r="G54" s="157"/>
    </row>
    <row r="55" spans="2:7" x14ac:dyDescent="0.25">
      <c r="B55" s="151">
        <f t="shared" si="0"/>
        <v>47</v>
      </c>
      <c r="C55" s="150" t="str">
        <f>IFERROR(VLOOKUP(BDREGISTROMINGA2025[[#This Row],[NROKARDEX]],BDPADRES[],8,FALSE),"Sin registrado")</f>
        <v>EUNICE CARTAGENA RUIZ</v>
      </c>
      <c r="G55" s="157"/>
    </row>
    <row r="56" spans="2:7" x14ac:dyDescent="0.25">
      <c r="B56" s="151">
        <f t="shared" si="0"/>
        <v>48</v>
      </c>
      <c r="C56" s="150" t="str">
        <f>IFERROR(VLOOKUP(BDREGISTROMINGA2025[[#This Row],[NROKARDEX]],BDPADRES[],8,FALSE),"Sin registrado")</f>
        <v>SHEILA VANESSA VARGAS TITO</v>
      </c>
      <c r="G56" s="157"/>
    </row>
    <row r="57" spans="2:7" x14ac:dyDescent="0.25">
      <c r="B57" s="151">
        <f t="shared" si="0"/>
        <v>49</v>
      </c>
      <c r="C57" s="150" t="str">
        <f>IFERROR(VLOOKUP(BDREGISTROMINGA2025[[#This Row],[NROKARDEX]],BDPADRES[],8,FALSE),"Sin registrado")</f>
        <v>REINA MAMANI IPORRE</v>
      </c>
      <c r="G57" s="157"/>
    </row>
    <row r="58" spans="2:7" x14ac:dyDescent="0.25">
      <c r="B58" s="151">
        <f t="shared" si="0"/>
        <v>50</v>
      </c>
      <c r="C58" s="150" t="str">
        <f>IFERROR(VLOOKUP(BDREGISTROMINGA2025[[#This Row],[NROKARDEX]],BDPADRES[],8,FALSE),"Sin registrado")</f>
        <v>MARLENE TERESA GOMEZ CHOQUE</v>
      </c>
      <c r="G58" s="157"/>
    </row>
    <row r="59" spans="2:7" x14ac:dyDescent="0.25">
      <c r="B59" s="151">
        <f t="shared" si="0"/>
        <v>51</v>
      </c>
      <c r="C59" s="150" t="str">
        <f>IFERROR(VLOOKUP(BDREGISTROMINGA2025[[#This Row],[NROKARDEX]],BDPADRES[],8,FALSE),"Sin registrado")</f>
        <v>ELVA LLENES SALAZAR</v>
      </c>
      <c r="G59" s="157"/>
    </row>
    <row r="60" spans="2:7" x14ac:dyDescent="0.25">
      <c r="B60" s="151">
        <f t="shared" si="0"/>
        <v>52</v>
      </c>
      <c r="C60" s="150" t="str">
        <f>IFERROR(VLOOKUP(BDREGISTROMINGA2025[[#This Row],[NROKARDEX]],BDPADRES[],8,FALSE),"Sin registrado")</f>
        <v>MARTHA URQUIZU SALINAS</v>
      </c>
      <c r="G60" s="157"/>
    </row>
    <row r="61" spans="2:7" x14ac:dyDescent="0.25">
      <c r="B61" s="151">
        <f t="shared" si="0"/>
        <v>53</v>
      </c>
      <c r="C61" s="150" t="str">
        <f>IFERROR(VLOOKUP(BDREGISTROMINGA2025[[#This Row],[NROKARDEX]],BDPADRES[],8,FALSE),"Sin registrado")</f>
        <v>MARGOT ZEGARRA NUÑEZ</v>
      </c>
      <c r="G61" s="157"/>
    </row>
    <row r="62" spans="2:7" x14ac:dyDescent="0.25">
      <c r="B62" s="151">
        <f t="shared" si="0"/>
        <v>54</v>
      </c>
      <c r="C62" s="150" t="str">
        <f>IFERROR(VLOOKUP(BDREGISTROMINGA2025[[#This Row],[NROKARDEX]],BDPADRES[],8,FALSE),"Sin registrado")</f>
        <v>CECILIA CASTRO PINTO</v>
      </c>
      <c r="G62" s="157"/>
    </row>
    <row r="63" spans="2:7" x14ac:dyDescent="0.25">
      <c r="B63" s="151">
        <f t="shared" si="0"/>
        <v>55</v>
      </c>
      <c r="C63" s="150" t="str">
        <f>IFERROR(VLOOKUP(BDREGISTROMINGA2025[[#This Row],[NROKARDEX]],BDPADRES[],8,FALSE),"Sin registrado")</f>
        <v>ROSSE MARY BALDELOMAR VEIZAGA</v>
      </c>
      <c r="G63" s="157"/>
    </row>
    <row r="64" spans="2:7" x14ac:dyDescent="0.25">
      <c r="B64" s="151">
        <f t="shared" si="0"/>
        <v>56</v>
      </c>
      <c r="C64" s="150" t="str">
        <f>IFERROR(VLOOKUP(BDREGISTROMINGA2025[[#This Row],[NROKARDEX]],BDPADRES[],8,FALSE),"Sin registrado")</f>
        <v>CLAUDINA SANTOS</v>
      </c>
      <c r="G64" s="157"/>
    </row>
    <row r="65" spans="2:7" x14ac:dyDescent="0.25">
      <c r="B65" s="151">
        <f t="shared" si="0"/>
        <v>57</v>
      </c>
      <c r="C65" s="150" t="str">
        <f>IFERROR(VLOOKUP(BDREGISTROMINGA2025[[#This Row],[NROKARDEX]],BDPADRES[],8,FALSE),"Sin registrado")</f>
        <v>ALISON CABRERA CRUZ</v>
      </c>
      <c r="G65" s="157"/>
    </row>
    <row r="66" spans="2:7" x14ac:dyDescent="0.25">
      <c r="B66" s="151">
        <f t="shared" si="0"/>
        <v>58</v>
      </c>
      <c r="C66" s="150" t="str">
        <f>IFERROR(VLOOKUP(BDREGISTROMINGA2025[[#This Row],[NROKARDEX]],BDPADRES[],8,FALSE),"Sin registrado")</f>
        <v>ANA MARIA ROMERO AVILA</v>
      </c>
      <c r="G66" s="157"/>
    </row>
    <row r="67" spans="2:7" x14ac:dyDescent="0.25">
      <c r="B67" s="151">
        <f t="shared" si="0"/>
        <v>59</v>
      </c>
      <c r="C67" s="150" t="str">
        <f>IFERROR(VLOOKUP(BDREGISTROMINGA2025[[#This Row],[NROKARDEX]],BDPADRES[],8,FALSE),"Sin registrado")</f>
        <v>MARGARITA AVARIPA CRUZ</v>
      </c>
      <c r="G67" s="157"/>
    </row>
    <row r="68" spans="2:7" x14ac:dyDescent="0.25">
      <c r="B68" s="151">
        <f t="shared" si="0"/>
        <v>60</v>
      </c>
      <c r="C68" s="150" t="str">
        <f>IFERROR(VLOOKUP(BDREGISTROMINGA2025[[#This Row],[NROKARDEX]],BDPADRES[],8,FALSE),"Sin registrado")</f>
        <v>ANAHI LIJERON RAMIREZ</v>
      </c>
      <c r="G68" s="157"/>
    </row>
    <row r="69" spans="2:7" x14ac:dyDescent="0.25">
      <c r="B69" s="151">
        <f t="shared" si="0"/>
        <v>61</v>
      </c>
      <c r="C69" s="150" t="str">
        <f>IFERROR(VLOOKUP(BDREGISTROMINGA2025[[#This Row],[NROKARDEX]],BDPADRES[],8,FALSE),"Sin registrado")</f>
        <v>NILDA HUAYHUA ARENAS</v>
      </c>
      <c r="G69" s="157"/>
    </row>
    <row r="70" spans="2:7" x14ac:dyDescent="0.25">
      <c r="B70" s="151">
        <f t="shared" si="0"/>
        <v>62</v>
      </c>
      <c r="C70" s="150" t="str">
        <f>IFERROR(VLOOKUP(BDREGISTROMINGA2025[[#This Row],[NROKARDEX]],BDPADRES[],8,FALSE),"Sin registrado")</f>
        <v>EDITH  ESCOBAR CESPEDES</v>
      </c>
      <c r="G70" s="157"/>
    </row>
    <row r="71" spans="2:7" x14ac:dyDescent="0.25">
      <c r="B71" s="151">
        <f t="shared" si="0"/>
        <v>63</v>
      </c>
      <c r="C71" s="150" t="str">
        <f>IFERROR(VLOOKUP(BDREGISTROMINGA2025[[#This Row],[NROKARDEX]],BDPADRES[],8,FALSE),"Sin registrado")</f>
        <v>SIMONA ARIAS RENGIPO</v>
      </c>
      <c r="G71" s="157"/>
    </row>
    <row r="72" spans="2:7" x14ac:dyDescent="0.25">
      <c r="B72" s="151">
        <f t="shared" si="0"/>
        <v>64</v>
      </c>
      <c r="C72" s="150" t="str">
        <f>IFERROR(VLOOKUP(BDREGISTROMINGA2025[[#This Row],[NROKARDEX]],BDPADRES[],8,FALSE),"Sin registrado")</f>
        <v>JUANA MARTINEZ FERNANDEZ</v>
      </c>
      <c r="G72" s="157"/>
    </row>
    <row r="73" spans="2:7" x14ac:dyDescent="0.25">
      <c r="B73" s="151">
        <f t="shared" si="0"/>
        <v>65</v>
      </c>
      <c r="C73" s="150" t="str">
        <f>IFERROR(VLOOKUP(BDREGISTROMINGA2025[[#This Row],[NROKARDEX]],BDPADRES[],8,FALSE),"Sin registrado")</f>
        <v>MARGARITA DAZA VEDIA</v>
      </c>
      <c r="G73" s="157"/>
    </row>
    <row r="74" spans="2:7" x14ac:dyDescent="0.25">
      <c r="B74" s="151">
        <f t="shared" ref="B74:B137" si="1">ROW(A66)</f>
        <v>66</v>
      </c>
      <c r="C74" s="150" t="str">
        <f>IFERROR(VLOOKUP(BDREGISTROMINGA2025[[#This Row],[NROKARDEX]],BDPADRES[],8,FALSE),"Sin registrado")</f>
        <v>JAHEL  ACHO RODRIGUEZ</v>
      </c>
      <c r="G74" s="157"/>
    </row>
    <row r="75" spans="2:7" x14ac:dyDescent="0.25">
      <c r="B75" s="151">
        <f t="shared" si="1"/>
        <v>67</v>
      </c>
      <c r="C75" s="150" t="str">
        <f>IFERROR(VLOOKUP(BDREGISTROMINGA2025[[#This Row],[NROKARDEX]],BDPADRES[],8,FALSE),"Sin registrado")</f>
        <v>SIN NOMBRE PACO</v>
      </c>
      <c r="G75" s="157"/>
    </row>
    <row r="76" spans="2:7" x14ac:dyDescent="0.25">
      <c r="B76" s="151">
        <f t="shared" si="1"/>
        <v>68</v>
      </c>
      <c r="C76" s="150" t="str">
        <f>IFERROR(VLOOKUP(BDREGISTROMINGA2025[[#This Row],[NROKARDEX]],BDPADRES[],8,FALSE),"Sin registrado")</f>
        <v>LISBETH ALCOBA CESPEDES</v>
      </c>
      <c r="G76" s="157"/>
    </row>
    <row r="77" spans="2:7" x14ac:dyDescent="0.25">
      <c r="B77" s="151">
        <f t="shared" si="1"/>
        <v>69</v>
      </c>
      <c r="C77" s="150" t="str">
        <f>IFERROR(VLOOKUP(BDREGISTROMINGA2025[[#This Row],[NROKARDEX]],BDPADRES[],8,FALSE),"Sin registrado")</f>
        <v>MARIA MERCEDES PUMACAYO PERALTA</v>
      </c>
      <c r="G77" s="157"/>
    </row>
    <row r="78" spans="2:7" x14ac:dyDescent="0.25">
      <c r="B78" s="151">
        <f t="shared" si="1"/>
        <v>70</v>
      </c>
      <c r="C78" s="150" t="str">
        <f>IFERROR(VLOOKUP(BDREGISTROMINGA2025[[#This Row],[NROKARDEX]],BDPADRES[],8,FALSE),"Sin registrado")</f>
        <v>CRECENCIA AVALOS GARNICA</v>
      </c>
      <c r="G78" s="157"/>
    </row>
    <row r="79" spans="2:7" x14ac:dyDescent="0.25">
      <c r="B79" s="151">
        <f t="shared" si="1"/>
        <v>71</v>
      </c>
      <c r="C79" s="150" t="str">
        <f>IFERROR(VLOOKUP(BDREGISTROMINGA2025[[#This Row],[NROKARDEX]],BDPADRES[],8,FALSE),"Sin registrado")</f>
        <v>TEOLINDA HUAILLA LOPEZ</v>
      </c>
      <c r="G79" s="157"/>
    </row>
    <row r="80" spans="2:7" x14ac:dyDescent="0.25">
      <c r="B80" s="151">
        <f t="shared" si="1"/>
        <v>72</v>
      </c>
      <c r="C80" s="150" t="str">
        <f>IFERROR(VLOOKUP(BDREGISTROMINGA2025[[#This Row],[NROKARDEX]],BDPADRES[],8,FALSE),"Sin registrado")</f>
        <v xml:space="preserve">SIN NOMBRE  PUMACAYO  </v>
      </c>
      <c r="G80" s="157"/>
    </row>
    <row r="81" spans="2:7" x14ac:dyDescent="0.25">
      <c r="B81" s="151">
        <f t="shared" si="1"/>
        <v>73</v>
      </c>
      <c r="C81" s="150" t="str">
        <f>IFERROR(VLOOKUP(BDREGISTROMINGA2025[[#This Row],[NROKARDEX]],BDPADRES[],8,FALSE),"Sin registrado")</f>
        <v>SIDELA RAMIREZ FLORES</v>
      </c>
      <c r="G81" s="157"/>
    </row>
    <row r="82" spans="2:7" x14ac:dyDescent="0.25">
      <c r="B82" s="151">
        <f t="shared" si="1"/>
        <v>74</v>
      </c>
      <c r="C82" s="150" t="str">
        <f>IFERROR(VLOOKUP(BDREGISTROMINGA2025[[#This Row],[NROKARDEX]],BDPADRES[],8,FALSE),"Sin registrado")</f>
        <v>ELIZABETH RODRIGUEZ RODRIGUEZ</v>
      </c>
      <c r="G82" s="157"/>
    </row>
    <row r="83" spans="2:7" x14ac:dyDescent="0.25">
      <c r="B83" s="151">
        <f t="shared" si="1"/>
        <v>75</v>
      </c>
      <c r="C83" s="150" t="str">
        <f>IFERROR(VLOOKUP(BDREGISTROMINGA2025[[#This Row],[NROKARDEX]],BDPADRES[],8,FALSE),"Sin registrado")</f>
        <v>MARGARITA ISABEL RIBERA TERCEROS</v>
      </c>
      <c r="G83" s="157"/>
    </row>
    <row r="84" spans="2:7" x14ac:dyDescent="0.25">
      <c r="B84" s="151">
        <f t="shared" si="1"/>
        <v>76</v>
      </c>
      <c r="C84" s="150" t="str">
        <f>IFERROR(VLOOKUP(BDREGISTROMINGA2025[[#This Row],[NROKARDEX]],BDPADRES[],8,FALSE),"Sin registrado")</f>
        <v>YSABEL CEREZO RIVAS</v>
      </c>
      <c r="G84" s="157"/>
    </row>
    <row r="85" spans="2:7" x14ac:dyDescent="0.25">
      <c r="B85" s="151">
        <f t="shared" si="1"/>
        <v>77</v>
      </c>
      <c r="C85" s="150" t="str">
        <f>IFERROR(VLOOKUP(BDREGISTROMINGA2025[[#This Row],[NROKARDEX]],BDPADRES[],8,FALSE),"Sin registrado")</f>
        <v>LIDIA MEDINA NOVA</v>
      </c>
      <c r="G85" s="157"/>
    </row>
    <row r="86" spans="2:7" x14ac:dyDescent="0.25">
      <c r="B86" s="151">
        <f t="shared" si="1"/>
        <v>78</v>
      </c>
      <c r="C86" s="150" t="str">
        <f>IFERROR(VLOOKUP(BDREGISTROMINGA2025[[#This Row],[NROKARDEX]],BDPADRES[],8,FALSE),"Sin registrado")</f>
        <v>ROXANA PINTO FLORES</v>
      </c>
      <c r="G86" s="157"/>
    </row>
    <row r="87" spans="2:7" x14ac:dyDescent="0.25">
      <c r="B87" s="151">
        <f t="shared" si="1"/>
        <v>79</v>
      </c>
      <c r="C87" s="150" t="str">
        <f>IFERROR(VLOOKUP(BDREGISTROMINGA2025[[#This Row],[NROKARDEX]],BDPADRES[],8,FALSE),"Sin registrado")</f>
        <v>AGUSTINA MARTINEZ MILLARES</v>
      </c>
      <c r="G87" s="157"/>
    </row>
    <row r="88" spans="2:7" x14ac:dyDescent="0.25">
      <c r="B88" s="151">
        <f t="shared" si="1"/>
        <v>80</v>
      </c>
      <c r="C88" s="150" t="str">
        <f>IFERROR(VLOOKUP(BDREGISTROMINGA2025[[#This Row],[NROKARDEX]],BDPADRES[],8,FALSE),"Sin registrado")</f>
        <v>MIGUELINA GUERRERO RODA</v>
      </c>
      <c r="G88" s="157"/>
    </row>
    <row r="89" spans="2:7" x14ac:dyDescent="0.25">
      <c r="B89" s="151">
        <f t="shared" si="1"/>
        <v>81</v>
      </c>
      <c r="C89" s="150" t="str">
        <f>IFERROR(VLOOKUP(BDREGISTROMINGA2025[[#This Row],[NROKARDEX]],BDPADRES[],8,FALSE),"Sin registrado")</f>
        <v>CATALINA MAMANI OCHOA</v>
      </c>
      <c r="G89" s="157"/>
    </row>
    <row r="90" spans="2:7" x14ac:dyDescent="0.25">
      <c r="B90" s="151">
        <f t="shared" si="1"/>
        <v>82</v>
      </c>
      <c r="C90" s="150" t="str">
        <f>IFERROR(VLOOKUP(BDREGISTROMINGA2025[[#This Row],[NROKARDEX]],BDPADRES[],8,FALSE),"Sin registrado")</f>
        <v>MARTHA FIGUEROA GUZMAN</v>
      </c>
      <c r="G90" s="157"/>
    </row>
    <row r="91" spans="2:7" x14ac:dyDescent="0.25">
      <c r="B91" s="151">
        <f t="shared" si="1"/>
        <v>83</v>
      </c>
      <c r="C91" s="150" t="str">
        <f>IFERROR(VLOOKUP(BDREGISTROMINGA2025[[#This Row],[NROKARDEX]],BDPADRES[],8,FALSE),"Sin registrado")</f>
        <v>ROSMERY CAMARGO CARBALLO</v>
      </c>
      <c r="G91" s="157"/>
    </row>
    <row r="92" spans="2:7" x14ac:dyDescent="0.25">
      <c r="B92" s="151">
        <f t="shared" si="1"/>
        <v>84</v>
      </c>
      <c r="C92" s="150" t="str">
        <f>IFERROR(VLOOKUP(BDREGISTROMINGA2025[[#This Row],[NROKARDEX]],BDPADRES[],8,FALSE),"Sin registrado")</f>
        <v>ELIZABETH MERCADO LOPEZ</v>
      </c>
      <c r="G92" s="157"/>
    </row>
    <row r="93" spans="2:7" x14ac:dyDescent="0.25">
      <c r="B93" s="151">
        <f t="shared" si="1"/>
        <v>85</v>
      </c>
      <c r="C93" s="150" t="str">
        <f>IFERROR(VLOOKUP(BDREGISTROMINGA2025[[#This Row],[NROKARDEX]],BDPADRES[],8,FALSE),"Sin registrado")</f>
        <v>ARACELI LIMON AVALOS</v>
      </c>
      <c r="G93" s="157"/>
    </row>
    <row r="94" spans="2:7" x14ac:dyDescent="0.25">
      <c r="B94" s="151">
        <f t="shared" si="1"/>
        <v>86</v>
      </c>
      <c r="C94" s="150" t="str">
        <f>IFERROR(VLOOKUP(BDREGISTROMINGA2025[[#This Row],[NROKARDEX]],BDPADRES[],8,FALSE),"Sin registrado")</f>
        <v>VICENTA MOSCOSO ROMERO</v>
      </c>
      <c r="G94" s="157"/>
    </row>
    <row r="95" spans="2:7" x14ac:dyDescent="0.25">
      <c r="B95" s="151">
        <f t="shared" si="1"/>
        <v>87</v>
      </c>
      <c r="C95" s="150" t="str">
        <f>IFERROR(VLOOKUP(BDREGISTROMINGA2025[[#This Row],[NROKARDEX]],BDPADRES[],8,FALSE),"Sin registrado")</f>
        <v>FLOR MARIA MOJICA GARCIA</v>
      </c>
      <c r="G95" s="157"/>
    </row>
    <row r="96" spans="2:7" x14ac:dyDescent="0.25">
      <c r="B96" s="151">
        <f t="shared" si="1"/>
        <v>88</v>
      </c>
      <c r="C96" s="150" t="str">
        <f>IFERROR(VLOOKUP(BDREGISTROMINGA2025[[#This Row],[NROKARDEX]],BDPADRES[],8,FALSE),"Sin registrado")</f>
        <v>ROSXANA MOJIANO MOSCOSO</v>
      </c>
      <c r="G96" s="157"/>
    </row>
    <row r="97" spans="2:7" x14ac:dyDescent="0.25">
      <c r="B97" s="151">
        <f t="shared" si="1"/>
        <v>89</v>
      </c>
      <c r="C97" s="150" t="str">
        <f>IFERROR(VLOOKUP(BDREGISTROMINGA2025[[#This Row],[NROKARDEX]],BDPADRES[],8,FALSE),"Sin registrado")</f>
        <v>YENNY ROJAS CLAURE</v>
      </c>
      <c r="G97" s="157"/>
    </row>
    <row r="98" spans="2:7" x14ac:dyDescent="0.25">
      <c r="B98" s="151">
        <f t="shared" si="1"/>
        <v>90</v>
      </c>
      <c r="C98" s="150" t="str">
        <f>IFERROR(VLOOKUP(BDREGISTROMINGA2025[[#This Row],[NROKARDEX]],BDPADRES[],8,FALSE),"Sin registrado")</f>
        <v>SILVIA CARI CARI COLQUE</v>
      </c>
      <c r="G98" s="157"/>
    </row>
    <row r="99" spans="2:7" x14ac:dyDescent="0.25">
      <c r="B99" s="151">
        <f t="shared" si="1"/>
        <v>91</v>
      </c>
      <c r="C99" s="150" t="str">
        <f>IFERROR(VLOOKUP(BDREGISTROMINGA2025[[#This Row],[NROKARDEX]],BDPADRES[],8,FALSE),"Sin registrado")</f>
        <v>VERENICE DORADO MONTENEGRO</v>
      </c>
      <c r="G99" s="157"/>
    </row>
    <row r="100" spans="2:7" x14ac:dyDescent="0.25">
      <c r="B100" s="151">
        <f t="shared" si="1"/>
        <v>92</v>
      </c>
      <c r="C100" s="150" t="str">
        <f>IFERROR(VLOOKUP(BDREGISTROMINGA2025[[#This Row],[NROKARDEX]],BDPADRES[],8,FALSE),"Sin registrado")</f>
        <v>DANIELA APAZA MIRANDA</v>
      </c>
      <c r="G100" s="157"/>
    </row>
    <row r="101" spans="2:7" x14ac:dyDescent="0.25">
      <c r="B101" s="151">
        <f t="shared" si="1"/>
        <v>93</v>
      </c>
      <c r="C101" s="150" t="str">
        <f>IFERROR(VLOOKUP(BDREGISTROMINGA2025[[#This Row],[NROKARDEX]],BDPADRES[],8,FALSE),"Sin registrado")</f>
        <v>DORA TERAN NOMTENEGRO</v>
      </c>
      <c r="G101" s="157"/>
    </row>
    <row r="102" spans="2:7" x14ac:dyDescent="0.25">
      <c r="B102" s="151">
        <f t="shared" si="1"/>
        <v>94</v>
      </c>
      <c r="C102" s="150" t="str">
        <f>IFERROR(VLOOKUP(BDREGISTROMINGA2025[[#This Row],[NROKARDEX]],BDPADRES[],8,FALSE),"Sin registrado")</f>
        <v>Sin registrado</v>
      </c>
      <c r="G102" s="157"/>
    </row>
    <row r="103" spans="2:7" x14ac:dyDescent="0.25">
      <c r="B103" s="151">
        <f t="shared" si="1"/>
        <v>95</v>
      </c>
      <c r="C103" s="150" t="str">
        <f>IFERROR(VLOOKUP(BDREGISTROMINGA2025[[#This Row],[NROKARDEX]],BDPADRES[],8,FALSE),"Sin registrado")</f>
        <v>MARGARITA CHUMBE LOPEZ</v>
      </c>
      <c r="G103" s="157"/>
    </row>
    <row r="104" spans="2:7" x14ac:dyDescent="0.25">
      <c r="B104" s="151">
        <f t="shared" si="1"/>
        <v>96</v>
      </c>
      <c r="C104" s="150" t="str">
        <f>IFERROR(VLOOKUP(BDREGISTROMINGA2025[[#This Row],[NROKARDEX]],BDPADRES[],8,FALSE),"Sin registrado")</f>
        <v>AURORA URIONA VELASQUEZ</v>
      </c>
      <c r="G104" s="157"/>
    </row>
    <row r="105" spans="2:7" x14ac:dyDescent="0.25">
      <c r="B105" s="151">
        <f t="shared" si="1"/>
        <v>97</v>
      </c>
      <c r="C105" s="150" t="str">
        <f>IFERROR(VLOOKUP(BDREGISTROMINGA2025[[#This Row],[NROKARDEX]],BDPADRES[],8,FALSE),"Sin registrado")</f>
        <v>CELESTINA ARIMOZA CARBALLO</v>
      </c>
      <c r="G105" s="157"/>
    </row>
    <row r="106" spans="2:7" x14ac:dyDescent="0.25">
      <c r="B106" s="151">
        <f t="shared" si="1"/>
        <v>98</v>
      </c>
      <c r="C106" s="150" t="str">
        <f>IFERROR(VLOOKUP(BDREGISTROMINGA2025[[#This Row],[NROKARDEX]],BDPADRES[],8,FALSE),"Sin registrado")</f>
        <v>CARMEN GALARZA GALVIS</v>
      </c>
      <c r="G106" s="157"/>
    </row>
    <row r="107" spans="2:7" x14ac:dyDescent="0.25">
      <c r="B107" s="151">
        <f t="shared" si="1"/>
        <v>99</v>
      </c>
      <c r="C107" s="150" t="str">
        <f>IFERROR(VLOOKUP(BDREGISTROMINGA2025[[#This Row],[NROKARDEX]],BDPADRES[],8,FALSE),"Sin registrado")</f>
        <v>MARIA ELSA GARCIA CUCHALLO</v>
      </c>
      <c r="G107" s="157"/>
    </row>
    <row r="108" spans="2:7" x14ac:dyDescent="0.25">
      <c r="B108" s="151">
        <f t="shared" si="1"/>
        <v>100</v>
      </c>
      <c r="C108" s="150" t="str">
        <f>IFERROR(VLOOKUP(BDREGISTROMINGA2025[[#This Row],[NROKARDEX]],BDPADRES[],8,FALSE),"Sin registrado")</f>
        <v>LOURDES BALDERAS VEDIA</v>
      </c>
      <c r="G108" s="157"/>
    </row>
    <row r="109" spans="2:7" x14ac:dyDescent="0.25">
      <c r="B109" s="151">
        <f t="shared" si="1"/>
        <v>101</v>
      </c>
      <c r="C109" s="150" t="str">
        <f>IFERROR(VLOOKUP(BDREGISTROMINGA2025[[#This Row],[NROKARDEX]],BDPADRES[],8,FALSE),"Sin registrado")</f>
        <v>CLEOFE AZURDUY REVOLLO</v>
      </c>
      <c r="G109" s="157"/>
    </row>
    <row r="110" spans="2:7" x14ac:dyDescent="0.25">
      <c r="B110" s="151">
        <f t="shared" si="1"/>
        <v>102</v>
      </c>
      <c r="C110" s="150" t="str">
        <f>IFERROR(VLOOKUP(BDREGISTROMINGA2025[[#This Row],[NROKARDEX]],BDPADRES[],8,FALSE),"Sin registrado")</f>
        <v>LAURA CORCHADO BEJARANO</v>
      </c>
      <c r="G110" s="157"/>
    </row>
    <row r="111" spans="2:7" x14ac:dyDescent="0.25">
      <c r="B111" s="151">
        <f t="shared" si="1"/>
        <v>103</v>
      </c>
      <c r="C111" s="150" t="str">
        <f>IFERROR(VLOOKUP(BDREGISTROMINGA2025[[#This Row],[NROKARDEX]],BDPADRES[],8,FALSE),"Sin registrado")</f>
        <v>VERONICA CHAMBI PACO</v>
      </c>
      <c r="G111" s="157"/>
    </row>
    <row r="112" spans="2:7" x14ac:dyDescent="0.25">
      <c r="B112" s="151">
        <f t="shared" si="1"/>
        <v>104</v>
      </c>
      <c r="C112" s="150" t="str">
        <f>IFERROR(VLOOKUP(BDREGISTROMINGA2025[[#This Row],[NROKARDEX]],BDPADRES[],8,FALSE),"Sin registrado")</f>
        <v>LUCI ROCIO ROMERO AVILA</v>
      </c>
      <c r="G112" s="157"/>
    </row>
    <row r="113" spans="2:7" x14ac:dyDescent="0.25">
      <c r="B113" s="151">
        <f t="shared" si="1"/>
        <v>105</v>
      </c>
      <c r="C113" s="150" t="str">
        <f>IFERROR(VLOOKUP(BDREGISTROMINGA2025[[#This Row],[NROKARDEX]],BDPADRES[],8,FALSE),"Sin registrado")</f>
        <v>MARIBEL ROSARIO HERRERA REBOLLO</v>
      </c>
      <c r="G113" s="157"/>
    </row>
    <row r="114" spans="2:7" x14ac:dyDescent="0.25">
      <c r="B114" s="151">
        <f t="shared" si="1"/>
        <v>106</v>
      </c>
      <c r="C114" s="150" t="str">
        <f>IFERROR(VLOOKUP(BDREGISTROMINGA2025[[#This Row],[NROKARDEX]],BDPADRES[],8,FALSE),"Sin registrado")</f>
        <v>ANABEL RUTH CHIRINO FLORES</v>
      </c>
      <c r="G114" s="157"/>
    </row>
    <row r="115" spans="2:7" x14ac:dyDescent="0.25">
      <c r="B115" s="151">
        <f t="shared" si="1"/>
        <v>107</v>
      </c>
      <c r="C115" s="150" t="str">
        <f>IFERROR(VLOOKUP(BDREGISTROMINGA2025[[#This Row],[NROKARDEX]],BDPADRES[],8,FALSE),"Sin registrado")</f>
        <v>ELVIRA JUDITHY LUCANO UÑO</v>
      </c>
      <c r="G115" s="157"/>
    </row>
    <row r="116" spans="2:7" x14ac:dyDescent="0.25">
      <c r="B116" s="151">
        <f t="shared" si="1"/>
        <v>108</v>
      </c>
      <c r="C116" s="150" t="str">
        <f>IFERROR(VLOOKUP(BDREGISTROMINGA2025[[#This Row],[NROKARDEX]],BDPADRES[],8,FALSE),"Sin registrado")</f>
        <v>CLAUDIA VERONICA FLORES TASEO</v>
      </c>
      <c r="G116" s="157"/>
    </row>
    <row r="117" spans="2:7" x14ac:dyDescent="0.25">
      <c r="B117" s="151">
        <f t="shared" si="1"/>
        <v>109</v>
      </c>
      <c r="C117" s="150" t="str">
        <f>IFERROR(VLOOKUP(BDREGISTROMINGA2025[[#This Row],[NROKARDEX]],BDPADRES[],8,FALSE),"Sin registrado")</f>
        <v>ELVIRA MAMANI ANCASI</v>
      </c>
      <c r="G117" s="157"/>
    </row>
    <row r="118" spans="2:7" x14ac:dyDescent="0.25">
      <c r="B118" s="151">
        <f t="shared" si="1"/>
        <v>110</v>
      </c>
      <c r="C118" s="150" t="str">
        <f>IFERROR(VLOOKUP(BDREGISTROMINGA2025[[#This Row],[NROKARDEX]],BDPADRES[],8,FALSE),"Sin registrado")</f>
        <v>JOSSELIN ROSARIO CLAURE</v>
      </c>
      <c r="G118" s="157"/>
    </row>
    <row r="119" spans="2:7" x14ac:dyDescent="0.25">
      <c r="B119" s="151">
        <f t="shared" si="1"/>
        <v>111</v>
      </c>
      <c r="C119" s="150" t="str">
        <f>IFERROR(VLOOKUP(BDREGISTROMINGA2025[[#This Row],[NROKARDEX]],BDPADRES[],8,FALSE),"Sin registrado")</f>
        <v>MONICA PEÑA COPA</v>
      </c>
      <c r="G119" s="157"/>
    </row>
    <row r="120" spans="2:7" x14ac:dyDescent="0.25">
      <c r="B120" s="151">
        <f t="shared" si="1"/>
        <v>112</v>
      </c>
      <c r="C120" s="150" t="str">
        <f>IFERROR(VLOOKUP(BDREGISTROMINGA2025[[#This Row],[NROKARDEX]],BDPADRES[],8,FALSE),"Sin registrado")</f>
        <v>ESTELA OSINAGA CASTRO</v>
      </c>
      <c r="G120" s="157"/>
    </row>
    <row r="121" spans="2:7" x14ac:dyDescent="0.25">
      <c r="B121" s="151">
        <f t="shared" si="1"/>
        <v>113</v>
      </c>
      <c r="C121" s="150" t="str">
        <f>IFERROR(VLOOKUP(BDREGISTROMINGA2025[[#This Row],[NROKARDEX]],BDPADRES[],8,FALSE),"Sin registrado")</f>
        <v>FELIPA ACHACOLLO COLQUE</v>
      </c>
      <c r="G121" s="157"/>
    </row>
    <row r="122" spans="2:7" x14ac:dyDescent="0.25">
      <c r="B122" s="151">
        <f t="shared" si="1"/>
        <v>114</v>
      </c>
      <c r="C122" s="150" t="str">
        <f>IFERROR(VLOOKUP(BDREGISTROMINGA2025[[#This Row],[NROKARDEX]],BDPADRES[],8,FALSE),"Sin registrado")</f>
        <v>GUADALUPE MENECES URIONA</v>
      </c>
      <c r="G122" s="157"/>
    </row>
    <row r="123" spans="2:7" x14ac:dyDescent="0.25">
      <c r="B123" s="151">
        <f t="shared" si="1"/>
        <v>115</v>
      </c>
      <c r="C123" s="150" t="str">
        <f>IFERROR(VLOOKUP(BDREGISTROMINGA2025[[#This Row],[NROKARDEX]],BDPADRES[],8,FALSE),"Sin registrado")</f>
        <v>SIRLE YAQUELIN VARGAS RODRIGUEZ</v>
      </c>
      <c r="G123" s="157"/>
    </row>
    <row r="124" spans="2:7" x14ac:dyDescent="0.25">
      <c r="B124" s="151">
        <f t="shared" si="1"/>
        <v>116</v>
      </c>
      <c r="C124" s="150" t="str">
        <f>IFERROR(VLOOKUP(BDREGISTROMINGA2025[[#This Row],[NROKARDEX]],BDPADRES[],8,FALSE),"Sin registrado")</f>
        <v>JUSTINA CUELLAR AVILA</v>
      </c>
      <c r="G124" s="157"/>
    </row>
    <row r="125" spans="2:7" x14ac:dyDescent="0.25">
      <c r="B125" s="151">
        <f t="shared" si="1"/>
        <v>117</v>
      </c>
      <c r="C125" s="150" t="str">
        <f>IFERROR(VLOOKUP(BDREGISTROMINGA2025[[#This Row],[NROKARDEX]],BDPADRES[],8,FALSE),"Sin registrado")</f>
        <v>ANGELICA MARQUEZ ACHO</v>
      </c>
      <c r="G125" s="157"/>
    </row>
    <row r="126" spans="2:7" x14ac:dyDescent="0.25">
      <c r="B126" s="151">
        <f t="shared" si="1"/>
        <v>118</v>
      </c>
      <c r="C126" s="150" t="str">
        <f>IFERROR(VLOOKUP(BDREGISTROMINGA2025[[#This Row],[NROKARDEX]],BDPADRES[],8,FALSE),"Sin registrado")</f>
        <v>MERCEDES ROCHA SANGUINO</v>
      </c>
      <c r="G126" s="157"/>
    </row>
    <row r="127" spans="2:7" x14ac:dyDescent="0.25">
      <c r="B127" s="151">
        <f t="shared" si="1"/>
        <v>119</v>
      </c>
      <c r="C127" s="150" t="str">
        <f>IFERROR(VLOOKUP(BDREGISTROMINGA2025[[#This Row],[NROKARDEX]],BDPADRES[],8,FALSE),"Sin registrado")</f>
        <v>LIDIA GARCIA</v>
      </c>
      <c r="G127" s="157"/>
    </row>
    <row r="128" spans="2:7" x14ac:dyDescent="0.25">
      <c r="B128" s="151">
        <f t="shared" si="1"/>
        <v>120</v>
      </c>
      <c r="C128" s="150" t="str">
        <f>IFERROR(VLOOKUP(BDREGISTROMINGA2025[[#This Row],[NROKARDEX]],BDPADRES[],8,FALSE),"Sin registrado")</f>
        <v>ELVA CLAROS ORELLANA</v>
      </c>
      <c r="G128" s="157"/>
    </row>
    <row r="129" spans="2:7" x14ac:dyDescent="0.25">
      <c r="B129" s="151">
        <f t="shared" si="1"/>
        <v>121</v>
      </c>
      <c r="C129" s="150" t="str">
        <f>IFERROR(VLOOKUP(BDREGISTROMINGA2025[[#This Row],[NROKARDEX]],BDPADRES[],8,FALSE),"Sin registrado")</f>
        <v>MARIA JESUS BAIGORIA HURTADO</v>
      </c>
      <c r="G129" s="157"/>
    </row>
    <row r="130" spans="2:7" x14ac:dyDescent="0.25">
      <c r="B130" s="151">
        <f t="shared" si="1"/>
        <v>122</v>
      </c>
      <c r="C130" s="150" t="str">
        <f>IFERROR(VLOOKUP(BDREGISTROMINGA2025[[#This Row],[NROKARDEX]],BDPADRES[],8,FALSE),"Sin registrado")</f>
        <v>ILDA PIZARRO COPA</v>
      </c>
      <c r="G130" s="157"/>
    </row>
    <row r="131" spans="2:7" x14ac:dyDescent="0.25">
      <c r="B131" s="151">
        <f t="shared" si="1"/>
        <v>123</v>
      </c>
      <c r="C131" s="150" t="str">
        <f>IFERROR(VLOOKUP(BDREGISTROMINGA2025[[#This Row],[NROKARDEX]],BDPADRES[],8,FALSE),"Sin registrado")</f>
        <v>NERIA  CUBA ROMERO</v>
      </c>
      <c r="G131" s="157"/>
    </row>
    <row r="132" spans="2:7" x14ac:dyDescent="0.25">
      <c r="B132" s="151">
        <f t="shared" si="1"/>
        <v>124</v>
      </c>
      <c r="C132" s="150" t="str">
        <f>IFERROR(VLOOKUP(BDREGISTROMINGA2025[[#This Row],[NROKARDEX]],BDPADRES[],8,FALSE),"Sin registrado")</f>
        <v>MARIA ISABEL CARABALLO FLORES</v>
      </c>
      <c r="G132" s="157"/>
    </row>
    <row r="133" spans="2:7" x14ac:dyDescent="0.25">
      <c r="B133" s="151">
        <f t="shared" si="1"/>
        <v>125</v>
      </c>
      <c r="C133" s="150" t="str">
        <f>IFERROR(VLOOKUP(BDREGISTROMINGA2025[[#This Row],[NROKARDEX]],BDPADRES[],8,FALSE),"Sin registrado")</f>
        <v>JACQUELIN LILIAN FIGUEROA SARDINAS</v>
      </c>
      <c r="G133" s="157"/>
    </row>
    <row r="134" spans="2:7" x14ac:dyDescent="0.25">
      <c r="B134" s="151">
        <f t="shared" si="1"/>
        <v>126</v>
      </c>
      <c r="C134" s="150" t="str">
        <f>IFERROR(VLOOKUP(BDREGISTROMINGA2025[[#This Row],[NROKARDEX]],BDPADRES[],8,FALSE),"Sin registrado")</f>
        <v>MARICELA FLORES GALVEZ</v>
      </c>
      <c r="G134" s="157"/>
    </row>
    <row r="135" spans="2:7" x14ac:dyDescent="0.25">
      <c r="B135" s="151">
        <f t="shared" si="1"/>
        <v>127</v>
      </c>
      <c r="C135" s="150" t="str">
        <f>IFERROR(VLOOKUP(BDREGISTROMINGA2025[[#This Row],[NROKARDEX]],BDPADRES[],8,FALSE),"Sin registrado")</f>
        <v>YESSICA  PAOLA SILVESTRE CHOQUE</v>
      </c>
      <c r="G135" s="157"/>
    </row>
    <row r="136" spans="2:7" x14ac:dyDescent="0.25">
      <c r="B136" s="151">
        <f t="shared" si="1"/>
        <v>128</v>
      </c>
      <c r="C136" s="150" t="str">
        <f>IFERROR(VLOOKUP(BDREGISTROMINGA2025[[#This Row],[NROKARDEX]],BDPADRES[],8,FALSE),"Sin registrado")</f>
        <v>ANGELICA CABRERA VEIZAGA</v>
      </c>
      <c r="G136" s="157"/>
    </row>
    <row r="137" spans="2:7" x14ac:dyDescent="0.25">
      <c r="B137" s="151">
        <f t="shared" si="1"/>
        <v>129</v>
      </c>
      <c r="C137" s="150" t="str">
        <f>IFERROR(VLOOKUP(BDREGISTROMINGA2025[[#This Row],[NROKARDEX]],BDPADRES[],8,FALSE),"Sin registrado")</f>
        <v>MIREYA MARTINEZ VARGAS</v>
      </c>
      <c r="G137" s="157"/>
    </row>
    <row r="138" spans="2:7" x14ac:dyDescent="0.25">
      <c r="B138" s="151">
        <f t="shared" ref="B138:B201" si="2">ROW(A130)</f>
        <v>130</v>
      </c>
      <c r="C138" s="150" t="str">
        <f>IFERROR(VLOOKUP(BDREGISTROMINGA2025[[#This Row],[NROKARDEX]],BDPADRES[],8,FALSE),"Sin registrado")</f>
        <v>REYNA ESPINOZA LLANOS</v>
      </c>
      <c r="G138" s="157"/>
    </row>
    <row r="139" spans="2:7" x14ac:dyDescent="0.25">
      <c r="B139" s="151">
        <f t="shared" si="2"/>
        <v>131</v>
      </c>
      <c r="C139" s="150" t="str">
        <f>IFERROR(VLOOKUP(BDREGISTROMINGA2025[[#This Row],[NROKARDEX]],BDPADRES[],8,FALSE),"Sin registrado")</f>
        <v>SANTUSA LLANOS VELASQUEZ</v>
      </c>
      <c r="G139" s="157"/>
    </row>
    <row r="140" spans="2:7" x14ac:dyDescent="0.25">
      <c r="B140" s="151">
        <f t="shared" si="2"/>
        <v>132</v>
      </c>
      <c r="C140" s="150" t="str">
        <f>IFERROR(VLOOKUP(BDREGISTROMINGA2025[[#This Row],[NROKARDEX]],BDPADRES[],8,FALSE),"Sin registrado")</f>
        <v>LISETH  VEQUI MAMANI</v>
      </c>
      <c r="G140" s="157"/>
    </row>
    <row r="141" spans="2:7" x14ac:dyDescent="0.25">
      <c r="B141" s="151">
        <f t="shared" si="2"/>
        <v>133</v>
      </c>
      <c r="C141" s="150" t="str">
        <f>IFERROR(VLOOKUP(BDREGISTROMINGA2025[[#This Row],[NROKARDEX]],BDPADRES[],8,FALSE),"Sin registrado")</f>
        <v>HELEN JAEL MONTAÑO CUELLAR</v>
      </c>
      <c r="G141" s="157"/>
    </row>
    <row r="142" spans="2:7" x14ac:dyDescent="0.25">
      <c r="B142" s="151">
        <f t="shared" si="2"/>
        <v>134</v>
      </c>
      <c r="C142" s="150" t="str">
        <f>IFERROR(VLOOKUP(BDREGISTROMINGA2025[[#This Row],[NROKARDEX]],BDPADRES[],8,FALSE),"Sin registrado")</f>
        <v>ESTHER MAMANI GIRA</v>
      </c>
      <c r="G142" s="157"/>
    </row>
    <row r="143" spans="2:7" x14ac:dyDescent="0.25">
      <c r="B143" s="151">
        <f t="shared" si="2"/>
        <v>135</v>
      </c>
      <c r="C143" s="150" t="str">
        <f>IFERROR(VLOOKUP(BDREGISTROMINGA2025[[#This Row],[NROKARDEX]],BDPADRES[],8,FALSE),"Sin registrado")</f>
        <v>MARIBEL AGUADO ROJAS</v>
      </c>
      <c r="G143" s="157"/>
    </row>
    <row r="144" spans="2:7" x14ac:dyDescent="0.25">
      <c r="B144" s="151">
        <f t="shared" si="2"/>
        <v>136</v>
      </c>
      <c r="C144" s="150" t="str">
        <f>IFERROR(VLOOKUP(BDREGISTROMINGA2025[[#This Row],[NROKARDEX]],BDPADRES[],8,FALSE),"Sin registrado")</f>
        <v>YINA YILCANA CASTRO BANEGAS</v>
      </c>
      <c r="G144" s="157"/>
    </row>
    <row r="145" spans="2:7" x14ac:dyDescent="0.25">
      <c r="B145" s="151">
        <f t="shared" si="2"/>
        <v>137</v>
      </c>
      <c r="C145" s="150" t="str">
        <f>IFERROR(VLOOKUP(BDREGISTROMINGA2025[[#This Row],[NROKARDEX]],BDPADRES[],8,FALSE),"Sin registrado")</f>
        <v>MARIA ISABEL VELASQUEZ MORALES</v>
      </c>
      <c r="G145" s="157"/>
    </row>
    <row r="146" spans="2:7" x14ac:dyDescent="0.25">
      <c r="B146" s="151">
        <f t="shared" si="2"/>
        <v>138</v>
      </c>
      <c r="C146" s="150" t="str">
        <f>IFERROR(VLOOKUP(BDREGISTROMINGA2025[[#This Row],[NROKARDEX]],BDPADRES[],8,FALSE),"Sin registrado")</f>
        <v>MARY LUZ LEIVA MARTINEZ</v>
      </c>
      <c r="G146" s="157"/>
    </row>
    <row r="147" spans="2:7" x14ac:dyDescent="0.25">
      <c r="B147" s="151">
        <f t="shared" si="2"/>
        <v>139</v>
      </c>
      <c r="C147" s="150" t="str">
        <f>IFERROR(VLOOKUP(BDREGISTROMINGA2025[[#This Row],[NROKARDEX]],BDPADRES[],8,FALSE),"Sin registrado")</f>
        <v>JUANA CONDORI PATZI</v>
      </c>
      <c r="G147" s="157"/>
    </row>
    <row r="148" spans="2:7" x14ac:dyDescent="0.25">
      <c r="B148" s="151">
        <f t="shared" si="2"/>
        <v>140</v>
      </c>
      <c r="C148" s="150" t="str">
        <f>IFERROR(VLOOKUP(BDREGISTROMINGA2025[[#This Row],[NROKARDEX]],BDPADRES[],8,FALSE),"Sin registrado")</f>
        <v>FIORELA PADILLA MONTAÑO</v>
      </c>
      <c r="G148" s="157"/>
    </row>
    <row r="149" spans="2:7" x14ac:dyDescent="0.25">
      <c r="B149" s="151">
        <f t="shared" si="2"/>
        <v>141</v>
      </c>
      <c r="C149" s="150" t="str">
        <f>IFERROR(VLOOKUP(BDREGISTROMINGA2025[[#This Row],[NROKARDEX]],BDPADRES[],8,FALSE),"Sin registrado")</f>
        <v>MIRTA JACINTA ASILLO MAMANI</v>
      </c>
      <c r="G149" s="157"/>
    </row>
    <row r="150" spans="2:7" x14ac:dyDescent="0.25">
      <c r="B150" s="151">
        <f t="shared" si="2"/>
        <v>142</v>
      </c>
      <c r="C150" s="150" t="str">
        <f>IFERROR(VLOOKUP(BDREGISTROMINGA2025[[#This Row],[NROKARDEX]],BDPADRES[],8,FALSE),"Sin registrado")</f>
        <v>MARIA ESTEFANI QUIROZ GONZALES</v>
      </c>
      <c r="G150" s="157"/>
    </row>
    <row r="151" spans="2:7" x14ac:dyDescent="0.25">
      <c r="B151" s="151">
        <f t="shared" si="2"/>
        <v>143</v>
      </c>
      <c r="C151" s="150" t="str">
        <f>IFERROR(VLOOKUP(BDREGISTROMINGA2025[[#This Row],[NROKARDEX]],BDPADRES[],8,FALSE),"Sin registrado")</f>
        <v>FAUSTA CONDORI YARHUI</v>
      </c>
      <c r="G151" s="157"/>
    </row>
    <row r="152" spans="2:7" x14ac:dyDescent="0.25">
      <c r="B152" s="151">
        <f t="shared" si="2"/>
        <v>144</v>
      </c>
      <c r="C152" s="150" t="str">
        <f>IFERROR(VLOOKUP(BDREGISTROMINGA2025[[#This Row],[NROKARDEX]],BDPADRES[],8,FALSE),"Sin registrado")</f>
        <v>SENAIDA MARTINEZ CHOQUE</v>
      </c>
      <c r="G152" s="157"/>
    </row>
    <row r="153" spans="2:7" x14ac:dyDescent="0.25">
      <c r="B153" s="151">
        <f t="shared" si="2"/>
        <v>145</v>
      </c>
      <c r="C153" s="150" t="str">
        <f>IFERROR(VLOOKUP(BDREGISTROMINGA2025[[#This Row],[NROKARDEX]],BDPADRES[],8,FALSE),"Sin registrado")</f>
        <v>ESTHER MORON YEPEZ</v>
      </c>
      <c r="G153" s="157"/>
    </row>
    <row r="154" spans="2:7" x14ac:dyDescent="0.25">
      <c r="B154" s="151">
        <f t="shared" si="2"/>
        <v>146</v>
      </c>
      <c r="C154" s="150" t="str">
        <f>IFERROR(VLOOKUP(BDREGISTROMINGA2025[[#This Row],[NROKARDEX]],BDPADRES[],8,FALSE),"Sin registrado")</f>
        <v>LAURA OLLISCO SALAZAR</v>
      </c>
      <c r="G154" s="157"/>
    </row>
    <row r="155" spans="2:7" x14ac:dyDescent="0.25">
      <c r="B155" s="151">
        <f t="shared" si="2"/>
        <v>147</v>
      </c>
      <c r="C155" s="150" t="str">
        <f>IFERROR(VLOOKUP(BDREGISTROMINGA2025[[#This Row],[NROKARDEX]],BDPADRES[],8,FALSE),"Sin registrado")</f>
        <v>RAQUEL FERNANDEZ CESPEDES</v>
      </c>
      <c r="G155" s="157"/>
    </row>
    <row r="156" spans="2:7" x14ac:dyDescent="0.25">
      <c r="B156" s="151">
        <f t="shared" si="2"/>
        <v>148</v>
      </c>
      <c r="C156" s="150" t="str">
        <f>IFERROR(VLOOKUP(BDREGISTROMINGA2025[[#This Row],[NROKARDEX]],BDPADRES[],8,FALSE),"Sin registrado")</f>
        <v>MARGARITA SARDAN ROMERO</v>
      </c>
      <c r="G156" s="157"/>
    </row>
    <row r="157" spans="2:7" x14ac:dyDescent="0.25">
      <c r="B157" s="151">
        <f t="shared" si="2"/>
        <v>149</v>
      </c>
      <c r="C157" s="150" t="str">
        <f>IFERROR(VLOOKUP(BDREGISTROMINGA2025[[#This Row],[NROKARDEX]],BDPADRES[],8,FALSE),"Sin registrado")</f>
        <v>KATHERINE TERCEROS LINO</v>
      </c>
      <c r="G157" s="157"/>
    </row>
    <row r="158" spans="2:7" x14ac:dyDescent="0.25">
      <c r="B158" s="151">
        <f t="shared" si="2"/>
        <v>150</v>
      </c>
      <c r="C158" s="150" t="str">
        <f>IFERROR(VLOOKUP(BDREGISTROMINGA2025[[#This Row],[NROKARDEX]],BDPADRES[],8,FALSE),"Sin registrado")</f>
        <v>NELVY QUISPE LOPEZ</v>
      </c>
      <c r="G158" s="157"/>
    </row>
    <row r="159" spans="2:7" x14ac:dyDescent="0.25">
      <c r="B159" s="151">
        <f t="shared" si="2"/>
        <v>151</v>
      </c>
      <c r="C159" s="150" t="str">
        <f>IFERROR(VLOOKUP(BDREGISTROMINGA2025[[#This Row],[NROKARDEX]],BDPADRES[],8,FALSE),"Sin registrado")</f>
        <v>SAIDA MENDOZA FLORES</v>
      </c>
      <c r="G159" s="157"/>
    </row>
    <row r="160" spans="2:7" x14ac:dyDescent="0.25">
      <c r="B160" s="151">
        <f t="shared" si="2"/>
        <v>152</v>
      </c>
      <c r="C160" s="150" t="str">
        <f>IFERROR(VLOOKUP(BDREGISTROMINGA2025[[#This Row],[NROKARDEX]],BDPADRES[],8,FALSE),"Sin registrado")</f>
        <v>MARTINA BARJA CACERES</v>
      </c>
      <c r="G160" s="157"/>
    </row>
    <row r="161" spans="2:7" x14ac:dyDescent="0.25">
      <c r="B161" s="151">
        <f t="shared" si="2"/>
        <v>153</v>
      </c>
      <c r="C161" s="150" t="str">
        <f>IFERROR(VLOOKUP(BDREGISTROMINGA2025[[#This Row],[NROKARDEX]],BDPADRES[],8,FALSE),"Sin registrado")</f>
        <v>ELENA JUDITH AGUADO TORREZ</v>
      </c>
      <c r="G161" s="157"/>
    </row>
    <row r="162" spans="2:7" x14ac:dyDescent="0.25">
      <c r="B162" s="151">
        <f t="shared" si="2"/>
        <v>154</v>
      </c>
      <c r="C162" s="150" t="str">
        <f>IFERROR(VLOOKUP(BDREGISTROMINGA2025[[#This Row],[NROKARDEX]],BDPADRES[],8,FALSE),"Sin registrado")</f>
        <v>SEVERA RIVADENEIRA CRUZ</v>
      </c>
      <c r="G162" s="157"/>
    </row>
    <row r="163" spans="2:7" x14ac:dyDescent="0.25">
      <c r="B163" s="151">
        <f t="shared" si="2"/>
        <v>155</v>
      </c>
      <c r="C163" s="150" t="str">
        <f>IFERROR(VLOOKUP(BDREGISTROMINGA2025[[#This Row],[NROKARDEX]],BDPADRES[],8,FALSE),"Sin registrado")</f>
        <v>ABIGAIL DURAN FLORES</v>
      </c>
      <c r="G163" s="157"/>
    </row>
    <row r="164" spans="2:7" x14ac:dyDescent="0.25">
      <c r="B164" s="151">
        <f t="shared" si="2"/>
        <v>156</v>
      </c>
      <c r="C164" s="150" t="str">
        <f>IFERROR(VLOOKUP(BDREGISTROMINGA2025[[#This Row],[NROKARDEX]],BDPADRES[],8,FALSE),"Sin registrado")</f>
        <v>GRACIELA ORELLANA RISUEÑO</v>
      </c>
      <c r="G164" s="157"/>
    </row>
    <row r="165" spans="2:7" x14ac:dyDescent="0.25">
      <c r="B165" s="151">
        <f t="shared" si="2"/>
        <v>157</v>
      </c>
      <c r="C165" s="150" t="str">
        <f>IFERROR(VLOOKUP(BDREGISTROMINGA2025[[#This Row],[NROKARDEX]],BDPADRES[],8,FALSE),"Sin registrado")</f>
        <v>ELBA ROJAS MORALES</v>
      </c>
      <c r="G165" s="157"/>
    </row>
    <row r="166" spans="2:7" x14ac:dyDescent="0.25">
      <c r="B166" s="151">
        <f t="shared" si="2"/>
        <v>158</v>
      </c>
      <c r="C166" s="150" t="str">
        <f>IFERROR(VLOOKUP(BDREGISTROMINGA2025[[#This Row],[NROKARDEX]],BDPADRES[],8,FALSE),"Sin registrado")</f>
        <v>Sin registrado</v>
      </c>
      <c r="G166" s="157"/>
    </row>
    <row r="167" spans="2:7" x14ac:dyDescent="0.25">
      <c r="B167" s="151">
        <f t="shared" si="2"/>
        <v>159</v>
      </c>
      <c r="C167" s="150" t="str">
        <f>IFERROR(VLOOKUP(BDREGISTROMINGA2025[[#This Row],[NROKARDEX]],BDPADRES[],8,FALSE),"Sin registrado")</f>
        <v>CLARITA SLEN ALVAREZ ROJAS</v>
      </c>
      <c r="G167" s="157"/>
    </row>
    <row r="168" spans="2:7" x14ac:dyDescent="0.25">
      <c r="B168" s="151">
        <f t="shared" si="2"/>
        <v>160</v>
      </c>
      <c r="C168" s="150" t="str">
        <f>IFERROR(VLOOKUP(BDREGISTROMINGA2025[[#This Row],[NROKARDEX]],BDPADRES[],8,FALSE),"Sin registrado")</f>
        <v>ANA EVELIN ESPINOZA FARREL</v>
      </c>
      <c r="G168" s="157"/>
    </row>
    <row r="169" spans="2:7" x14ac:dyDescent="0.25">
      <c r="B169" s="151">
        <f t="shared" si="2"/>
        <v>161</v>
      </c>
      <c r="C169" s="150" t="str">
        <f>IFERROR(VLOOKUP(BDREGISTROMINGA2025[[#This Row],[NROKARDEX]],BDPADRES[],8,FALSE),"Sin registrado")</f>
        <v>LUANA WILMA ZAMBRANA ARANHA</v>
      </c>
      <c r="G169" s="157"/>
    </row>
    <row r="170" spans="2:7" x14ac:dyDescent="0.25">
      <c r="B170" s="151">
        <f t="shared" si="2"/>
        <v>162</v>
      </c>
      <c r="C170" s="150" t="str">
        <f>IFERROR(VLOOKUP(BDREGISTROMINGA2025[[#This Row],[NROKARDEX]],BDPADRES[],8,FALSE),"Sin registrado")</f>
        <v>MIRIAM  CUETO SORUCO</v>
      </c>
      <c r="G170" s="157"/>
    </row>
    <row r="171" spans="2:7" x14ac:dyDescent="0.25">
      <c r="B171" s="151">
        <f t="shared" si="2"/>
        <v>163</v>
      </c>
      <c r="C171" s="150" t="str">
        <f>IFERROR(VLOOKUP(BDREGISTROMINGA2025[[#This Row],[NROKARDEX]],BDPADRES[],8,FALSE),"Sin registrado")</f>
        <v>ROSA LENNY ZAPATA RODRIGUEZ</v>
      </c>
      <c r="G171" s="157"/>
    </row>
    <row r="172" spans="2:7" x14ac:dyDescent="0.25">
      <c r="B172" s="151">
        <f t="shared" si="2"/>
        <v>164</v>
      </c>
      <c r="C172" s="150" t="str">
        <f>IFERROR(VLOOKUP(BDREGISTROMINGA2025[[#This Row],[NROKARDEX]],BDPADRES[],8,FALSE),"Sin registrado")</f>
        <v>MARITZA PEREYRA CABRERA</v>
      </c>
      <c r="G172" s="157"/>
    </row>
    <row r="173" spans="2:7" x14ac:dyDescent="0.25">
      <c r="B173" s="151">
        <f t="shared" si="2"/>
        <v>165</v>
      </c>
      <c r="C173" s="150" t="str">
        <f>IFERROR(VLOOKUP(BDREGISTROMINGA2025[[#This Row],[NROKARDEX]],BDPADRES[],8,FALSE),"Sin registrado")</f>
        <v>NOHEMI GUZMAN GUZMAN</v>
      </c>
      <c r="G173" s="157"/>
    </row>
    <row r="174" spans="2:7" x14ac:dyDescent="0.25">
      <c r="B174" s="151">
        <f t="shared" si="2"/>
        <v>166</v>
      </c>
      <c r="C174" s="150" t="str">
        <f>IFERROR(VLOOKUP(BDREGISTROMINGA2025[[#This Row],[NROKARDEX]],BDPADRES[],8,FALSE),"Sin registrado")</f>
        <v>PAULINA SANDOVAL GONZALES</v>
      </c>
      <c r="G174" s="157"/>
    </row>
    <row r="175" spans="2:7" x14ac:dyDescent="0.25">
      <c r="B175" s="151">
        <f t="shared" si="2"/>
        <v>167</v>
      </c>
      <c r="C175" s="150" t="str">
        <f>IFERROR(VLOOKUP(BDREGISTROMINGA2025[[#This Row],[NROKARDEX]],BDPADRES[],8,FALSE),"Sin registrado")</f>
        <v>FRANCISCA  CRUZ ARAUZ</v>
      </c>
      <c r="G175" s="157"/>
    </row>
    <row r="176" spans="2:7" x14ac:dyDescent="0.25">
      <c r="B176" s="151">
        <f t="shared" si="2"/>
        <v>168</v>
      </c>
      <c r="C176" s="150" t="str">
        <f>IFERROR(VLOOKUP(BDREGISTROMINGA2025[[#This Row],[NROKARDEX]],BDPADRES[],8,FALSE),"Sin registrado")</f>
        <v>LEANDRA JOSE ROJAS</v>
      </c>
      <c r="G176" s="157"/>
    </row>
    <row r="177" spans="2:7" x14ac:dyDescent="0.25">
      <c r="B177" s="151">
        <f t="shared" si="2"/>
        <v>169</v>
      </c>
      <c r="C177" s="150" t="str">
        <f>IFERROR(VLOOKUP(BDREGISTROMINGA2025[[#This Row],[NROKARDEX]],BDPADRES[],8,FALSE),"Sin registrado")</f>
        <v>DIANA RAPU NOZA</v>
      </c>
      <c r="G177" s="157"/>
    </row>
    <row r="178" spans="2:7" x14ac:dyDescent="0.25">
      <c r="B178" s="151">
        <f t="shared" si="2"/>
        <v>170</v>
      </c>
      <c r="C178" s="150" t="str">
        <f>IFERROR(VLOOKUP(BDREGISTROMINGA2025[[#This Row],[NROKARDEX]],BDPADRES[],8,FALSE),"Sin registrado")</f>
        <v>BENITA TECO MORON</v>
      </c>
      <c r="G178" s="157"/>
    </row>
    <row r="179" spans="2:7" x14ac:dyDescent="0.25">
      <c r="B179" s="151">
        <f t="shared" si="2"/>
        <v>171</v>
      </c>
      <c r="C179" s="150" t="str">
        <f>IFERROR(VLOOKUP(BDREGISTROMINGA2025[[#This Row],[NROKARDEX]],BDPADRES[],8,FALSE),"Sin registrado")</f>
        <v>MARIELA PEREZ MANCILLA</v>
      </c>
      <c r="G179" s="157"/>
    </row>
    <row r="180" spans="2:7" x14ac:dyDescent="0.25">
      <c r="B180" s="151">
        <f t="shared" si="2"/>
        <v>172</v>
      </c>
      <c r="C180" s="150" t="str">
        <f>IFERROR(VLOOKUP(BDREGISTROMINGA2025[[#This Row],[NROKARDEX]],BDPADRES[],8,FALSE),"Sin registrado")</f>
        <v>VICTORIA FLORES MENDOZA</v>
      </c>
      <c r="G180" s="157"/>
    </row>
    <row r="181" spans="2:7" x14ac:dyDescent="0.25">
      <c r="B181" s="151">
        <f t="shared" si="2"/>
        <v>173</v>
      </c>
      <c r="C181" s="150" t="str">
        <f>IFERROR(VLOOKUP(BDREGISTROMINGA2025[[#This Row],[NROKARDEX]],BDPADRES[],8,FALSE),"Sin registrado")</f>
        <v>CLAUDIA JHANET CARRISALES GUTIERRES</v>
      </c>
      <c r="G181" s="157"/>
    </row>
    <row r="182" spans="2:7" x14ac:dyDescent="0.25">
      <c r="B182" s="151">
        <f t="shared" si="2"/>
        <v>174</v>
      </c>
      <c r="C182" s="150" t="str">
        <f>IFERROR(VLOOKUP(BDREGISTROMINGA2025[[#This Row],[NROKARDEX]],BDPADRES[],8,FALSE),"Sin registrado")</f>
        <v>YOSELIN MERCADO GONZALES</v>
      </c>
      <c r="G182" s="157"/>
    </row>
    <row r="183" spans="2:7" x14ac:dyDescent="0.25">
      <c r="B183" s="151">
        <f t="shared" si="2"/>
        <v>175</v>
      </c>
      <c r="C183" s="150" t="str">
        <f>IFERROR(VLOOKUP(BDREGISTROMINGA2025[[#This Row],[NROKARDEX]],BDPADRES[],8,FALSE),"Sin registrado")</f>
        <v>ELISABED MAMANI ANCASI</v>
      </c>
      <c r="G183" s="157"/>
    </row>
    <row r="184" spans="2:7" x14ac:dyDescent="0.25">
      <c r="B184" s="151">
        <f t="shared" si="2"/>
        <v>176</v>
      </c>
      <c r="C184" s="150" t="str">
        <f>IFERROR(VLOOKUP(BDREGISTROMINGA2025[[#This Row],[NROKARDEX]],BDPADRES[],8,FALSE),"Sin registrado")</f>
        <v>ELIZABETH AVILA ORTUÑO</v>
      </c>
      <c r="G184" s="157"/>
    </row>
    <row r="185" spans="2:7" x14ac:dyDescent="0.25">
      <c r="B185" s="151">
        <f t="shared" si="2"/>
        <v>177</v>
      </c>
      <c r="C185" s="150" t="str">
        <f>IFERROR(VLOOKUP(BDREGISTROMINGA2025[[#This Row],[NROKARDEX]],BDPADRES[],8,FALSE),"Sin registrado")</f>
        <v>CARLA PATRICIA LLANOS ESCOBAR</v>
      </c>
      <c r="G185" s="157"/>
    </row>
    <row r="186" spans="2:7" x14ac:dyDescent="0.25">
      <c r="B186" s="151">
        <f t="shared" si="2"/>
        <v>178</v>
      </c>
      <c r="C186" s="150" t="str">
        <f>IFERROR(VLOOKUP(BDREGISTROMINGA2025[[#This Row],[NROKARDEX]],BDPADRES[],8,FALSE),"Sin registrado")</f>
        <v>JULIETA MOLLO CONDORI</v>
      </c>
      <c r="G186" s="157"/>
    </row>
    <row r="187" spans="2:7" x14ac:dyDescent="0.25">
      <c r="B187" s="151">
        <f t="shared" si="2"/>
        <v>179</v>
      </c>
      <c r="C187" s="150" t="str">
        <f>IFERROR(VLOOKUP(BDREGISTROMINGA2025[[#This Row],[NROKARDEX]],BDPADRES[],8,FALSE),"Sin registrado")</f>
        <v>ELEONORA MAMANI RODRIGUEZ</v>
      </c>
      <c r="G187" s="157"/>
    </row>
    <row r="188" spans="2:7" x14ac:dyDescent="0.25">
      <c r="B188" s="151">
        <f t="shared" si="2"/>
        <v>180</v>
      </c>
      <c r="C188" s="150" t="str">
        <f>IFERROR(VLOOKUP(BDREGISTROMINGA2025[[#This Row],[NROKARDEX]],BDPADRES[],8,FALSE),"Sin registrado")</f>
        <v>FILOMENA RODRIGUEZ MORALES</v>
      </c>
      <c r="G188" s="157"/>
    </row>
    <row r="189" spans="2:7" x14ac:dyDescent="0.25">
      <c r="B189" s="151">
        <f t="shared" si="2"/>
        <v>181</v>
      </c>
      <c r="C189" s="150" t="str">
        <f>IFERROR(VLOOKUP(BDREGISTROMINGA2025[[#This Row],[NROKARDEX]],BDPADRES[],8,FALSE),"Sin registrado")</f>
        <v>YAQUELIN CHAVEZ AYAVIRI</v>
      </c>
      <c r="G189" s="157"/>
    </row>
    <row r="190" spans="2:7" x14ac:dyDescent="0.25">
      <c r="B190" s="151">
        <f t="shared" si="2"/>
        <v>182</v>
      </c>
      <c r="C190" s="150" t="str">
        <f>IFERROR(VLOOKUP(BDREGISTROMINGA2025[[#This Row],[NROKARDEX]],BDPADRES[],8,FALSE),"Sin registrado")</f>
        <v>FRANCISCA  HERRERA ANDRADE</v>
      </c>
      <c r="G190" s="157"/>
    </row>
    <row r="191" spans="2:7" x14ac:dyDescent="0.25">
      <c r="B191" s="151">
        <f t="shared" si="2"/>
        <v>183</v>
      </c>
      <c r="C191" s="150" t="str">
        <f>IFERROR(VLOOKUP(BDREGISTROMINGA2025[[#This Row],[NROKARDEX]],BDPADRES[],8,FALSE),"Sin registrado")</f>
        <v>JULIA  ACARAPI PORCEL</v>
      </c>
      <c r="G191" s="157"/>
    </row>
    <row r="192" spans="2:7" x14ac:dyDescent="0.25">
      <c r="B192" s="151">
        <f t="shared" si="2"/>
        <v>184</v>
      </c>
      <c r="C192" s="150" t="str">
        <f>IFERROR(VLOOKUP(BDREGISTROMINGA2025[[#This Row],[NROKARDEX]],BDPADRES[],8,FALSE),"Sin registrado")</f>
        <v>REYNA CARRIAZO BALLESTEROS</v>
      </c>
      <c r="G192" s="157"/>
    </row>
    <row r="193" spans="2:7" x14ac:dyDescent="0.25">
      <c r="B193" s="151">
        <f t="shared" si="2"/>
        <v>185</v>
      </c>
      <c r="C193" s="150" t="str">
        <f>IFERROR(VLOOKUP(BDREGISTROMINGA2025[[#This Row],[NROKARDEX]],BDPADRES[],8,FALSE),"Sin registrado")</f>
        <v>MIRTHA RUEDA LOPEZ</v>
      </c>
      <c r="G193" s="157"/>
    </row>
    <row r="194" spans="2:7" x14ac:dyDescent="0.25">
      <c r="B194" s="151">
        <f t="shared" si="2"/>
        <v>186</v>
      </c>
      <c r="C194" s="150" t="str">
        <f>IFERROR(VLOOKUP(BDREGISTROMINGA2025[[#This Row],[NROKARDEX]],BDPADRES[],8,FALSE),"Sin registrado")</f>
        <v>MARTHA RODRIGUEZ SILES</v>
      </c>
      <c r="G194" s="157"/>
    </row>
    <row r="195" spans="2:7" x14ac:dyDescent="0.25">
      <c r="B195" s="151">
        <f t="shared" si="2"/>
        <v>187</v>
      </c>
      <c r="C195" s="150" t="str">
        <f>IFERROR(VLOOKUP(BDREGISTROMINGA2025[[#This Row],[NROKARDEX]],BDPADRES[],8,FALSE),"Sin registrado")</f>
        <v>AURORA SOLIZ QUIROZ</v>
      </c>
      <c r="G195" s="157"/>
    </row>
    <row r="196" spans="2:7" x14ac:dyDescent="0.25">
      <c r="B196" s="151">
        <f t="shared" si="2"/>
        <v>188</v>
      </c>
      <c r="C196" s="150" t="str">
        <f>IFERROR(VLOOKUP(BDREGISTROMINGA2025[[#This Row],[NROKARDEX]],BDPADRES[],8,FALSE),"Sin registrado")</f>
        <v>DEYSI YPURANI CARICARI</v>
      </c>
      <c r="G196" s="157"/>
    </row>
    <row r="197" spans="2:7" x14ac:dyDescent="0.25">
      <c r="B197" s="151">
        <f t="shared" si="2"/>
        <v>189</v>
      </c>
      <c r="C197" s="150" t="str">
        <f>IFERROR(VLOOKUP(BDREGISTROMINGA2025[[#This Row],[NROKARDEX]],BDPADRES[],8,FALSE),"Sin registrado")</f>
        <v>ERLINDA PACO DURAN</v>
      </c>
      <c r="G197" s="157"/>
    </row>
    <row r="198" spans="2:7" x14ac:dyDescent="0.25">
      <c r="B198" s="151">
        <f t="shared" si="2"/>
        <v>190</v>
      </c>
      <c r="C198" s="150" t="str">
        <f>IFERROR(VLOOKUP(BDREGISTROMINGA2025[[#This Row],[NROKARDEX]],BDPADRES[],8,FALSE),"Sin registrado")</f>
        <v>YOBANA GUTIERREZ VACA</v>
      </c>
      <c r="G198" s="157"/>
    </row>
    <row r="199" spans="2:7" x14ac:dyDescent="0.25">
      <c r="B199" s="151">
        <f t="shared" si="2"/>
        <v>191</v>
      </c>
      <c r="C199" s="150" t="str">
        <f>IFERROR(VLOOKUP(BDREGISTROMINGA2025[[#This Row],[NROKARDEX]],BDPADRES[],8,FALSE),"Sin registrado")</f>
        <v>VERONICA CHOQUE LLANOS</v>
      </c>
      <c r="G199" s="157"/>
    </row>
    <row r="200" spans="2:7" x14ac:dyDescent="0.25">
      <c r="B200" s="151">
        <f t="shared" si="2"/>
        <v>192</v>
      </c>
      <c r="C200" s="150" t="str">
        <f>IFERROR(VLOOKUP(BDREGISTROMINGA2025[[#This Row],[NROKARDEX]],BDPADRES[],8,FALSE),"Sin registrado")</f>
        <v>SONIA CUEBAS VILLAGOMES</v>
      </c>
      <c r="G200" s="157"/>
    </row>
    <row r="201" spans="2:7" x14ac:dyDescent="0.25">
      <c r="B201" s="151">
        <f t="shared" si="2"/>
        <v>193</v>
      </c>
      <c r="C201" s="150" t="str">
        <f>IFERROR(VLOOKUP(BDREGISTROMINGA2025[[#This Row],[NROKARDEX]],BDPADRES[],8,FALSE),"Sin registrado")</f>
        <v>YUELY FERNANDEZ OSINAGA</v>
      </c>
      <c r="G201" s="157"/>
    </row>
    <row r="202" spans="2:7" x14ac:dyDescent="0.25">
      <c r="B202" s="151">
        <f t="shared" ref="B202:B265" si="3">ROW(A194)</f>
        <v>194</v>
      </c>
      <c r="C202" s="150" t="str">
        <f>IFERROR(VLOOKUP(BDREGISTROMINGA2025[[#This Row],[NROKARDEX]],BDPADRES[],8,FALSE),"Sin registrado")</f>
        <v>JACINTA RAMOS REINA</v>
      </c>
      <c r="G202" s="157"/>
    </row>
    <row r="203" spans="2:7" x14ac:dyDescent="0.25">
      <c r="B203" s="151">
        <f t="shared" si="3"/>
        <v>195</v>
      </c>
      <c r="C203" s="150" t="str">
        <f>IFERROR(VLOOKUP(BDREGISTROMINGA2025[[#This Row],[NROKARDEX]],BDPADRES[],8,FALSE),"Sin registrado")</f>
        <v>JUANA EDITH SALAZAR</v>
      </c>
      <c r="G203" s="157"/>
    </row>
    <row r="204" spans="2:7" x14ac:dyDescent="0.25">
      <c r="B204" s="151">
        <f t="shared" si="3"/>
        <v>196</v>
      </c>
      <c r="C204" s="150" t="str">
        <f>IFERROR(VLOOKUP(BDREGISTROMINGA2025[[#This Row],[NROKARDEX]],BDPADRES[],8,FALSE),"Sin registrado")</f>
        <v>MARIA ESTHER MAMANI ORELLANA</v>
      </c>
      <c r="G204" s="157"/>
    </row>
    <row r="205" spans="2:7" x14ac:dyDescent="0.25">
      <c r="B205" s="151">
        <f t="shared" si="3"/>
        <v>197</v>
      </c>
      <c r="C205" s="150" t="str">
        <f>IFERROR(VLOOKUP(BDREGISTROMINGA2025[[#This Row],[NROKARDEX]],BDPADRES[],8,FALSE),"Sin registrado")</f>
        <v>VERONICA FLORES ABREGO</v>
      </c>
      <c r="G205" s="157"/>
    </row>
    <row r="206" spans="2:7" x14ac:dyDescent="0.25">
      <c r="B206" s="151">
        <f t="shared" si="3"/>
        <v>198</v>
      </c>
      <c r="C206" s="150" t="str">
        <f>IFERROR(VLOOKUP(BDREGISTROMINGA2025[[#This Row],[NROKARDEX]],BDPADRES[],8,FALSE),"Sin registrado")</f>
        <v>JUDITH VEIZAGA PINTO</v>
      </c>
      <c r="G206" s="157"/>
    </row>
    <row r="207" spans="2:7" x14ac:dyDescent="0.25">
      <c r="B207" s="151">
        <f t="shared" si="3"/>
        <v>199</v>
      </c>
      <c r="C207" s="150" t="str">
        <f>IFERROR(VLOOKUP(BDREGISTROMINGA2025[[#This Row],[NROKARDEX]],BDPADRES[],8,FALSE),"Sin registrado")</f>
        <v>LUISA ROJAS SEVERICHE</v>
      </c>
      <c r="G207" s="157"/>
    </row>
    <row r="208" spans="2:7" x14ac:dyDescent="0.25">
      <c r="B208" s="151">
        <f t="shared" si="3"/>
        <v>200</v>
      </c>
      <c r="C208" s="150" t="str">
        <f>IFERROR(VLOOKUP(BDREGISTROMINGA2025[[#This Row],[NROKARDEX]],BDPADRES[],8,FALSE),"Sin registrado")</f>
        <v>YOSELIN ARAMAYO SANCHEZ</v>
      </c>
      <c r="G208" s="157"/>
    </row>
    <row r="209" spans="2:7" x14ac:dyDescent="0.25">
      <c r="B209" s="151">
        <f t="shared" si="3"/>
        <v>201</v>
      </c>
      <c r="C209" s="150" t="str">
        <f>IFERROR(VLOOKUP(BDREGISTROMINGA2025[[#This Row],[NROKARDEX]],BDPADRES[],8,FALSE),"Sin registrado")</f>
        <v>LUCIA TORRICO VILLARRUEL</v>
      </c>
      <c r="G209" s="157"/>
    </row>
    <row r="210" spans="2:7" x14ac:dyDescent="0.25">
      <c r="B210" s="151">
        <f t="shared" si="3"/>
        <v>202</v>
      </c>
      <c r="C210" s="150" t="str">
        <f>IFERROR(VLOOKUP(BDREGISTROMINGA2025[[#This Row],[NROKARDEX]],BDPADRES[],8,FALSE),"Sin registrado")</f>
        <v>DELIA   VIZA CHOQUE</v>
      </c>
      <c r="G210" s="157"/>
    </row>
    <row r="211" spans="2:7" x14ac:dyDescent="0.25">
      <c r="B211" s="151">
        <f t="shared" si="3"/>
        <v>203</v>
      </c>
      <c r="C211" s="150" t="str">
        <f>IFERROR(VLOOKUP(BDREGISTROMINGA2025[[#This Row],[NROKARDEX]],BDPADRES[],8,FALSE),"Sin registrado")</f>
        <v>LIDIA SARDAN ROMERO</v>
      </c>
      <c r="G211" s="157"/>
    </row>
    <row r="212" spans="2:7" x14ac:dyDescent="0.25">
      <c r="B212" s="151">
        <f t="shared" si="3"/>
        <v>204</v>
      </c>
      <c r="C212" s="150" t="str">
        <f>IFERROR(VLOOKUP(BDREGISTROMINGA2025[[#This Row],[NROKARDEX]],BDPADRES[],8,FALSE),"Sin registrado")</f>
        <v>MARIOLY  GIRON RIBERA</v>
      </c>
      <c r="G212" s="157"/>
    </row>
    <row r="213" spans="2:7" x14ac:dyDescent="0.25">
      <c r="B213" s="151">
        <f t="shared" si="3"/>
        <v>205</v>
      </c>
      <c r="C213" s="150" t="str">
        <f>IFERROR(VLOOKUP(BDREGISTROMINGA2025[[#This Row],[NROKARDEX]],BDPADRES[],8,FALSE),"Sin registrado")</f>
        <v>Sin registrado</v>
      </c>
      <c r="G213" s="157"/>
    </row>
    <row r="214" spans="2:7" x14ac:dyDescent="0.25">
      <c r="B214" s="151">
        <f t="shared" si="3"/>
        <v>206</v>
      </c>
      <c r="C214" s="150" t="str">
        <f>IFERROR(VLOOKUP(BDREGISTROMINGA2025[[#This Row],[NROKARDEX]],BDPADRES[],8,FALSE),"Sin registrado")</f>
        <v>JUAQUINA FLORES CRUZ</v>
      </c>
      <c r="G214" s="157"/>
    </row>
    <row r="215" spans="2:7" x14ac:dyDescent="0.25">
      <c r="B215" s="151">
        <f t="shared" si="3"/>
        <v>207</v>
      </c>
      <c r="C215" s="150" t="str">
        <f>IFERROR(VLOOKUP(BDREGISTROMINGA2025[[#This Row],[NROKARDEX]],BDPADRES[],8,FALSE),"Sin registrado")</f>
        <v>ELVIRA ORIAS CESPEDES</v>
      </c>
      <c r="G215" s="157"/>
    </row>
    <row r="216" spans="2:7" x14ac:dyDescent="0.25">
      <c r="B216" s="151">
        <f t="shared" si="3"/>
        <v>208</v>
      </c>
      <c r="C216" s="150" t="str">
        <f>IFERROR(VLOOKUP(BDREGISTROMINGA2025[[#This Row],[NROKARDEX]],BDPADRES[],8,FALSE),"Sin registrado")</f>
        <v>MARTHA BARRIENTOS CARABALLO</v>
      </c>
      <c r="G216" s="157"/>
    </row>
    <row r="217" spans="2:7" x14ac:dyDescent="0.25">
      <c r="B217" s="151">
        <f t="shared" si="3"/>
        <v>209</v>
      </c>
      <c r="C217" s="150" t="str">
        <f>IFERROR(VLOOKUP(BDREGISTROMINGA2025[[#This Row],[NROKARDEX]],BDPADRES[],8,FALSE),"Sin registrado")</f>
        <v>MARIBEL DAZA VEDIA</v>
      </c>
      <c r="G217" s="157"/>
    </row>
    <row r="218" spans="2:7" x14ac:dyDescent="0.25">
      <c r="B218" s="151">
        <f t="shared" si="3"/>
        <v>210</v>
      </c>
      <c r="C218" s="150" t="str">
        <f>IFERROR(VLOOKUP(BDREGISTROMINGA2025[[#This Row],[NROKARDEX]],BDPADRES[],8,FALSE),"Sin registrado")</f>
        <v>DOLY FERNANDEZ GOMEZ</v>
      </c>
      <c r="G218" s="157"/>
    </row>
    <row r="219" spans="2:7" x14ac:dyDescent="0.25">
      <c r="B219" s="151">
        <f t="shared" si="3"/>
        <v>211</v>
      </c>
      <c r="C219" s="150" t="str">
        <f>IFERROR(VLOOKUP(BDREGISTROMINGA2025[[#This Row],[NROKARDEX]],BDPADRES[],8,FALSE),"Sin registrado")</f>
        <v>HORTENCIA  LEAÑOS VERGARA</v>
      </c>
      <c r="G219" s="157"/>
    </row>
    <row r="220" spans="2:7" x14ac:dyDescent="0.25">
      <c r="B220" s="151">
        <f t="shared" si="3"/>
        <v>212</v>
      </c>
      <c r="C220" s="150" t="str">
        <f>IFERROR(VLOOKUP(BDREGISTROMINGA2025[[#This Row],[NROKARDEX]],BDPADRES[],8,FALSE),"Sin registrado")</f>
        <v>NANCY MAMANI IPORRE</v>
      </c>
      <c r="G220" s="157"/>
    </row>
    <row r="221" spans="2:7" x14ac:dyDescent="0.25">
      <c r="B221" s="151">
        <f t="shared" si="3"/>
        <v>213</v>
      </c>
      <c r="C221" s="150" t="str">
        <f>IFERROR(VLOOKUP(BDREGISTROMINGA2025[[#This Row],[NROKARDEX]],BDPADRES[],8,FALSE),"Sin registrado")</f>
        <v>LITHZI PADILLA LIMON</v>
      </c>
      <c r="G221" s="157"/>
    </row>
    <row r="222" spans="2:7" x14ac:dyDescent="0.25">
      <c r="B222" s="151">
        <f t="shared" si="3"/>
        <v>214</v>
      </c>
      <c r="C222" s="150" t="str">
        <f>IFERROR(VLOOKUP(BDREGISTROMINGA2025[[#This Row],[NROKARDEX]],BDPADRES[],8,FALSE),"Sin registrado")</f>
        <v>Sin registrado</v>
      </c>
      <c r="G222" s="157"/>
    </row>
    <row r="223" spans="2:7" x14ac:dyDescent="0.25">
      <c r="B223" s="151">
        <f t="shared" si="3"/>
        <v>215</v>
      </c>
      <c r="C223" s="150" t="str">
        <f>IFERROR(VLOOKUP(BDREGISTROMINGA2025[[#This Row],[NROKARDEX]],BDPADRES[],8,FALSE),"Sin registrado")</f>
        <v>LIDIA MARTINEZ PEREZ</v>
      </c>
      <c r="G223" s="157"/>
    </row>
    <row r="224" spans="2:7" x14ac:dyDescent="0.25">
      <c r="B224" s="151">
        <f t="shared" si="3"/>
        <v>216</v>
      </c>
      <c r="C224" s="150" t="str">
        <f>IFERROR(VLOOKUP(BDREGISTROMINGA2025[[#This Row],[NROKARDEX]],BDPADRES[],8,FALSE),"Sin registrado")</f>
        <v>SABINA GARNICA VARGAS</v>
      </c>
      <c r="G224" s="157"/>
    </row>
    <row r="225" spans="2:7" x14ac:dyDescent="0.25">
      <c r="B225" s="151">
        <f t="shared" si="3"/>
        <v>217</v>
      </c>
      <c r="C225" s="150" t="str">
        <f>IFERROR(VLOOKUP(BDREGISTROMINGA2025[[#This Row],[NROKARDEX]],BDPADRES[],8,FALSE),"Sin registrado")</f>
        <v>BENIGNA HUAYHUA ARENAS</v>
      </c>
      <c r="G225" s="157"/>
    </row>
    <row r="226" spans="2:7" x14ac:dyDescent="0.25">
      <c r="B226" s="151">
        <f t="shared" si="3"/>
        <v>218</v>
      </c>
      <c r="C226" s="150" t="str">
        <f>IFERROR(VLOOKUP(BDREGISTROMINGA2025[[#This Row],[NROKARDEX]],BDPADRES[],8,FALSE),"Sin registrado")</f>
        <v>JUANA RAMIREZ CHURA</v>
      </c>
      <c r="G226" s="157"/>
    </row>
    <row r="227" spans="2:7" x14ac:dyDescent="0.25">
      <c r="B227" s="151">
        <f t="shared" si="3"/>
        <v>219</v>
      </c>
      <c r="C227" s="150" t="str">
        <f>IFERROR(VLOOKUP(BDREGISTROMINGA2025[[#This Row],[NROKARDEX]],BDPADRES[],8,FALSE),"Sin registrado")</f>
        <v>TERESA ARICOMA CORCHADO</v>
      </c>
      <c r="G227" s="157"/>
    </row>
    <row r="228" spans="2:7" x14ac:dyDescent="0.25">
      <c r="B228" s="151">
        <f t="shared" si="3"/>
        <v>220</v>
      </c>
      <c r="C228" s="150" t="str">
        <f>IFERROR(VLOOKUP(BDREGISTROMINGA2025[[#This Row],[NROKARDEX]],BDPADRES[],8,FALSE),"Sin registrado")</f>
        <v>ISABEL RODRIGUEZ JILLAPA</v>
      </c>
      <c r="G228" s="157"/>
    </row>
    <row r="229" spans="2:7" x14ac:dyDescent="0.25">
      <c r="B229" s="151">
        <f t="shared" si="3"/>
        <v>221</v>
      </c>
      <c r="C229" s="150" t="str">
        <f>IFERROR(VLOOKUP(BDREGISTROMINGA2025[[#This Row],[NROKARDEX]],BDPADRES[],8,FALSE),"Sin registrado")</f>
        <v>MARCELA CHOQUE SILES</v>
      </c>
      <c r="G229" s="157"/>
    </row>
    <row r="230" spans="2:7" x14ac:dyDescent="0.25">
      <c r="B230" s="151">
        <f t="shared" si="3"/>
        <v>222</v>
      </c>
      <c r="C230" s="150" t="str">
        <f>IFERROR(VLOOKUP(BDREGISTROMINGA2025[[#This Row],[NROKARDEX]],BDPADRES[],8,FALSE),"Sin registrado")</f>
        <v>SAIDA CINTHIA MORALES MOSCOSO</v>
      </c>
      <c r="G230" s="157"/>
    </row>
    <row r="231" spans="2:7" x14ac:dyDescent="0.25">
      <c r="B231" s="151">
        <f t="shared" si="3"/>
        <v>223</v>
      </c>
      <c r="C231" s="150" t="str">
        <f>IFERROR(VLOOKUP(BDREGISTROMINGA2025[[#This Row],[NROKARDEX]],BDPADRES[],8,FALSE),"Sin registrado")</f>
        <v>MARIA MAGDALENA AGUILAR VIDAURRE</v>
      </c>
      <c r="G231" s="157"/>
    </row>
    <row r="232" spans="2:7" x14ac:dyDescent="0.25">
      <c r="B232" s="151">
        <f t="shared" si="3"/>
        <v>224</v>
      </c>
      <c r="C232" s="150" t="str">
        <f>IFERROR(VLOOKUP(BDREGISTROMINGA2025[[#This Row],[NROKARDEX]],BDPADRES[],8,FALSE),"Sin registrado")</f>
        <v>MARICELA ZAMBRANA PADILLA</v>
      </c>
      <c r="G232" s="157"/>
    </row>
    <row r="233" spans="2:7" x14ac:dyDescent="0.25">
      <c r="B233" s="151">
        <f t="shared" si="3"/>
        <v>225</v>
      </c>
      <c r="C233" s="150" t="str">
        <f>IFERROR(VLOOKUP(BDREGISTROMINGA2025[[#This Row],[NROKARDEX]],BDPADRES[],8,FALSE),"Sin registrado")</f>
        <v>PAULINA DELGADO LOPEZ</v>
      </c>
      <c r="G233" s="157"/>
    </row>
    <row r="234" spans="2:7" x14ac:dyDescent="0.25">
      <c r="B234" s="151">
        <f t="shared" si="3"/>
        <v>226</v>
      </c>
      <c r="C234" s="150" t="str">
        <f>IFERROR(VLOOKUP(BDREGISTROMINGA2025[[#This Row],[NROKARDEX]],BDPADRES[],8,FALSE),"Sin registrado")</f>
        <v>MARTHA MAMANI MORALES</v>
      </c>
      <c r="G234" s="157"/>
    </row>
    <row r="235" spans="2:7" x14ac:dyDescent="0.25">
      <c r="B235" s="151">
        <f t="shared" si="3"/>
        <v>227</v>
      </c>
      <c r="C235" s="150" t="str">
        <f>IFERROR(VLOOKUP(BDREGISTROMINGA2025[[#This Row],[NROKARDEX]],BDPADRES[],8,FALSE),"Sin registrado")</f>
        <v>NILDA LOPEZ CHOQUE</v>
      </c>
      <c r="G235" s="157"/>
    </row>
    <row r="236" spans="2:7" x14ac:dyDescent="0.25">
      <c r="B236" s="151">
        <f t="shared" si="3"/>
        <v>228</v>
      </c>
      <c r="C236" s="150" t="str">
        <f>IFERROR(VLOOKUP(BDREGISTROMINGA2025[[#This Row],[NROKARDEX]],BDPADRES[],8,FALSE),"Sin registrado")</f>
        <v>SEDONIA CONDORI TOMAS</v>
      </c>
      <c r="G236" s="157"/>
    </row>
    <row r="237" spans="2:7" x14ac:dyDescent="0.25">
      <c r="B237" s="151">
        <f t="shared" si="3"/>
        <v>229</v>
      </c>
      <c r="C237" s="150" t="str">
        <f>IFERROR(VLOOKUP(BDREGISTROMINGA2025[[#This Row],[NROKARDEX]],BDPADRES[],8,FALSE),"Sin registrado")</f>
        <v>MARIOLY  MARTINEZ UGARTECHE</v>
      </c>
      <c r="G237" s="157"/>
    </row>
    <row r="238" spans="2:7" x14ac:dyDescent="0.25">
      <c r="B238" s="151">
        <f t="shared" si="3"/>
        <v>230</v>
      </c>
      <c r="C238" s="150" t="str">
        <f>IFERROR(VLOOKUP(BDREGISTROMINGA2025[[#This Row],[NROKARDEX]],BDPADRES[],8,FALSE),"Sin registrado")</f>
        <v>CELIA RIVADENEIRA CRUZ</v>
      </c>
      <c r="G238" s="157"/>
    </row>
    <row r="239" spans="2:7" x14ac:dyDescent="0.25">
      <c r="B239" s="151">
        <f t="shared" si="3"/>
        <v>231</v>
      </c>
      <c r="C239" s="150" t="str">
        <f>IFERROR(VLOOKUP(BDREGISTROMINGA2025[[#This Row],[NROKARDEX]],BDPADRES[],8,FALSE),"Sin registrado")</f>
        <v>MIRNA CUELLAR DIAZ</v>
      </c>
      <c r="G239" s="157"/>
    </row>
    <row r="240" spans="2:7" x14ac:dyDescent="0.25">
      <c r="B240" s="151">
        <f t="shared" si="3"/>
        <v>232</v>
      </c>
      <c r="C240" s="150" t="str">
        <f>IFERROR(VLOOKUP(BDREGISTROMINGA2025[[#This Row],[NROKARDEX]],BDPADRES[],8,FALSE),"Sin registrado")</f>
        <v>Sin registrado</v>
      </c>
      <c r="G240" s="157"/>
    </row>
    <row r="241" spans="2:7" x14ac:dyDescent="0.25">
      <c r="B241" s="151">
        <f t="shared" si="3"/>
        <v>233</v>
      </c>
      <c r="C241" s="150" t="str">
        <f>IFERROR(VLOOKUP(BDREGISTROMINGA2025[[#This Row],[NROKARDEX]],BDPADRES[],8,FALSE),"Sin registrado")</f>
        <v>MONICA MAMANI GONZALES</v>
      </c>
      <c r="G241" s="157"/>
    </row>
    <row r="242" spans="2:7" x14ac:dyDescent="0.25">
      <c r="B242" s="151">
        <f t="shared" si="3"/>
        <v>234</v>
      </c>
      <c r="C242" s="150" t="str">
        <f>IFERROR(VLOOKUP(BDREGISTROMINGA2025[[#This Row],[NROKARDEX]],BDPADRES[],8,FALSE),"Sin registrado")</f>
        <v>HILDA MAMANI EUGENIO</v>
      </c>
      <c r="G242" s="157"/>
    </row>
    <row r="243" spans="2:7" x14ac:dyDescent="0.25">
      <c r="B243" s="151">
        <f t="shared" si="3"/>
        <v>235</v>
      </c>
      <c r="C243" s="150" t="str">
        <f>IFERROR(VLOOKUP(BDREGISTROMINGA2025[[#This Row],[NROKARDEX]],BDPADRES[],8,FALSE),"Sin registrado")</f>
        <v>FARIDY ROMERO CALLAPA</v>
      </c>
      <c r="G243" s="157"/>
    </row>
    <row r="244" spans="2:7" x14ac:dyDescent="0.25">
      <c r="B244" s="151">
        <f t="shared" si="3"/>
        <v>236</v>
      </c>
      <c r="C244" s="150" t="str">
        <f>IFERROR(VLOOKUP(BDREGISTROMINGA2025[[#This Row],[NROKARDEX]],BDPADRES[],8,FALSE),"Sin registrado")</f>
        <v>NEOLID VARON ARANCIBIA</v>
      </c>
      <c r="G244" s="157"/>
    </row>
    <row r="245" spans="2:7" x14ac:dyDescent="0.25">
      <c r="B245" s="151">
        <f t="shared" si="3"/>
        <v>237</v>
      </c>
      <c r="C245" s="150" t="str">
        <f>IFERROR(VLOOKUP(BDREGISTROMINGA2025[[#This Row],[NROKARDEX]],BDPADRES[],8,FALSE),"Sin registrado")</f>
        <v>EVA DANCY FERNANDEZ LINO</v>
      </c>
      <c r="G245" s="157"/>
    </row>
    <row r="246" spans="2:7" x14ac:dyDescent="0.25">
      <c r="B246" s="151">
        <f t="shared" si="3"/>
        <v>238</v>
      </c>
      <c r="C246" s="150" t="str">
        <f>IFERROR(VLOOKUP(BDREGISTROMINGA2025[[#This Row],[NROKARDEX]],BDPADRES[],8,FALSE),"Sin registrado")</f>
        <v>LIDIA ACUÑA ARENA</v>
      </c>
      <c r="G246" s="157"/>
    </row>
    <row r="247" spans="2:7" x14ac:dyDescent="0.25">
      <c r="B247" s="151">
        <f t="shared" si="3"/>
        <v>239</v>
      </c>
      <c r="C247" s="150" t="str">
        <f>IFERROR(VLOOKUP(BDREGISTROMINGA2025[[#This Row],[NROKARDEX]],BDPADRES[],8,FALSE),"Sin registrado")</f>
        <v>NAGAY RINA ROMERO ACHO</v>
      </c>
      <c r="G247" s="157"/>
    </row>
    <row r="248" spans="2:7" x14ac:dyDescent="0.25">
      <c r="B248" s="151">
        <f t="shared" si="3"/>
        <v>240</v>
      </c>
      <c r="C248" s="150" t="str">
        <f>IFERROR(VLOOKUP(BDREGISTROMINGA2025[[#This Row],[NROKARDEX]],BDPADRES[],8,FALSE),"Sin registrado")</f>
        <v>MARTHA CHAUQUE TOLABA</v>
      </c>
      <c r="G248" s="157"/>
    </row>
    <row r="249" spans="2:7" x14ac:dyDescent="0.25">
      <c r="B249" s="151">
        <f t="shared" si="3"/>
        <v>241</v>
      </c>
      <c r="C249" s="150" t="str">
        <f>IFERROR(VLOOKUP(BDREGISTROMINGA2025[[#This Row],[NROKARDEX]],BDPADRES[],8,FALSE),"Sin registrado")</f>
        <v>LOURDES URQUIZO YUCRA</v>
      </c>
      <c r="G249" s="157"/>
    </row>
    <row r="250" spans="2:7" x14ac:dyDescent="0.25">
      <c r="B250" s="151">
        <f t="shared" si="3"/>
        <v>242</v>
      </c>
      <c r="C250" s="150" t="str">
        <f>IFERROR(VLOOKUP(BDREGISTROMINGA2025[[#This Row],[NROKARDEX]],BDPADRES[],8,FALSE),"Sin registrado")</f>
        <v>LENNY MARIELA FLORES ASINAGA</v>
      </c>
      <c r="G250" s="157"/>
    </row>
    <row r="251" spans="2:7" x14ac:dyDescent="0.25">
      <c r="B251" s="151">
        <f t="shared" si="3"/>
        <v>243</v>
      </c>
      <c r="C251" s="150" t="str">
        <f>IFERROR(VLOOKUP(BDREGISTROMINGA2025[[#This Row],[NROKARDEX]],BDPADRES[],8,FALSE),"Sin registrado")</f>
        <v>VIRGINIA ANTIVERROS MANRIQUE</v>
      </c>
      <c r="G251" s="157"/>
    </row>
    <row r="252" spans="2:7" x14ac:dyDescent="0.25">
      <c r="B252" s="151">
        <f t="shared" si="3"/>
        <v>244</v>
      </c>
      <c r="C252" s="150" t="str">
        <f>IFERROR(VLOOKUP(BDREGISTROMINGA2025[[#This Row],[NROKARDEX]],BDPADRES[],8,FALSE),"Sin registrado")</f>
        <v>SIXTA AGUILLAR TABUADA</v>
      </c>
      <c r="G252" s="157"/>
    </row>
    <row r="253" spans="2:7" x14ac:dyDescent="0.25">
      <c r="B253" s="151">
        <f t="shared" si="3"/>
        <v>245</v>
      </c>
      <c r="C253" s="150" t="str">
        <f>IFERROR(VLOOKUP(BDREGISTROMINGA2025[[#This Row],[NROKARDEX]],BDPADRES[],8,FALSE),"Sin registrado")</f>
        <v>ANTONIA CARABALLO BALLESTEROS</v>
      </c>
      <c r="G253" s="157"/>
    </row>
    <row r="254" spans="2:7" x14ac:dyDescent="0.25">
      <c r="B254" s="151">
        <f t="shared" si="3"/>
        <v>246</v>
      </c>
      <c r="C254" s="150" t="str">
        <f>IFERROR(VLOOKUP(BDREGISTROMINGA2025[[#This Row],[NROKARDEX]],BDPADRES[],8,FALSE),"Sin registrado")</f>
        <v>SEMIDA CUCHALLO TORRICO</v>
      </c>
      <c r="G254" s="157"/>
    </row>
    <row r="255" spans="2:7" x14ac:dyDescent="0.25">
      <c r="B255" s="151">
        <f t="shared" si="3"/>
        <v>247</v>
      </c>
      <c r="C255" s="150" t="str">
        <f>IFERROR(VLOOKUP(BDREGISTROMINGA2025[[#This Row],[NROKARDEX]],BDPADRES[],8,FALSE),"Sin registrado")</f>
        <v>DELIA MARCELA VARGAS RIVERA</v>
      </c>
      <c r="G255" s="157"/>
    </row>
    <row r="256" spans="2:7" x14ac:dyDescent="0.25">
      <c r="B256" s="151">
        <f t="shared" si="3"/>
        <v>248</v>
      </c>
      <c r="C256" s="150" t="str">
        <f>IFERROR(VLOOKUP(BDREGISTROMINGA2025[[#This Row],[NROKARDEX]],BDPADRES[],8,FALSE),"Sin registrado")</f>
        <v>Sin registrado</v>
      </c>
      <c r="G256" s="157"/>
    </row>
    <row r="257" spans="2:7" x14ac:dyDescent="0.25">
      <c r="B257" s="151">
        <f t="shared" si="3"/>
        <v>249</v>
      </c>
      <c r="C257" s="150" t="str">
        <f>IFERROR(VLOOKUP(BDREGISTROMINGA2025[[#This Row],[NROKARDEX]],BDPADRES[],8,FALSE),"Sin registrado")</f>
        <v>NEIDA MEJIA BEJARANO</v>
      </c>
      <c r="G257" s="157"/>
    </row>
    <row r="258" spans="2:7" x14ac:dyDescent="0.25">
      <c r="B258" s="151">
        <f t="shared" si="3"/>
        <v>250</v>
      </c>
      <c r="C258" s="150" t="str">
        <f>IFERROR(VLOOKUP(BDREGISTROMINGA2025[[#This Row],[NROKARDEX]],BDPADRES[],8,FALSE),"Sin registrado")</f>
        <v>MARIA LOURDES GARCIA LARA</v>
      </c>
      <c r="G258" s="157"/>
    </row>
    <row r="259" spans="2:7" x14ac:dyDescent="0.25">
      <c r="B259" s="151">
        <f t="shared" si="3"/>
        <v>251</v>
      </c>
      <c r="C259" s="150" t="str">
        <f>IFERROR(VLOOKUP(BDREGISTROMINGA2025[[#This Row],[NROKARDEX]],BDPADRES[],8,FALSE),"Sin registrado")</f>
        <v>Sin registrado</v>
      </c>
      <c r="G259" s="157"/>
    </row>
    <row r="260" spans="2:7" x14ac:dyDescent="0.25">
      <c r="B260" s="151">
        <f t="shared" si="3"/>
        <v>252</v>
      </c>
      <c r="C260" s="150" t="str">
        <f>IFERROR(VLOOKUP(BDREGISTROMINGA2025[[#This Row],[NROKARDEX]],BDPADRES[],8,FALSE),"Sin registrado")</f>
        <v>REYNA GALARZA PEREDO</v>
      </c>
      <c r="G260" s="157"/>
    </row>
    <row r="261" spans="2:7" x14ac:dyDescent="0.25">
      <c r="B261" s="151">
        <f t="shared" si="3"/>
        <v>253</v>
      </c>
      <c r="C261" s="150" t="str">
        <f>IFERROR(VLOOKUP(BDREGISTROMINGA2025[[#This Row],[NROKARDEX]],BDPADRES[],8,FALSE),"Sin registrado")</f>
        <v>MARISOL MORALES AÑEZ</v>
      </c>
      <c r="G261" s="157"/>
    </row>
    <row r="262" spans="2:7" x14ac:dyDescent="0.25">
      <c r="B262" s="151">
        <f t="shared" si="3"/>
        <v>254</v>
      </c>
      <c r="C262" s="150" t="str">
        <f>IFERROR(VLOOKUP(BDREGISTROMINGA2025[[#This Row],[NROKARDEX]],BDPADRES[],8,FALSE),"Sin registrado")</f>
        <v>FILOMENA ZAMBRANA COCA</v>
      </c>
      <c r="G262" s="157"/>
    </row>
    <row r="263" spans="2:7" x14ac:dyDescent="0.25">
      <c r="B263" s="151">
        <f t="shared" si="3"/>
        <v>255</v>
      </c>
      <c r="C263" s="150" t="str">
        <f>IFERROR(VLOOKUP(BDREGISTROMINGA2025[[#This Row],[NROKARDEX]],BDPADRES[],8,FALSE),"Sin registrado")</f>
        <v>SANDRA BALLESTEROS TORREZ</v>
      </c>
      <c r="G263" s="157"/>
    </row>
    <row r="264" spans="2:7" x14ac:dyDescent="0.25">
      <c r="B264" s="151">
        <f t="shared" si="3"/>
        <v>256</v>
      </c>
      <c r="C264" s="150" t="str">
        <f>IFERROR(VLOOKUP(BDREGISTROMINGA2025[[#This Row],[NROKARDEX]],BDPADRES[],8,FALSE),"Sin registrado")</f>
        <v>Sin registrado</v>
      </c>
      <c r="G264" s="157"/>
    </row>
    <row r="265" spans="2:7" x14ac:dyDescent="0.25">
      <c r="B265" s="151">
        <f t="shared" si="3"/>
        <v>257</v>
      </c>
      <c r="C265" s="150" t="str">
        <f>IFERROR(VLOOKUP(BDREGISTROMINGA2025[[#This Row],[NROKARDEX]],BDPADRES[],8,FALSE),"Sin registrado")</f>
        <v>RAUL MARTINEZ AGUANTA</v>
      </c>
      <c r="G265" s="157"/>
    </row>
    <row r="266" spans="2:7" x14ac:dyDescent="0.25">
      <c r="B266" s="151">
        <f t="shared" ref="B266:B329" si="4">ROW(A258)</f>
        <v>258</v>
      </c>
      <c r="C266" s="150" t="str">
        <f>IFERROR(VLOOKUP(BDREGISTROMINGA2025[[#This Row],[NROKARDEX]],BDPADRES[],8,FALSE),"Sin registrado")</f>
        <v>REBECA SANGREDE CONDORI</v>
      </c>
      <c r="G266" s="157"/>
    </row>
    <row r="267" spans="2:7" x14ac:dyDescent="0.25">
      <c r="B267" s="151">
        <f t="shared" si="4"/>
        <v>259</v>
      </c>
      <c r="C267" s="150" t="str">
        <f>IFERROR(VLOOKUP(BDREGISTROMINGA2025[[#This Row],[NROKARDEX]],BDPADRES[],8,FALSE),"Sin registrado")</f>
        <v>JUANA  CORTEZ ARAUZ</v>
      </c>
      <c r="G267" s="157"/>
    </row>
    <row r="268" spans="2:7" x14ac:dyDescent="0.25">
      <c r="B268" s="151">
        <f t="shared" si="4"/>
        <v>260</v>
      </c>
      <c r="C268" s="150" t="str">
        <f>IFERROR(VLOOKUP(BDREGISTROMINGA2025[[#This Row],[NROKARDEX]],BDPADRES[],8,FALSE),"Sin registrado")</f>
        <v>CELIA BEJARANO CHOQUE</v>
      </c>
      <c r="G268" s="157"/>
    </row>
    <row r="269" spans="2:7" x14ac:dyDescent="0.25">
      <c r="B269" s="151">
        <f t="shared" si="4"/>
        <v>261</v>
      </c>
      <c r="C269" s="150" t="str">
        <f>IFERROR(VLOOKUP(BDREGISTROMINGA2025[[#This Row],[NROKARDEX]],BDPADRES[],8,FALSE),"Sin registrado")</f>
        <v>BEATRIZ COA CHOQUE</v>
      </c>
      <c r="G269" s="157"/>
    </row>
    <row r="270" spans="2:7" x14ac:dyDescent="0.25">
      <c r="B270" s="151">
        <f t="shared" si="4"/>
        <v>262</v>
      </c>
      <c r="C270" s="150" t="str">
        <f>IFERROR(VLOOKUP(BDREGISTROMINGA2025[[#This Row],[NROKARDEX]],BDPADRES[],8,FALSE),"Sin registrado")</f>
        <v>MARICRUZ GUAYAO RIVERA</v>
      </c>
      <c r="G270" s="157"/>
    </row>
    <row r="271" spans="2:7" x14ac:dyDescent="0.25">
      <c r="B271" s="151">
        <f t="shared" si="4"/>
        <v>263</v>
      </c>
      <c r="C271" s="150" t="str">
        <f>IFERROR(VLOOKUP(BDREGISTROMINGA2025[[#This Row],[NROKARDEX]],BDPADRES[],8,FALSE),"Sin registrado")</f>
        <v>ELUTERIA CASTRO ARENAS</v>
      </c>
      <c r="G271" s="157"/>
    </row>
    <row r="272" spans="2:7" x14ac:dyDescent="0.25">
      <c r="B272" s="151">
        <f t="shared" si="4"/>
        <v>264</v>
      </c>
      <c r="C272" s="150" t="str">
        <f>IFERROR(VLOOKUP(BDREGISTROMINGA2025[[#This Row],[NROKARDEX]],BDPADRES[],8,FALSE),"Sin registrado")</f>
        <v>CATALINA ROMELIA GARCIA</v>
      </c>
      <c r="G272" s="157"/>
    </row>
    <row r="273" spans="2:7" x14ac:dyDescent="0.25">
      <c r="B273" s="151">
        <f t="shared" si="4"/>
        <v>265</v>
      </c>
      <c r="C273" s="150" t="str">
        <f>IFERROR(VLOOKUP(BDREGISTROMINGA2025[[#This Row],[NROKARDEX]],BDPADRES[],8,FALSE),"Sin registrado")</f>
        <v>ALBAIDA MANSILLA ALDANA</v>
      </c>
      <c r="G273" s="157"/>
    </row>
    <row r="274" spans="2:7" x14ac:dyDescent="0.25">
      <c r="B274" s="151">
        <f t="shared" si="4"/>
        <v>266</v>
      </c>
      <c r="C274" s="150" t="str">
        <f>IFERROR(VLOOKUP(BDREGISTROMINGA2025[[#This Row],[NROKARDEX]],BDPADRES[],8,FALSE),"Sin registrado")</f>
        <v>ROSA LEON TORREZ</v>
      </c>
      <c r="G274" s="157"/>
    </row>
    <row r="275" spans="2:7" x14ac:dyDescent="0.25">
      <c r="B275" s="151">
        <f t="shared" si="4"/>
        <v>267</v>
      </c>
      <c r="C275" s="150" t="str">
        <f>IFERROR(VLOOKUP(BDREGISTROMINGA2025[[#This Row],[NROKARDEX]],BDPADRES[],8,FALSE),"Sin registrado")</f>
        <v>JULIA  ALCARAZ SANABRIA</v>
      </c>
      <c r="G275" s="157"/>
    </row>
    <row r="276" spans="2:7" x14ac:dyDescent="0.25">
      <c r="B276" s="151">
        <f t="shared" si="4"/>
        <v>268</v>
      </c>
      <c r="C276" s="150" t="str">
        <f>IFERROR(VLOOKUP(BDREGISTROMINGA2025[[#This Row],[NROKARDEX]],BDPADRES[],8,FALSE),"Sin registrado")</f>
        <v>YINA DANIELA DORADO MONTENEGRO</v>
      </c>
      <c r="G276" s="157"/>
    </row>
    <row r="277" spans="2:7" x14ac:dyDescent="0.25">
      <c r="B277" s="151">
        <f t="shared" si="4"/>
        <v>269</v>
      </c>
      <c r="C277" s="150" t="str">
        <f>IFERROR(VLOOKUP(BDREGISTROMINGA2025[[#This Row],[NROKARDEX]],BDPADRES[],8,FALSE),"Sin registrado")</f>
        <v>LORENZA AMADOR SULLCA</v>
      </c>
      <c r="G277" s="157"/>
    </row>
    <row r="278" spans="2:7" x14ac:dyDescent="0.25">
      <c r="B278" s="151">
        <f t="shared" si="4"/>
        <v>270</v>
      </c>
      <c r="C278" s="150" t="str">
        <f>IFERROR(VLOOKUP(BDREGISTROMINGA2025[[#This Row],[NROKARDEX]],BDPADRES[],8,FALSE),"Sin registrado")</f>
        <v>Sin registrado</v>
      </c>
      <c r="G278" s="157"/>
    </row>
    <row r="279" spans="2:7" x14ac:dyDescent="0.25">
      <c r="B279" s="151">
        <f t="shared" si="4"/>
        <v>271</v>
      </c>
      <c r="C279" s="150" t="str">
        <f>IFERROR(VLOOKUP(BDREGISTROMINGA2025[[#This Row],[NROKARDEX]],BDPADRES[],8,FALSE),"Sin registrado")</f>
        <v>VICTORIA FIGUEROA SARDINAS</v>
      </c>
      <c r="G279" s="157"/>
    </row>
    <row r="280" spans="2:7" x14ac:dyDescent="0.25">
      <c r="B280" s="151">
        <f t="shared" si="4"/>
        <v>272</v>
      </c>
      <c r="C280" s="150" t="str">
        <f>IFERROR(VLOOKUP(BDREGISTROMINGA2025[[#This Row],[NROKARDEX]],BDPADRES[],8,FALSE),"Sin registrado")</f>
        <v>LEIDY FABIOLA CARRILLO CORONADO</v>
      </c>
      <c r="G280" s="157"/>
    </row>
    <row r="281" spans="2:7" x14ac:dyDescent="0.25">
      <c r="B281" s="151">
        <f t="shared" si="4"/>
        <v>273</v>
      </c>
      <c r="C281" s="150" t="str">
        <f>IFERROR(VLOOKUP(BDREGISTROMINGA2025[[#This Row],[NROKARDEX]],BDPADRES[],8,FALSE),"Sin registrado")</f>
        <v>REYNA ZARATE BARRIENTOS</v>
      </c>
      <c r="G281" s="157"/>
    </row>
    <row r="282" spans="2:7" x14ac:dyDescent="0.25">
      <c r="B282" s="151">
        <f t="shared" si="4"/>
        <v>274</v>
      </c>
      <c r="C282" s="150" t="str">
        <f>IFERROR(VLOOKUP(BDREGISTROMINGA2025[[#This Row],[NROKARDEX]],BDPADRES[],8,FALSE),"Sin registrado")</f>
        <v>EVELIN GUZMAN GARCIA</v>
      </c>
      <c r="G282" s="157"/>
    </row>
    <row r="283" spans="2:7" x14ac:dyDescent="0.25">
      <c r="B283" s="151">
        <f t="shared" si="4"/>
        <v>275</v>
      </c>
      <c r="C283" s="150" t="str">
        <f>IFERROR(VLOOKUP(BDREGISTROMINGA2025[[#This Row],[NROKARDEX]],BDPADRES[],8,FALSE),"Sin registrado")</f>
        <v>NELLY YASMINA ROBLES VALVERDE</v>
      </c>
      <c r="G283" s="157"/>
    </row>
    <row r="284" spans="2:7" x14ac:dyDescent="0.25">
      <c r="B284" s="151">
        <f t="shared" si="4"/>
        <v>276</v>
      </c>
      <c r="C284" s="150" t="str">
        <f>IFERROR(VLOOKUP(BDREGISTROMINGA2025[[#This Row],[NROKARDEX]],BDPADRES[],8,FALSE),"Sin registrado")</f>
        <v>ANA ROSY VACA NOGALES</v>
      </c>
      <c r="G284" s="157"/>
    </row>
    <row r="285" spans="2:7" x14ac:dyDescent="0.25">
      <c r="B285" s="151">
        <f t="shared" si="4"/>
        <v>277</v>
      </c>
      <c r="C285" s="150" t="str">
        <f>IFERROR(VLOOKUP(BDREGISTROMINGA2025[[#This Row],[NROKARDEX]],BDPADRES[],8,FALSE),"Sin registrado")</f>
        <v>MONICA MARTINEZ RICALDY</v>
      </c>
      <c r="G285" s="157"/>
    </row>
    <row r="286" spans="2:7" x14ac:dyDescent="0.25">
      <c r="B286" s="151">
        <f t="shared" si="4"/>
        <v>278</v>
      </c>
      <c r="C286" s="150" t="str">
        <f>IFERROR(VLOOKUP(BDREGISTROMINGA2025[[#This Row],[NROKARDEX]],BDPADRES[],8,FALSE),"Sin registrado")</f>
        <v>AGUSTINA HERRERA.</v>
      </c>
      <c r="G286" s="157"/>
    </row>
    <row r="287" spans="2:7" x14ac:dyDescent="0.25">
      <c r="B287" s="151">
        <f t="shared" si="4"/>
        <v>279</v>
      </c>
      <c r="C287" s="150" t="str">
        <f>IFERROR(VLOOKUP(BDREGISTROMINGA2025[[#This Row],[NROKARDEX]],BDPADRES[],8,FALSE),"Sin registrado")</f>
        <v>PASCUALA CHOQUE BEJARANO</v>
      </c>
      <c r="G287" s="157"/>
    </row>
    <row r="288" spans="2:7" x14ac:dyDescent="0.25">
      <c r="B288" s="151">
        <f t="shared" si="4"/>
        <v>280</v>
      </c>
      <c r="C288" s="150" t="str">
        <f>IFERROR(VLOOKUP(BDREGISTROMINGA2025[[#This Row],[NROKARDEX]],BDPADRES[],8,FALSE),"Sin registrado")</f>
        <v>ESPERANZA FIGUEROA ALVAREZ</v>
      </c>
      <c r="G288" s="157"/>
    </row>
    <row r="289" spans="2:7" x14ac:dyDescent="0.25">
      <c r="B289" s="151">
        <f t="shared" si="4"/>
        <v>281</v>
      </c>
      <c r="C289" s="150" t="str">
        <f>IFERROR(VLOOKUP(BDREGISTROMINGA2025[[#This Row],[NROKARDEX]],BDPADRES[],8,FALSE),"Sin registrado")</f>
        <v>SIMONA COPA SALAZAR</v>
      </c>
      <c r="G289" s="157"/>
    </row>
    <row r="290" spans="2:7" x14ac:dyDescent="0.25">
      <c r="B290" s="151">
        <f t="shared" si="4"/>
        <v>282</v>
      </c>
      <c r="C290" s="150" t="str">
        <f>IFERROR(VLOOKUP(BDREGISTROMINGA2025[[#This Row],[NROKARDEX]],BDPADRES[],8,FALSE),"Sin registrado")</f>
        <v>Sin registrado</v>
      </c>
      <c r="G290" s="157"/>
    </row>
    <row r="291" spans="2:7" x14ac:dyDescent="0.25">
      <c r="B291" s="151">
        <f t="shared" si="4"/>
        <v>283</v>
      </c>
      <c r="C291" s="150" t="str">
        <f>IFERROR(VLOOKUP(BDREGISTROMINGA2025[[#This Row],[NROKARDEX]],BDPADRES[],8,FALSE),"Sin registrado")</f>
        <v>SIRLEY CARABALLO OJEDA</v>
      </c>
      <c r="G291" s="157"/>
    </row>
    <row r="292" spans="2:7" x14ac:dyDescent="0.25">
      <c r="B292" s="151">
        <f t="shared" si="4"/>
        <v>284</v>
      </c>
      <c r="C292" s="150" t="str">
        <f>IFERROR(VLOOKUP(BDREGISTROMINGA2025[[#This Row],[NROKARDEX]],BDPADRES[],8,FALSE),"Sin registrado")</f>
        <v>ROXANA DURAN MICHEL</v>
      </c>
      <c r="G292" s="157"/>
    </row>
    <row r="293" spans="2:7" x14ac:dyDescent="0.25">
      <c r="B293" s="151">
        <f t="shared" si="4"/>
        <v>285</v>
      </c>
      <c r="C293" s="150" t="str">
        <f>IFERROR(VLOOKUP(BDREGISTROMINGA2025[[#This Row],[NROKARDEX]],BDPADRES[],8,FALSE),"Sin registrado")</f>
        <v>JULITT  ARATEA RIOS</v>
      </c>
      <c r="G293" s="157"/>
    </row>
    <row r="294" spans="2:7" x14ac:dyDescent="0.25">
      <c r="B294" s="151">
        <f t="shared" si="4"/>
        <v>286</v>
      </c>
      <c r="C294" s="150" t="str">
        <f>IFERROR(VLOOKUP(BDREGISTROMINGA2025[[#This Row],[NROKARDEX]],BDPADRES[],8,FALSE),"Sin registrado")</f>
        <v>ALVAIDA LARA GALVIZ</v>
      </c>
      <c r="G294" s="157"/>
    </row>
    <row r="295" spans="2:7" x14ac:dyDescent="0.25">
      <c r="B295" s="151">
        <f t="shared" si="4"/>
        <v>287</v>
      </c>
      <c r="C295" s="150" t="str">
        <f>IFERROR(VLOOKUP(BDREGISTROMINGA2025[[#This Row],[NROKARDEX]],BDPADRES[],8,FALSE),"Sin registrado")</f>
        <v>AGUSTINA CRUZ MATURANO</v>
      </c>
      <c r="G295" s="157"/>
    </row>
    <row r="296" spans="2:7" x14ac:dyDescent="0.25">
      <c r="B296" s="151">
        <f t="shared" si="4"/>
        <v>288</v>
      </c>
      <c r="C296" s="150" t="str">
        <f>IFERROR(VLOOKUP(BDREGISTROMINGA2025[[#This Row],[NROKARDEX]],BDPADRES[],8,FALSE),"Sin registrado")</f>
        <v>ARMINDA VELA GARCIA</v>
      </c>
      <c r="G296" s="157"/>
    </row>
    <row r="297" spans="2:7" x14ac:dyDescent="0.25">
      <c r="B297" s="151">
        <f t="shared" si="4"/>
        <v>289</v>
      </c>
      <c r="C297" s="150" t="str">
        <f>IFERROR(VLOOKUP(BDREGISTROMINGA2025[[#This Row],[NROKARDEX]],BDPADRES[],8,FALSE),"Sin registrado")</f>
        <v>ADALID ROSLIN VARGAS ACHO</v>
      </c>
      <c r="G297" s="157"/>
    </row>
    <row r="298" spans="2:7" x14ac:dyDescent="0.25">
      <c r="B298" s="151">
        <f t="shared" si="4"/>
        <v>290</v>
      </c>
      <c r="C298" s="150" t="str">
        <f>IFERROR(VLOOKUP(BDREGISTROMINGA2025[[#This Row],[NROKARDEX]],BDPADRES[],8,FALSE),"Sin registrado")</f>
        <v>Sin registrado</v>
      </c>
      <c r="G298" s="157"/>
    </row>
    <row r="299" spans="2:7" x14ac:dyDescent="0.25">
      <c r="B299" s="151">
        <f t="shared" si="4"/>
        <v>291</v>
      </c>
      <c r="C299" s="150" t="str">
        <f>IFERROR(VLOOKUP(BDREGISTROMINGA2025[[#This Row],[NROKARDEX]],BDPADRES[],8,FALSE),"Sin registrado")</f>
        <v>NEISA ARICOMA CORCHADO</v>
      </c>
      <c r="G299" s="157"/>
    </row>
    <row r="300" spans="2:7" x14ac:dyDescent="0.25">
      <c r="B300" s="151">
        <f t="shared" si="4"/>
        <v>292</v>
      </c>
      <c r="C300" s="150" t="str">
        <f>IFERROR(VLOOKUP(BDREGISTROMINGA2025[[#This Row],[NROKARDEX]],BDPADRES[],8,FALSE),"Sin registrado")</f>
        <v>LIDIA  LIMA VARGAS</v>
      </c>
      <c r="G300" s="157"/>
    </row>
    <row r="301" spans="2:7" x14ac:dyDescent="0.25">
      <c r="B301" s="151">
        <f t="shared" si="4"/>
        <v>293</v>
      </c>
      <c r="C301" s="150" t="str">
        <f>IFERROR(VLOOKUP(BDREGISTROMINGA2025[[#This Row],[NROKARDEX]],BDPADRES[],8,FALSE),"Sin registrado")</f>
        <v>CINTHIA ESPONOZA FARELL</v>
      </c>
      <c r="G301" s="157"/>
    </row>
    <row r="302" spans="2:7" x14ac:dyDescent="0.25">
      <c r="B302" s="151">
        <f t="shared" si="4"/>
        <v>294</v>
      </c>
      <c r="C302" s="150" t="str">
        <f>IFERROR(VLOOKUP(BDREGISTROMINGA2025[[#This Row],[NROKARDEX]],BDPADRES[],8,FALSE),"Sin registrado")</f>
        <v>MARIA FATIMA HERRERA REVOLLO</v>
      </c>
      <c r="G302" s="157"/>
    </row>
    <row r="303" spans="2:7" x14ac:dyDescent="0.25">
      <c r="B303" s="151">
        <f t="shared" si="4"/>
        <v>295</v>
      </c>
      <c r="C303" s="150" t="str">
        <f>IFERROR(VLOOKUP(BDREGISTROMINGA2025[[#This Row],[NROKARDEX]],BDPADRES[],8,FALSE),"Sin registrado")</f>
        <v>Sin registrado</v>
      </c>
      <c r="G303" s="157"/>
    </row>
    <row r="304" spans="2:7" x14ac:dyDescent="0.25">
      <c r="B304" s="151">
        <f t="shared" si="4"/>
        <v>296</v>
      </c>
      <c r="C304" s="150" t="str">
        <f>IFERROR(VLOOKUP(BDREGISTROMINGA2025[[#This Row],[NROKARDEX]],BDPADRES[],8,FALSE),"Sin registrado")</f>
        <v>NEYDA YANETH HEREDIA RUBIO</v>
      </c>
      <c r="G304" s="157"/>
    </row>
    <row r="305" spans="2:7" x14ac:dyDescent="0.25">
      <c r="B305" s="151">
        <f t="shared" si="4"/>
        <v>297</v>
      </c>
      <c r="C305" s="150" t="str">
        <f>IFERROR(VLOOKUP(BDREGISTROMINGA2025[[#This Row],[NROKARDEX]],BDPADRES[],8,FALSE),"Sin registrado")</f>
        <v>LILY MANGUTA ARARIYO</v>
      </c>
      <c r="G305" s="157"/>
    </row>
    <row r="306" spans="2:7" x14ac:dyDescent="0.25">
      <c r="B306" s="151">
        <f t="shared" si="4"/>
        <v>298</v>
      </c>
      <c r="C306" s="150" t="str">
        <f>IFERROR(VLOOKUP(BDREGISTROMINGA2025[[#This Row],[NROKARDEX]],BDPADRES[],8,FALSE),"Sin registrado")</f>
        <v>YESMY ALBA FLORES</v>
      </c>
      <c r="G306" s="157"/>
    </row>
    <row r="307" spans="2:7" x14ac:dyDescent="0.25">
      <c r="B307" s="151">
        <f t="shared" si="4"/>
        <v>299</v>
      </c>
      <c r="C307" s="150" t="str">
        <f>IFERROR(VLOOKUP(BDREGISTROMINGA2025[[#This Row],[NROKARDEX]],BDPADRES[],8,FALSE),"Sin registrado")</f>
        <v>CARLA PATRICIA SILES NUÑEZ</v>
      </c>
      <c r="G307" s="157"/>
    </row>
    <row r="308" spans="2:7" x14ac:dyDescent="0.25">
      <c r="B308" s="151">
        <f t="shared" si="4"/>
        <v>300</v>
      </c>
      <c r="C308" s="150" t="str">
        <f>IFERROR(VLOOKUP(BDREGISTROMINGA2025[[#This Row],[NROKARDEX]],BDPADRES[],8,FALSE),"Sin registrado")</f>
        <v>SAIDA QUENTA BARRIENTOS</v>
      </c>
      <c r="G308" s="157"/>
    </row>
    <row r="309" spans="2:7" x14ac:dyDescent="0.25">
      <c r="B309" s="151">
        <f t="shared" si="4"/>
        <v>301</v>
      </c>
      <c r="C309" s="150" t="str">
        <f>IFERROR(VLOOKUP(BDREGISTROMINGA2025[[#This Row],[NROKARDEX]],BDPADRES[],8,FALSE),"Sin registrado")</f>
        <v>VICTORIA BARRIGA VEDIA</v>
      </c>
      <c r="G309" s="157"/>
    </row>
    <row r="310" spans="2:7" x14ac:dyDescent="0.25">
      <c r="B310" s="151">
        <f t="shared" si="4"/>
        <v>302</v>
      </c>
      <c r="C310" s="150" t="str">
        <f>IFERROR(VLOOKUP(BDREGISTROMINGA2025[[#This Row],[NROKARDEX]],BDPADRES[],8,FALSE),"Sin registrado")</f>
        <v>JACKELIN TORREZ ROJAS</v>
      </c>
      <c r="G310" s="157"/>
    </row>
    <row r="311" spans="2:7" x14ac:dyDescent="0.25">
      <c r="B311" s="151">
        <f t="shared" si="4"/>
        <v>303</v>
      </c>
      <c r="C311" s="150" t="str">
        <f>IFERROR(VLOOKUP(BDREGISTROMINGA2025[[#This Row],[NROKARDEX]],BDPADRES[],8,FALSE),"Sin registrado")</f>
        <v>DOLLY SALAZAR</v>
      </c>
      <c r="G311" s="157"/>
    </row>
    <row r="312" spans="2:7" x14ac:dyDescent="0.25">
      <c r="B312" s="151">
        <f t="shared" si="4"/>
        <v>304</v>
      </c>
      <c r="C312" s="150" t="str">
        <f>IFERROR(VLOOKUP(BDREGISTROMINGA2025[[#This Row],[NROKARDEX]],BDPADRES[],8,FALSE),"Sin registrado")</f>
        <v>SUSANA PRADO ASCARRAGA</v>
      </c>
      <c r="G312" s="157"/>
    </row>
    <row r="313" spans="2:7" x14ac:dyDescent="0.25">
      <c r="B313" s="151">
        <f t="shared" si="4"/>
        <v>305</v>
      </c>
      <c r="C313" s="150" t="str">
        <f>IFERROR(VLOOKUP(BDREGISTROMINGA2025[[#This Row],[NROKARDEX]],BDPADRES[],8,FALSE),"Sin registrado")</f>
        <v>Sin registrado</v>
      </c>
      <c r="G313" s="157"/>
    </row>
    <row r="314" spans="2:7" x14ac:dyDescent="0.25">
      <c r="B314" s="151">
        <f t="shared" si="4"/>
        <v>306</v>
      </c>
      <c r="C314" s="150" t="str">
        <f>IFERROR(VLOOKUP(BDREGISTROMINGA2025[[#This Row],[NROKARDEX]],BDPADRES[],8,FALSE),"Sin registrado")</f>
        <v>REBECA COLQUE ROJAS</v>
      </c>
      <c r="G314" s="157"/>
    </row>
    <row r="315" spans="2:7" x14ac:dyDescent="0.25">
      <c r="B315" s="151">
        <f t="shared" si="4"/>
        <v>307</v>
      </c>
      <c r="C315" s="150" t="str">
        <f>IFERROR(VLOOKUP(BDREGISTROMINGA2025[[#This Row],[NROKARDEX]],BDPADRES[],8,FALSE),"Sin registrado")</f>
        <v>MARITZA VALLEJOS AGUILERA</v>
      </c>
      <c r="G315" s="157"/>
    </row>
    <row r="316" spans="2:7" x14ac:dyDescent="0.25">
      <c r="B316" s="151">
        <f t="shared" si="4"/>
        <v>308</v>
      </c>
      <c r="C316" s="150" t="str">
        <f>IFERROR(VLOOKUP(BDREGISTROMINGA2025[[#This Row],[NROKARDEX]],BDPADRES[],8,FALSE),"Sin registrado")</f>
        <v>YOLANDA ALARCON GUZMAN</v>
      </c>
      <c r="G316" s="157"/>
    </row>
    <row r="317" spans="2:7" x14ac:dyDescent="0.25">
      <c r="B317" s="151">
        <f t="shared" si="4"/>
        <v>309</v>
      </c>
      <c r="C317" s="150" t="str">
        <f>IFERROR(VLOOKUP(BDREGISTROMINGA2025[[#This Row],[NROKARDEX]],BDPADRES[],8,FALSE),"Sin registrado")</f>
        <v>ROSA  ESPINOZA LLANOS</v>
      </c>
      <c r="G317" s="157"/>
    </row>
    <row r="318" spans="2:7" x14ac:dyDescent="0.25">
      <c r="B318" s="151">
        <f t="shared" si="4"/>
        <v>310</v>
      </c>
      <c r="C318" s="150" t="str">
        <f>IFERROR(VLOOKUP(BDREGISTROMINGA2025[[#This Row],[NROKARDEX]],BDPADRES[],8,FALSE),"Sin registrado")</f>
        <v>MARTINA VILLCA FLORES</v>
      </c>
      <c r="G318" s="157"/>
    </row>
    <row r="319" spans="2:7" x14ac:dyDescent="0.25">
      <c r="B319" s="151">
        <f t="shared" si="4"/>
        <v>311</v>
      </c>
      <c r="C319" s="150" t="str">
        <f>IFERROR(VLOOKUP(BDREGISTROMINGA2025[[#This Row],[NROKARDEX]],BDPADRES[],8,FALSE),"Sin registrado")</f>
        <v>JUANITA GONZALES BANEGAS</v>
      </c>
      <c r="G319" s="157"/>
    </row>
    <row r="320" spans="2:7" x14ac:dyDescent="0.25">
      <c r="B320" s="151">
        <f t="shared" si="4"/>
        <v>312</v>
      </c>
      <c r="C320" s="150" t="str">
        <f>IFERROR(VLOOKUP(BDREGISTROMINGA2025[[#This Row],[NROKARDEX]],BDPADRES[],8,FALSE),"Sin registrado")</f>
        <v>MARCIANA APAZA FLORES</v>
      </c>
      <c r="G320" s="157"/>
    </row>
    <row r="321" spans="2:7" x14ac:dyDescent="0.25">
      <c r="B321" s="151">
        <f t="shared" si="4"/>
        <v>313</v>
      </c>
      <c r="C321" s="150" t="str">
        <f>IFERROR(VLOOKUP(BDREGISTROMINGA2025[[#This Row],[NROKARDEX]],BDPADRES[],8,FALSE),"Sin registrado")</f>
        <v>YULI MIRANDA PADILLA</v>
      </c>
      <c r="G321" s="157"/>
    </row>
    <row r="322" spans="2:7" x14ac:dyDescent="0.25">
      <c r="B322" s="151">
        <f t="shared" si="4"/>
        <v>314</v>
      </c>
      <c r="C322" s="150" t="str">
        <f>IFERROR(VLOOKUP(BDREGISTROMINGA2025[[#This Row],[NROKARDEX]],BDPADRES[],8,FALSE),"Sin registrado")</f>
        <v>LURDES GUZMAN LEDEZMA</v>
      </c>
      <c r="G322" s="157"/>
    </row>
    <row r="323" spans="2:7" x14ac:dyDescent="0.25">
      <c r="B323" s="151">
        <f t="shared" si="4"/>
        <v>315</v>
      </c>
      <c r="C323" s="150" t="str">
        <f>IFERROR(VLOOKUP(BDREGISTROMINGA2025[[#This Row],[NROKARDEX]],BDPADRES[],8,FALSE),"Sin registrado")</f>
        <v>BEATRIZ ESTRADA BOCANEGRA</v>
      </c>
      <c r="G323" s="157"/>
    </row>
    <row r="324" spans="2:7" x14ac:dyDescent="0.25">
      <c r="B324" s="151">
        <f t="shared" si="4"/>
        <v>316</v>
      </c>
      <c r="C324" s="150" t="str">
        <f>IFERROR(VLOOKUP(BDREGISTROMINGA2025[[#This Row],[NROKARDEX]],BDPADRES[],8,FALSE),"Sin registrado")</f>
        <v>HILARIA CRUZ ROMERO</v>
      </c>
      <c r="G324" s="157"/>
    </row>
    <row r="325" spans="2:7" x14ac:dyDescent="0.25">
      <c r="B325" s="151">
        <f t="shared" si="4"/>
        <v>317</v>
      </c>
      <c r="C325" s="150" t="str">
        <f>IFERROR(VLOOKUP(BDREGISTROMINGA2025[[#This Row],[NROKARDEX]],BDPADRES[],8,FALSE),"Sin registrado")</f>
        <v>Sin registrado</v>
      </c>
      <c r="G325" s="157"/>
    </row>
    <row r="326" spans="2:7" x14ac:dyDescent="0.25">
      <c r="B326" s="151">
        <f t="shared" si="4"/>
        <v>318</v>
      </c>
      <c r="C326" s="150" t="str">
        <f>IFERROR(VLOOKUP(BDREGISTROMINGA2025[[#This Row],[NROKARDEX]],BDPADRES[],8,FALSE),"Sin registrado")</f>
        <v>DIONICIA VASQUEZ HIDALGO</v>
      </c>
      <c r="G326" s="157"/>
    </row>
    <row r="327" spans="2:7" x14ac:dyDescent="0.25">
      <c r="B327" s="151">
        <f t="shared" si="4"/>
        <v>319</v>
      </c>
      <c r="C327" s="150" t="str">
        <f>IFERROR(VLOOKUP(BDREGISTROMINGA2025[[#This Row],[NROKARDEX]],BDPADRES[],8,FALSE),"Sin registrado")</f>
        <v>LUCY   FAREL GUEVARA</v>
      </c>
      <c r="G327" s="157"/>
    </row>
    <row r="328" spans="2:7" x14ac:dyDescent="0.25">
      <c r="B328" s="151">
        <f t="shared" si="4"/>
        <v>320</v>
      </c>
      <c r="C328" s="150" t="str">
        <f>IFERROR(VLOOKUP(BDREGISTROMINGA2025[[#This Row],[NROKARDEX]],BDPADRES[],8,FALSE),"Sin registrado")</f>
        <v>JUANA SORIA MORON</v>
      </c>
      <c r="G328" s="157"/>
    </row>
    <row r="329" spans="2:7" x14ac:dyDescent="0.25">
      <c r="B329" s="151">
        <f t="shared" si="4"/>
        <v>321</v>
      </c>
      <c r="C329" s="150" t="str">
        <f>IFERROR(VLOOKUP(BDREGISTROMINGA2025[[#This Row],[NROKARDEX]],BDPADRES[],8,FALSE),"Sin registrado")</f>
        <v>MARIA VILLARPANDO AVILA</v>
      </c>
      <c r="G329" s="157"/>
    </row>
    <row r="330" spans="2:7" x14ac:dyDescent="0.25">
      <c r="B330" s="151">
        <f t="shared" ref="B330:B393" si="5">ROW(A322)</f>
        <v>322</v>
      </c>
      <c r="C330" s="150" t="str">
        <f>IFERROR(VLOOKUP(BDREGISTROMINGA2025[[#This Row],[NROKARDEX]],BDPADRES[],8,FALSE),"Sin registrado")</f>
        <v>REINA SERRUDO GUERRA</v>
      </c>
      <c r="G330" s="157"/>
    </row>
    <row r="331" spans="2:7" x14ac:dyDescent="0.25">
      <c r="B331" s="151">
        <f t="shared" si="5"/>
        <v>323</v>
      </c>
      <c r="C331" s="150" t="str">
        <f>IFERROR(VLOOKUP(BDREGISTROMINGA2025[[#This Row],[NROKARDEX]],BDPADRES[],8,FALSE),"Sin registrado")</f>
        <v>Sin registrado</v>
      </c>
      <c r="G331" s="157"/>
    </row>
    <row r="332" spans="2:7" x14ac:dyDescent="0.25">
      <c r="B332" s="151">
        <f t="shared" si="5"/>
        <v>324</v>
      </c>
      <c r="C332" s="150" t="str">
        <f>IFERROR(VLOOKUP(BDREGISTROMINGA2025[[#This Row],[NROKARDEX]],BDPADRES[],8,FALSE),"Sin registrado")</f>
        <v>MILDREM ABIGAIL ANCASI ESPINOZA</v>
      </c>
      <c r="G332" s="157"/>
    </row>
    <row r="333" spans="2:7" x14ac:dyDescent="0.25">
      <c r="B333" s="151">
        <f t="shared" si="5"/>
        <v>325</v>
      </c>
      <c r="C333" s="150" t="str">
        <f>IFERROR(VLOOKUP(BDREGISTROMINGA2025[[#This Row],[NROKARDEX]],BDPADRES[],8,FALSE),"Sin registrado")</f>
        <v>VERONICA CHUMACERO MAMANI</v>
      </c>
      <c r="G333" s="157"/>
    </row>
    <row r="334" spans="2:7" x14ac:dyDescent="0.25">
      <c r="B334" s="151">
        <f t="shared" si="5"/>
        <v>326</v>
      </c>
      <c r="C334" s="150" t="str">
        <f>IFERROR(VLOOKUP(BDREGISTROMINGA2025[[#This Row],[NROKARDEX]],BDPADRES[],8,FALSE),"Sin registrado")</f>
        <v>ANGELICA GUDELIA SANDOVAL LOPEZ</v>
      </c>
      <c r="G334" s="157"/>
    </row>
    <row r="335" spans="2:7" x14ac:dyDescent="0.25">
      <c r="B335" s="151">
        <f t="shared" si="5"/>
        <v>327</v>
      </c>
      <c r="C335" s="150" t="str">
        <f>IFERROR(VLOOKUP(BDREGISTROMINGA2025[[#This Row],[NROKARDEX]],BDPADRES[],8,FALSE),"Sin registrado")</f>
        <v>JAQUELIN ROMAN MENCARI</v>
      </c>
      <c r="G335" s="157"/>
    </row>
    <row r="336" spans="2:7" x14ac:dyDescent="0.25">
      <c r="B336" s="151">
        <f t="shared" si="5"/>
        <v>328</v>
      </c>
      <c r="C336" s="150" t="str">
        <f>IFERROR(VLOOKUP(BDREGISTROMINGA2025[[#This Row],[NROKARDEX]],BDPADRES[],8,FALSE),"Sin registrado")</f>
        <v>PEREGRINA VARGAS CUCHALLO</v>
      </c>
      <c r="G336" s="157"/>
    </row>
    <row r="337" spans="2:7" x14ac:dyDescent="0.25">
      <c r="B337" s="151">
        <f t="shared" si="5"/>
        <v>329</v>
      </c>
      <c r="C337" s="150" t="str">
        <f>IFERROR(VLOOKUP(BDREGISTROMINGA2025[[#This Row],[NROKARDEX]],BDPADRES[],8,FALSE),"Sin registrado")</f>
        <v>NORMA ARANCIBIA FIGUEROA</v>
      </c>
      <c r="G337" s="157"/>
    </row>
    <row r="338" spans="2:7" x14ac:dyDescent="0.25">
      <c r="B338" s="151">
        <f t="shared" si="5"/>
        <v>330</v>
      </c>
      <c r="C338" s="150" t="str">
        <f>IFERROR(VLOOKUP(BDREGISTROMINGA2025[[#This Row],[NROKARDEX]],BDPADRES[],8,FALSE),"Sin registrado")</f>
        <v>Sin registrado</v>
      </c>
      <c r="G338" s="157"/>
    </row>
    <row r="339" spans="2:7" x14ac:dyDescent="0.25">
      <c r="B339" s="151">
        <f t="shared" si="5"/>
        <v>331</v>
      </c>
      <c r="C339" s="150" t="str">
        <f>IFERROR(VLOOKUP(BDREGISTROMINGA2025[[#This Row],[NROKARDEX]],BDPADRES[],8,FALSE),"Sin registrado")</f>
        <v>LAURA RIVERA ROSSEL</v>
      </c>
      <c r="G339" s="157"/>
    </row>
    <row r="340" spans="2:7" x14ac:dyDescent="0.25">
      <c r="B340" s="151">
        <f t="shared" si="5"/>
        <v>332</v>
      </c>
      <c r="C340" s="150" t="str">
        <f>IFERROR(VLOOKUP(BDREGISTROMINGA2025[[#This Row],[NROKARDEX]],BDPADRES[],8,FALSE),"Sin registrado")</f>
        <v>INGRID SAAVEDRA MANO</v>
      </c>
      <c r="G340" s="157"/>
    </row>
    <row r="341" spans="2:7" x14ac:dyDescent="0.25">
      <c r="B341" s="151">
        <f t="shared" si="5"/>
        <v>333</v>
      </c>
      <c r="C341" s="150" t="str">
        <f>IFERROR(VLOOKUP(BDREGISTROMINGA2025[[#This Row],[NROKARDEX]],BDPADRES[],8,FALSE),"Sin registrado")</f>
        <v>DOMINGA CABRERA ORTIZ</v>
      </c>
      <c r="G341" s="157"/>
    </row>
    <row r="342" spans="2:7" x14ac:dyDescent="0.25">
      <c r="B342" s="151">
        <f t="shared" si="5"/>
        <v>334</v>
      </c>
      <c r="C342" s="150" t="str">
        <f>IFERROR(VLOOKUP(BDREGISTROMINGA2025[[#This Row],[NROKARDEX]],BDPADRES[],8,FALSE),"Sin registrado")</f>
        <v>MARY LUZ CHAVEZ RODA</v>
      </c>
      <c r="G342" s="157"/>
    </row>
    <row r="343" spans="2:7" x14ac:dyDescent="0.25">
      <c r="B343" s="151">
        <f t="shared" si="5"/>
        <v>335</v>
      </c>
      <c r="C343" s="150" t="str">
        <f>IFERROR(VLOOKUP(BDREGISTROMINGA2025[[#This Row],[NROKARDEX]],BDPADRES[],8,FALSE),"Sin registrado")</f>
        <v>GABRIELA BANUS ESTRADA</v>
      </c>
      <c r="G343" s="157"/>
    </row>
    <row r="344" spans="2:7" x14ac:dyDescent="0.25">
      <c r="B344" s="151">
        <f t="shared" si="5"/>
        <v>336</v>
      </c>
      <c r="C344" s="150" t="str">
        <f>IFERROR(VLOOKUP(BDREGISTROMINGA2025[[#This Row],[NROKARDEX]],BDPADRES[],8,FALSE),"Sin registrado")</f>
        <v>ERNESTINA PADILLA GAMBOA</v>
      </c>
      <c r="G344" s="157"/>
    </row>
    <row r="345" spans="2:7" x14ac:dyDescent="0.25">
      <c r="B345" s="151">
        <f t="shared" si="5"/>
        <v>337</v>
      </c>
      <c r="C345" s="150" t="str">
        <f>IFERROR(VLOOKUP(BDREGISTROMINGA2025[[#This Row],[NROKARDEX]],BDPADRES[],8,FALSE),"Sin registrado")</f>
        <v>RAQUEL MARTINEZ PADILLA</v>
      </c>
      <c r="G345" s="157"/>
    </row>
    <row r="346" spans="2:7" x14ac:dyDescent="0.25">
      <c r="B346" s="151">
        <f t="shared" si="5"/>
        <v>338</v>
      </c>
      <c r="C346" s="150" t="str">
        <f>IFERROR(VLOOKUP(BDREGISTROMINGA2025[[#This Row],[NROKARDEX]],BDPADRES[],8,FALSE),"Sin registrado")</f>
        <v>JUANA BALDERRAMA ROQUE</v>
      </c>
      <c r="G346" s="157"/>
    </row>
    <row r="347" spans="2:7" x14ac:dyDescent="0.25">
      <c r="B347" s="151">
        <f t="shared" si="5"/>
        <v>339</v>
      </c>
      <c r="C347" s="150" t="str">
        <f>IFERROR(VLOOKUP(BDREGISTROMINGA2025[[#This Row],[NROKARDEX]],BDPADRES[],8,FALSE),"Sin registrado")</f>
        <v>CELIDA CESPEDES CARRIAZO</v>
      </c>
      <c r="G347" s="157"/>
    </row>
    <row r="348" spans="2:7" x14ac:dyDescent="0.25">
      <c r="B348" s="151">
        <f t="shared" si="5"/>
        <v>340</v>
      </c>
      <c r="C348" s="150" t="str">
        <f>IFERROR(VLOOKUP(BDREGISTROMINGA2025[[#This Row],[NROKARDEX]],BDPADRES[],8,FALSE),"Sin registrado")</f>
        <v>SILVIA GARCIA RODAS</v>
      </c>
      <c r="G348" s="157"/>
    </row>
    <row r="349" spans="2:7" x14ac:dyDescent="0.25">
      <c r="B349" s="151">
        <f t="shared" si="5"/>
        <v>341</v>
      </c>
      <c r="C349" s="150" t="str">
        <f>IFERROR(VLOOKUP(BDREGISTROMINGA2025[[#This Row],[NROKARDEX]],BDPADRES[],8,FALSE),"Sin registrado")</f>
        <v>VERONICA PINO FLORES</v>
      </c>
      <c r="G349" s="157"/>
    </row>
    <row r="350" spans="2:7" x14ac:dyDescent="0.25">
      <c r="B350" s="151">
        <f t="shared" si="5"/>
        <v>342</v>
      </c>
      <c r="C350" s="150" t="str">
        <f>IFERROR(VLOOKUP(BDREGISTROMINGA2025[[#This Row],[NROKARDEX]],BDPADRES[],8,FALSE),"Sin registrado")</f>
        <v>VALENTINA FLORES VARGAS</v>
      </c>
      <c r="G350" s="157"/>
    </row>
    <row r="351" spans="2:7" x14ac:dyDescent="0.25">
      <c r="B351" s="151">
        <f t="shared" si="5"/>
        <v>343</v>
      </c>
      <c r="C351" s="150" t="str">
        <f>IFERROR(VLOOKUP(BDREGISTROMINGA2025[[#This Row],[NROKARDEX]],BDPADRES[],8,FALSE),"Sin registrado")</f>
        <v>DEYSI SEGARRA VARGAS</v>
      </c>
      <c r="G351" s="157"/>
    </row>
    <row r="352" spans="2:7" x14ac:dyDescent="0.25">
      <c r="B352" s="151">
        <f t="shared" si="5"/>
        <v>344</v>
      </c>
      <c r="C352" s="150" t="str">
        <f>IFERROR(VLOOKUP(BDREGISTROMINGA2025[[#This Row],[NROKARDEX]],BDPADRES[],8,FALSE),"Sin registrado")</f>
        <v>LISBETH MAMANI FIGUEROA</v>
      </c>
      <c r="G352" s="157"/>
    </row>
    <row r="353" spans="2:7" x14ac:dyDescent="0.25">
      <c r="B353" s="151">
        <f t="shared" si="5"/>
        <v>345</v>
      </c>
      <c r="C353" s="150" t="str">
        <f>IFERROR(VLOOKUP(BDREGISTROMINGA2025[[#This Row],[NROKARDEX]],BDPADRES[],8,FALSE),"Sin registrado")</f>
        <v>LUCY MAR TAPIA LARA</v>
      </c>
      <c r="G353" s="157"/>
    </row>
    <row r="354" spans="2:7" x14ac:dyDescent="0.25">
      <c r="B354" s="151">
        <f t="shared" si="5"/>
        <v>346</v>
      </c>
      <c r="C354" s="150" t="str">
        <f>IFERROR(VLOOKUP(BDREGISTROMINGA2025[[#This Row],[NROKARDEX]],BDPADRES[],8,FALSE),"Sin registrado")</f>
        <v>Sin registrado</v>
      </c>
      <c r="G354" s="157"/>
    </row>
    <row r="355" spans="2:7" x14ac:dyDescent="0.25">
      <c r="B355" s="151">
        <f t="shared" si="5"/>
        <v>347</v>
      </c>
      <c r="C355" s="150" t="str">
        <f>IFERROR(VLOOKUP(BDREGISTROMINGA2025[[#This Row],[NROKARDEX]],BDPADRES[],8,FALSE),"Sin registrado")</f>
        <v>CONCEPCION MARINA MAMANI VALLEJOS</v>
      </c>
      <c r="G355" s="157"/>
    </row>
    <row r="356" spans="2:7" x14ac:dyDescent="0.25">
      <c r="B356" s="151">
        <f t="shared" si="5"/>
        <v>348</v>
      </c>
      <c r="C356" s="150" t="str">
        <f>IFERROR(VLOOKUP(BDREGISTROMINGA2025[[#This Row],[NROKARDEX]],BDPADRES[],8,FALSE),"Sin registrado")</f>
        <v>MARY LOURDES COLQUE QUISPE</v>
      </c>
      <c r="G356" s="157"/>
    </row>
    <row r="357" spans="2:7" x14ac:dyDescent="0.25">
      <c r="B357" s="151">
        <f t="shared" si="5"/>
        <v>349</v>
      </c>
      <c r="C357" s="150" t="str">
        <f>IFERROR(VLOOKUP(BDREGISTROMINGA2025[[#This Row],[NROKARDEX]],BDPADRES[],8,FALSE),"Sin registrado")</f>
        <v>VITALIA CONDORI CRISPIN</v>
      </c>
      <c r="G357" s="157"/>
    </row>
    <row r="358" spans="2:7" x14ac:dyDescent="0.25">
      <c r="B358" s="151">
        <f t="shared" si="5"/>
        <v>350</v>
      </c>
      <c r="C358" s="150" t="str">
        <f>IFERROR(VLOOKUP(BDREGISTROMINGA2025[[#This Row],[NROKARDEX]],BDPADRES[],8,FALSE),"Sin registrado")</f>
        <v>JUANA PACHACOPA TARDIO</v>
      </c>
      <c r="G358" s="157"/>
    </row>
    <row r="359" spans="2:7" x14ac:dyDescent="0.25">
      <c r="B359" s="151">
        <f t="shared" si="5"/>
        <v>351</v>
      </c>
      <c r="C359" s="150" t="str">
        <f>IFERROR(VLOOKUP(BDREGISTROMINGA2025[[#This Row],[NROKARDEX]],BDPADRES[],8,FALSE),"Sin registrado")</f>
        <v>ROSMERY MORALES RENTERIA</v>
      </c>
      <c r="G359" s="157"/>
    </row>
    <row r="360" spans="2:7" x14ac:dyDescent="0.25">
      <c r="B360" s="151">
        <f t="shared" si="5"/>
        <v>352</v>
      </c>
      <c r="C360" s="150" t="str">
        <f>IFERROR(VLOOKUP(BDREGISTROMINGA2025[[#This Row],[NROKARDEX]],BDPADRES[],8,FALSE),"Sin registrado")</f>
        <v>FLORA COPA MAMANI</v>
      </c>
      <c r="G360" s="157"/>
    </row>
    <row r="361" spans="2:7" x14ac:dyDescent="0.25">
      <c r="B361" s="151">
        <f t="shared" si="5"/>
        <v>353</v>
      </c>
      <c r="C361" s="150" t="str">
        <f>IFERROR(VLOOKUP(BDREGISTROMINGA2025[[#This Row],[NROKARDEX]],BDPADRES[],8,FALSE),"Sin registrado")</f>
        <v>LORENZA GONZALES SERRANO</v>
      </c>
      <c r="G361" s="157"/>
    </row>
    <row r="362" spans="2:7" x14ac:dyDescent="0.25">
      <c r="B362" s="151">
        <f t="shared" si="5"/>
        <v>354</v>
      </c>
      <c r="C362" s="150" t="str">
        <f>IFERROR(VLOOKUP(BDREGISTROMINGA2025[[#This Row],[NROKARDEX]],BDPADRES[],8,FALSE),"Sin registrado")</f>
        <v>SAVINA LLANOS GUZMAN</v>
      </c>
      <c r="G362" s="157"/>
    </row>
    <row r="363" spans="2:7" x14ac:dyDescent="0.25">
      <c r="B363" s="151">
        <f t="shared" si="5"/>
        <v>355</v>
      </c>
      <c r="C363" s="150" t="str">
        <f>IFERROR(VLOOKUP(BDREGISTROMINGA2025[[#This Row],[NROKARDEX]],BDPADRES[],8,FALSE),"Sin registrado")</f>
        <v>FELICIDAD PUMA ROSAS</v>
      </c>
      <c r="G363" s="157"/>
    </row>
    <row r="364" spans="2:7" x14ac:dyDescent="0.25">
      <c r="B364" s="151">
        <f t="shared" si="5"/>
        <v>356</v>
      </c>
      <c r="C364" s="150" t="str">
        <f>IFERROR(VLOOKUP(BDREGISTROMINGA2025[[#This Row],[NROKARDEX]],BDPADRES[],8,FALSE),"Sin registrado")</f>
        <v>LAURA ARACELY GOMEZ HIDALGO</v>
      </c>
      <c r="G364" s="157"/>
    </row>
    <row r="365" spans="2:7" x14ac:dyDescent="0.25">
      <c r="B365" s="151">
        <f t="shared" si="5"/>
        <v>357</v>
      </c>
      <c r="C365" s="150" t="str">
        <f>IFERROR(VLOOKUP(BDREGISTROMINGA2025[[#This Row],[NROKARDEX]],BDPADRES[],8,FALSE),"Sin registrado")</f>
        <v>Sin registrado</v>
      </c>
      <c r="G365" s="157"/>
    </row>
    <row r="366" spans="2:7" x14ac:dyDescent="0.25">
      <c r="B366" s="151">
        <f t="shared" si="5"/>
        <v>358</v>
      </c>
      <c r="C366" s="150" t="str">
        <f>IFERROR(VLOOKUP(BDREGISTROMINGA2025[[#This Row],[NROKARDEX]],BDPADRES[],8,FALSE),"Sin registrado")</f>
        <v>NELFY RODAS</v>
      </c>
      <c r="G366" s="157"/>
    </row>
    <row r="367" spans="2:7" x14ac:dyDescent="0.25">
      <c r="B367" s="151">
        <f t="shared" si="5"/>
        <v>359</v>
      </c>
      <c r="C367" s="150" t="str">
        <f>IFERROR(VLOOKUP(BDREGISTROMINGA2025[[#This Row],[NROKARDEX]],BDPADRES[],8,FALSE),"Sin registrado")</f>
        <v>Sin registrado</v>
      </c>
      <c r="G367" s="157"/>
    </row>
    <row r="368" spans="2:7" x14ac:dyDescent="0.25">
      <c r="B368" s="151">
        <f t="shared" si="5"/>
        <v>360</v>
      </c>
      <c r="C368" s="150" t="str">
        <f>IFERROR(VLOOKUP(BDREGISTROMINGA2025[[#This Row],[NROKARDEX]],BDPADRES[],8,FALSE),"Sin registrado")</f>
        <v>NOEMY TORRICO DAZA</v>
      </c>
      <c r="G368" s="157"/>
    </row>
    <row r="369" spans="2:7" x14ac:dyDescent="0.25">
      <c r="B369" s="151">
        <f t="shared" si="5"/>
        <v>361</v>
      </c>
      <c r="C369" s="150" t="str">
        <f>IFERROR(VLOOKUP(BDREGISTROMINGA2025[[#This Row],[NROKARDEX]],BDPADRES[],8,FALSE),"Sin registrado")</f>
        <v>Sin registrado</v>
      </c>
      <c r="G369" s="157"/>
    </row>
    <row r="370" spans="2:7" x14ac:dyDescent="0.25">
      <c r="B370" s="151">
        <f t="shared" si="5"/>
        <v>362</v>
      </c>
      <c r="C370" s="150" t="str">
        <f>IFERROR(VLOOKUP(BDREGISTROMINGA2025[[#This Row],[NROKARDEX]],BDPADRES[],8,FALSE),"Sin registrado")</f>
        <v>ROSALIA CONDORI ALANES</v>
      </c>
      <c r="G370" s="157"/>
    </row>
    <row r="371" spans="2:7" x14ac:dyDescent="0.25">
      <c r="B371" s="151">
        <f t="shared" si="5"/>
        <v>363</v>
      </c>
      <c r="C371" s="150" t="str">
        <f>IFERROR(VLOOKUP(BDREGISTROMINGA2025[[#This Row],[NROKARDEX]],BDPADRES[],8,FALSE),"Sin registrado")</f>
        <v>MARGARITA ABALOS</v>
      </c>
      <c r="G371" s="157"/>
    </row>
    <row r="372" spans="2:7" x14ac:dyDescent="0.25">
      <c r="B372" s="151">
        <f t="shared" si="5"/>
        <v>364</v>
      </c>
      <c r="C372" s="150" t="str">
        <f>IFERROR(VLOOKUP(BDREGISTROMINGA2025[[#This Row],[NROKARDEX]],BDPADRES[],8,FALSE),"Sin registrado")</f>
        <v>BENITA CUBA ROMERO</v>
      </c>
      <c r="G372" s="157"/>
    </row>
    <row r="373" spans="2:7" x14ac:dyDescent="0.25">
      <c r="B373" s="151">
        <f t="shared" si="5"/>
        <v>365</v>
      </c>
      <c r="C373" s="150" t="str">
        <f>IFERROR(VLOOKUP(BDREGISTROMINGA2025[[#This Row],[NROKARDEX]],BDPADRES[],8,FALSE),"Sin registrado")</f>
        <v>ROXANA RENGIPO ZAPATA</v>
      </c>
      <c r="G373" s="157"/>
    </row>
    <row r="374" spans="2:7" x14ac:dyDescent="0.25">
      <c r="B374" s="151">
        <f t="shared" si="5"/>
        <v>366</v>
      </c>
      <c r="C374" s="150" t="str">
        <f>IFERROR(VLOOKUP(BDREGISTROMINGA2025[[#This Row],[NROKARDEX]],BDPADRES[],8,FALSE),"Sin registrado")</f>
        <v>YAQUELIN CARRISALES GUTIERRES</v>
      </c>
      <c r="G374" s="157"/>
    </row>
    <row r="375" spans="2:7" x14ac:dyDescent="0.25">
      <c r="B375" s="151">
        <f t="shared" si="5"/>
        <v>367</v>
      </c>
      <c r="C375" s="150" t="str">
        <f>IFERROR(VLOOKUP(BDREGISTROMINGA2025[[#This Row],[NROKARDEX]],BDPADRES[],8,FALSE),"Sin registrado")</f>
        <v>CRISTINA  DIAZ ALVAREZ</v>
      </c>
      <c r="G375" s="157"/>
    </row>
    <row r="376" spans="2:7" x14ac:dyDescent="0.25">
      <c r="B376" s="151">
        <f t="shared" si="5"/>
        <v>368</v>
      </c>
      <c r="C376" s="150" t="str">
        <f>IFERROR(VLOOKUP(BDREGISTROMINGA2025[[#This Row],[NROKARDEX]],BDPADRES[],8,FALSE),"Sin registrado")</f>
        <v>SULMA TERESA COLQUE MIRANDA</v>
      </c>
      <c r="G376" s="157"/>
    </row>
    <row r="377" spans="2:7" x14ac:dyDescent="0.25">
      <c r="B377" s="151">
        <f t="shared" si="5"/>
        <v>369</v>
      </c>
      <c r="C377" s="150" t="str">
        <f>IFERROR(VLOOKUP(BDREGISTROMINGA2025[[#This Row],[NROKARDEX]],BDPADRES[],8,FALSE),"Sin registrado")</f>
        <v>ISABEL CRUZ BAUTISTA</v>
      </c>
      <c r="G377" s="157"/>
    </row>
    <row r="378" spans="2:7" x14ac:dyDescent="0.25">
      <c r="B378" s="151">
        <f t="shared" si="5"/>
        <v>370</v>
      </c>
      <c r="C378" s="150" t="str">
        <f>IFERROR(VLOOKUP(BDREGISTROMINGA2025[[#This Row],[NROKARDEX]],BDPADRES[],8,FALSE),"Sin registrado")</f>
        <v>MELVY EUGENIA SARACHO VILLAGOMEZ</v>
      </c>
      <c r="G378" s="157"/>
    </row>
    <row r="379" spans="2:7" x14ac:dyDescent="0.25">
      <c r="B379" s="151">
        <f t="shared" si="5"/>
        <v>371</v>
      </c>
      <c r="C379" s="150" t="str">
        <f>IFERROR(VLOOKUP(BDREGISTROMINGA2025[[#This Row],[NROKARDEX]],BDPADRES[],8,FALSE),"Sin registrado")</f>
        <v>Sin registrado</v>
      </c>
      <c r="G379" s="157"/>
    </row>
    <row r="380" spans="2:7" x14ac:dyDescent="0.25">
      <c r="B380" s="151">
        <f t="shared" si="5"/>
        <v>372</v>
      </c>
      <c r="C380" s="150" t="str">
        <f>IFERROR(VLOOKUP(BDREGISTROMINGA2025[[#This Row],[NROKARDEX]],BDPADRES[],8,FALSE),"Sin registrado")</f>
        <v>SANDRA ANDRADE ROBLES</v>
      </c>
      <c r="G380" s="157"/>
    </row>
    <row r="381" spans="2:7" x14ac:dyDescent="0.25">
      <c r="B381" s="151">
        <f t="shared" si="5"/>
        <v>373</v>
      </c>
      <c r="C381" s="150" t="str">
        <f>IFERROR(VLOOKUP(BDREGISTROMINGA2025[[#This Row],[NROKARDEX]],BDPADRES[],8,FALSE),"Sin registrado")</f>
        <v>NANCY MOJICA GONZALES</v>
      </c>
      <c r="G381" s="157"/>
    </row>
    <row r="382" spans="2:7" x14ac:dyDescent="0.25">
      <c r="B382" s="151">
        <f t="shared" si="5"/>
        <v>374</v>
      </c>
      <c r="C382" s="150" t="str">
        <f>IFERROR(VLOOKUP(BDREGISTROMINGA2025[[#This Row],[NROKARDEX]],BDPADRES[],8,FALSE),"Sin registrado")</f>
        <v>FILOMENA CABRERA PANOZO</v>
      </c>
      <c r="G382" s="157"/>
    </row>
    <row r="383" spans="2:7" x14ac:dyDescent="0.25">
      <c r="B383" s="151">
        <f t="shared" si="5"/>
        <v>375</v>
      </c>
      <c r="C383" s="150" t="str">
        <f>IFERROR(VLOOKUP(BDREGISTROMINGA2025[[#This Row],[NROKARDEX]],BDPADRES[],8,FALSE),"Sin registrado")</f>
        <v>Sin registrado</v>
      </c>
      <c r="G383" s="157"/>
    </row>
    <row r="384" spans="2:7" x14ac:dyDescent="0.25">
      <c r="B384" s="151">
        <f t="shared" si="5"/>
        <v>376</v>
      </c>
      <c r="C384" s="150" t="str">
        <f>IFERROR(VLOOKUP(BDREGISTROMINGA2025[[#This Row],[NROKARDEX]],BDPADRES[],8,FALSE),"Sin registrado")</f>
        <v>ISILDA ASILLO MAMANI</v>
      </c>
      <c r="G384" s="157"/>
    </row>
    <row r="385" spans="2:7" x14ac:dyDescent="0.25">
      <c r="B385" s="151">
        <f t="shared" si="5"/>
        <v>377</v>
      </c>
      <c r="C385" s="150" t="str">
        <f>IFERROR(VLOOKUP(BDREGISTROMINGA2025[[#This Row],[NROKARDEX]],BDPADRES[],8,FALSE),"Sin registrado")</f>
        <v>FELICIDAD MAMANI DE FLORES</v>
      </c>
      <c r="G385" s="157"/>
    </row>
    <row r="386" spans="2:7" x14ac:dyDescent="0.25">
      <c r="B386" s="151">
        <f t="shared" si="5"/>
        <v>378</v>
      </c>
      <c r="C386" s="150" t="str">
        <f>IFERROR(VLOOKUP(BDREGISTROMINGA2025[[#This Row],[NROKARDEX]],BDPADRES[],8,FALSE),"Sin registrado")</f>
        <v>OLGA ROQUE TARAÑA</v>
      </c>
      <c r="G386" s="157"/>
    </row>
    <row r="387" spans="2:7" x14ac:dyDescent="0.25">
      <c r="B387" s="151">
        <f t="shared" si="5"/>
        <v>379</v>
      </c>
      <c r="C387" s="150" t="str">
        <f>IFERROR(VLOOKUP(BDREGISTROMINGA2025[[#This Row],[NROKARDEX]],BDPADRES[],8,FALSE),"Sin registrado")</f>
        <v>MARLENY VALVERDE CHOQUE</v>
      </c>
      <c r="G387" s="157"/>
    </row>
    <row r="388" spans="2:7" x14ac:dyDescent="0.25">
      <c r="B388" s="151">
        <f t="shared" si="5"/>
        <v>380</v>
      </c>
      <c r="C388" s="150" t="str">
        <f>IFERROR(VLOOKUP(BDREGISTROMINGA2025[[#This Row],[NROKARDEX]],BDPADRES[],8,FALSE),"Sin registrado")</f>
        <v>GUEDY MARTINEZ ROMERO</v>
      </c>
      <c r="G388" s="157"/>
    </row>
    <row r="389" spans="2:7" x14ac:dyDescent="0.25">
      <c r="B389" s="151">
        <f t="shared" si="5"/>
        <v>381</v>
      </c>
      <c r="C389" s="150" t="str">
        <f>IFERROR(VLOOKUP(BDREGISTROMINGA2025[[#This Row],[NROKARDEX]],BDPADRES[],8,FALSE),"Sin registrado")</f>
        <v>Sin registrado</v>
      </c>
      <c r="G389" s="157"/>
    </row>
    <row r="390" spans="2:7" x14ac:dyDescent="0.25">
      <c r="B390" s="151">
        <f t="shared" si="5"/>
        <v>382</v>
      </c>
      <c r="C390" s="150" t="str">
        <f>IFERROR(VLOOKUP(BDREGISTROMINGA2025[[#This Row],[NROKARDEX]],BDPADRES[],8,FALSE),"Sin registrado")</f>
        <v>FANNY MARTINEZ AGUANTA</v>
      </c>
      <c r="G390" s="157"/>
    </row>
    <row r="391" spans="2:7" x14ac:dyDescent="0.25">
      <c r="B391" s="151">
        <f t="shared" si="5"/>
        <v>383</v>
      </c>
      <c r="C391" s="150" t="str">
        <f>IFERROR(VLOOKUP(BDREGISTROMINGA2025[[#This Row],[NROKARDEX]],BDPADRES[],8,FALSE),"Sin registrado")</f>
        <v>FRANCISCA  FIGUEROA LOAIZA</v>
      </c>
      <c r="G391" s="157"/>
    </row>
    <row r="392" spans="2:7" x14ac:dyDescent="0.25">
      <c r="B392" s="151">
        <f t="shared" si="5"/>
        <v>384</v>
      </c>
      <c r="C392" s="150" t="str">
        <f>IFERROR(VLOOKUP(BDREGISTROMINGA2025[[#This Row],[NROKARDEX]],BDPADRES[],8,FALSE),"Sin registrado")</f>
        <v>ARACELY RODRIGUEZ HURTADO</v>
      </c>
      <c r="G392" s="157"/>
    </row>
    <row r="393" spans="2:7" x14ac:dyDescent="0.25">
      <c r="B393" s="151">
        <f t="shared" si="5"/>
        <v>385</v>
      </c>
      <c r="C393" s="150" t="str">
        <f>IFERROR(VLOOKUP(BDREGISTROMINGA2025[[#This Row],[NROKARDEX]],BDPADRES[],8,FALSE),"Sin registrado")</f>
        <v>EMI LENI MONTAÑO CARDENAS</v>
      </c>
      <c r="G393" s="157"/>
    </row>
    <row r="394" spans="2:7" x14ac:dyDescent="0.25">
      <c r="B394" s="151">
        <f t="shared" ref="B394:B457" si="6">ROW(A386)</f>
        <v>386</v>
      </c>
      <c r="C394" s="150" t="str">
        <f>IFERROR(VLOOKUP(BDREGISTROMINGA2025[[#This Row],[NROKARDEX]],BDPADRES[],8,FALSE),"Sin registrado")</f>
        <v>FLORA GARCIA GOMEZ</v>
      </c>
      <c r="G394" s="157"/>
    </row>
    <row r="395" spans="2:7" x14ac:dyDescent="0.25">
      <c r="B395" s="151">
        <f t="shared" si="6"/>
        <v>387</v>
      </c>
      <c r="C395" s="150" t="str">
        <f>IFERROR(VLOOKUP(BDREGISTROMINGA2025[[#This Row],[NROKARDEX]],BDPADRES[],8,FALSE),"Sin registrado")</f>
        <v xml:space="preserve">SIN NOMBRE LLANOS  </v>
      </c>
      <c r="G395" s="157"/>
    </row>
    <row r="396" spans="2:7" x14ac:dyDescent="0.25">
      <c r="B396" s="151">
        <f t="shared" si="6"/>
        <v>388</v>
      </c>
      <c r="C396" s="150" t="str">
        <f>IFERROR(VLOOKUP(BDREGISTROMINGA2025[[#This Row],[NROKARDEX]],BDPADRES[],8,FALSE),"Sin registrado")</f>
        <v>ANGELICA CUELLAR MENDOZA</v>
      </c>
      <c r="G396" s="157"/>
    </row>
    <row r="397" spans="2:7" x14ac:dyDescent="0.25">
      <c r="B397" s="151">
        <f t="shared" si="6"/>
        <v>389</v>
      </c>
      <c r="C397" s="150" t="str">
        <f>IFERROR(VLOOKUP(BDREGISTROMINGA2025[[#This Row],[NROKARDEX]],BDPADRES[],8,FALSE),"Sin registrado")</f>
        <v>ELVA FLORES POLANCO</v>
      </c>
      <c r="G397" s="157"/>
    </row>
    <row r="398" spans="2:7" x14ac:dyDescent="0.25">
      <c r="B398" s="151">
        <f t="shared" si="6"/>
        <v>390</v>
      </c>
      <c r="C398" s="150" t="str">
        <f>IFERROR(VLOOKUP(BDREGISTROMINGA2025[[#This Row],[NROKARDEX]],BDPADRES[],8,FALSE),"Sin registrado")</f>
        <v>MARIA RODRIGUEZ CORTEZ</v>
      </c>
      <c r="G398" s="157"/>
    </row>
    <row r="399" spans="2:7" x14ac:dyDescent="0.25">
      <c r="B399" s="151">
        <f t="shared" si="6"/>
        <v>391</v>
      </c>
      <c r="C399" s="150" t="str">
        <f>IFERROR(VLOOKUP(BDREGISTROMINGA2025[[#This Row],[NROKARDEX]],BDPADRES[],8,FALSE),"Sin registrado")</f>
        <v>LEISY AGUADO CORTEZ</v>
      </c>
      <c r="G399" s="157"/>
    </row>
    <row r="400" spans="2:7" x14ac:dyDescent="0.25">
      <c r="B400" s="151">
        <f t="shared" si="6"/>
        <v>392</v>
      </c>
      <c r="C400" s="150" t="str">
        <f>IFERROR(VLOOKUP(BDREGISTROMINGA2025[[#This Row],[NROKARDEX]],BDPADRES[],8,FALSE),"Sin registrado")</f>
        <v>IRENIA RODRIGUEZ CORTEZ</v>
      </c>
      <c r="G400" s="157"/>
    </row>
    <row r="401" spans="2:7" x14ac:dyDescent="0.25">
      <c r="B401" s="151">
        <f t="shared" si="6"/>
        <v>393</v>
      </c>
      <c r="C401" s="150" t="str">
        <f>IFERROR(VLOOKUP(BDREGISTROMINGA2025[[#This Row],[NROKARDEX]],BDPADRES[],8,FALSE),"Sin registrado")</f>
        <v>AVIGAIL ELEYDE CIFUENTES</v>
      </c>
      <c r="G401" s="157"/>
    </row>
    <row r="402" spans="2:7" x14ac:dyDescent="0.25">
      <c r="B402" s="151">
        <f t="shared" si="6"/>
        <v>394</v>
      </c>
      <c r="C402" s="150" t="str">
        <f>IFERROR(VLOOKUP(BDREGISTROMINGA2025[[#This Row],[NROKARDEX]],BDPADRES[],8,FALSE),"Sin registrado")</f>
        <v>NILCA LEAÑO VERGARA</v>
      </c>
      <c r="G402" s="157"/>
    </row>
    <row r="403" spans="2:7" x14ac:dyDescent="0.25">
      <c r="B403" s="151">
        <f t="shared" si="6"/>
        <v>395</v>
      </c>
      <c r="C403" s="150" t="str">
        <f>IFERROR(VLOOKUP(BDREGISTROMINGA2025[[#This Row],[NROKARDEX]],BDPADRES[],8,FALSE),"Sin registrado")</f>
        <v>KARLA MICHELLE MENACHO MELGAR</v>
      </c>
      <c r="G403" s="157"/>
    </row>
    <row r="404" spans="2:7" x14ac:dyDescent="0.25">
      <c r="B404" s="151">
        <f t="shared" si="6"/>
        <v>396</v>
      </c>
      <c r="C404" s="150" t="str">
        <f>IFERROR(VLOOKUP(BDREGISTROMINGA2025[[#This Row],[NROKARDEX]],BDPADRES[],8,FALSE),"Sin registrado")</f>
        <v>ERLINDA MARTINEZ CRUZ</v>
      </c>
      <c r="G404" s="157"/>
    </row>
    <row r="405" spans="2:7" x14ac:dyDescent="0.25">
      <c r="B405" s="151">
        <f t="shared" si="6"/>
        <v>397</v>
      </c>
      <c r="C405" s="150" t="str">
        <f>IFERROR(VLOOKUP(BDREGISTROMINGA2025[[#This Row],[NROKARDEX]],BDPADRES[],8,FALSE),"Sin registrado")</f>
        <v xml:space="preserve">ZONIA VEDIA   </v>
      </c>
      <c r="G405" s="157"/>
    </row>
    <row r="406" spans="2:7" x14ac:dyDescent="0.25">
      <c r="B406" s="151">
        <f t="shared" si="6"/>
        <v>398</v>
      </c>
      <c r="C406" s="150" t="str">
        <f>IFERROR(VLOOKUP(BDREGISTROMINGA2025[[#This Row],[NROKARDEX]],BDPADRES[],8,FALSE),"Sin registrado")</f>
        <v>EULALIA  CORREA ZORAIDE</v>
      </c>
      <c r="G406" s="157"/>
    </row>
    <row r="407" spans="2:7" x14ac:dyDescent="0.25">
      <c r="B407" s="151">
        <f t="shared" si="6"/>
        <v>399</v>
      </c>
      <c r="C407" s="150" t="str">
        <f>IFERROR(VLOOKUP(BDREGISTROMINGA2025[[#This Row],[NROKARDEX]],BDPADRES[],8,FALSE),"Sin registrado")</f>
        <v>DELMA RAMIREZ PEREZ</v>
      </c>
      <c r="G407" s="157"/>
    </row>
    <row r="408" spans="2:7" x14ac:dyDescent="0.25">
      <c r="B408" s="151">
        <f t="shared" si="6"/>
        <v>400</v>
      </c>
      <c r="C408" s="150" t="str">
        <f>IFERROR(VLOOKUP(BDREGISTROMINGA2025[[#This Row],[NROKARDEX]],BDPADRES[],8,FALSE),"Sin registrado")</f>
        <v>VERONICA FERNANDEZ SANTILLAN</v>
      </c>
      <c r="G408" s="157"/>
    </row>
    <row r="409" spans="2:7" x14ac:dyDescent="0.25">
      <c r="B409" s="151">
        <f t="shared" si="6"/>
        <v>401</v>
      </c>
      <c r="C409" s="150" t="str">
        <f>IFERROR(VLOOKUP(BDREGISTROMINGA2025[[#This Row],[NROKARDEX]],BDPADRES[],8,FALSE),"Sin registrado")</f>
        <v>MIRIAM FUENTES HEREDIA</v>
      </c>
      <c r="G409" s="157"/>
    </row>
    <row r="410" spans="2:7" x14ac:dyDescent="0.25">
      <c r="B410" s="151">
        <f t="shared" si="6"/>
        <v>402</v>
      </c>
      <c r="C410" s="150" t="str">
        <f>IFERROR(VLOOKUP(BDREGISTROMINGA2025[[#This Row],[NROKARDEX]],BDPADRES[],8,FALSE),"Sin registrado")</f>
        <v>ERLINDA VARON ARANCIBIA</v>
      </c>
      <c r="G410" s="157"/>
    </row>
    <row r="411" spans="2:7" x14ac:dyDescent="0.25">
      <c r="B411" s="151">
        <f t="shared" si="6"/>
        <v>403</v>
      </c>
      <c r="C411" s="150" t="str">
        <f>IFERROR(VLOOKUP(BDREGISTROMINGA2025[[#This Row],[NROKARDEX]],BDPADRES[],8,FALSE),"Sin registrado")</f>
        <v>ANGELICA GARCIA MOSTACEDO</v>
      </c>
      <c r="G411" s="157"/>
    </row>
    <row r="412" spans="2:7" x14ac:dyDescent="0.25">
      <c r="B412" s="151">
        <f t="shared" si="6"/>
        <v>404</v>
      </c>
      <c r="C412" s="150" t="str">
        <f>IFERROR(VLOOKUP(BDREGISTROMINGA2025[[#This Row],[NROKARDEX]],BDPADRES[],8,FALSE),"Sin registrado")</f>
        <v>TANIA ANDREINA BURGOS ROBLES</v>
      </c>
      <c r="G412" s="157"/>
    </row>
    <row r="413" spans="2:7" x14ac:dyDescent="0.25">
      <c r="B413" s="151">
        <f t="shared" si="6"/>
        <v>405</v>
      </c>
      <c r="C413" s="150" t="str">
        <f>IFERROR(VLOOKUP(BDREGISTROMINGA2025[[#This Row],[NROKARDEX]],BDPADRES[],8,FALSE),"Sin registrado")</f>
        <v>YOUSELIN CRUZ LEAÑOS</v>
      </c>
      <c r="G413" s="157"/>
    </row>
    <row r="414" spans="2:7" x14ac:dyDescent="0.25">
      <c r="B414" s="151">
        <f t="shared" si="6"/>
        <v>406</v>
      </c>
      <c r="C414" s="150" t="str">
        <f>IFERROR(VLOOKUP(BDREGISTROMINGA2025[[#This Row],[NROKARDEX]],BDPADRES[],8,FALSE),"Sin registrado")</f>
        <v>ERLINDA PALENQUE BARRIGA</v>
      </c>
      <c r="G414" s="157"/>
    </row>
    <row r="415" spans="2:7" x14ac:dyDescent="0.25">
      <c r="B415" s="151">
        <f t="shared" si="6"/>
        <v>407</v>
      </c>
      <c r="C415" s="150" t="str">
        <f>IFERROR(VLOOKUP(BDREGISTROMINGA2025[[#This Row],[NROKARDEX]],BDPADRES[],8,FALSE),"Sin registrado")</f>
        <v>MARY LUZ CUCHALLO DURAN</v>
      </c>
      <c r="G415" s="157"/>
    </row>
    <row r="416" spans="2:7" x14ac:dyDescent="0.25">
      <c r="B416" s="151">
        <f t="shared" si="6"/>
        <v>408</v>
      </c>
      <c r="C416" s="150" t="str">
        <f>IFERROR(VLOOKUP(BDREGISTROMINGA2025[[#This Row],[NROKARDEX]],BDPADRES[],8,FALSE),"Sin registrado")</f>
        <v>RUBILINDA MORON CONTRERAS</v>
      </c>
      <c r="G416" s="157"/>
    </row>
    <row r="417" spans="2:7" x14ac:dyDescent="0.25">
      <c r="B417" s="151">
        <f t="shared" si="6"/>
        <v>409</v>
      </c>
      <c r="C417" s="150" t="str">
        <f>IFERROR(VLOOKUP(BDREGISTROMINGA2025[[#This Row],[NROKARDEX]],BDPADRES[],8,FALSE),"Sin registrado")</f>
        <v>TERESA FLORES CRUZ</v>
      </c>
      <c r="G417" s="157"/>
    </row>
    <row r="418" spans="2:7" x14ac:dyDescent="0.25">
      <c r="B418" s="151">
        <f t="shared" si="6"/>
        <v>410</v>
      </c>
      <c r="C418" s="150" t="str">
        <f>IFERROR(VLOOKUP(BDREGISTROMINGA2025[[#This Row],[NROKARDEX]],BDPADRES[],8,FALSE),"Sin registrado")</f>
        <v>RITA GONZALES FLORES</v>
      </c>
      <c r="G418" s="157"/>
    </row>
    <row r="419" spans="2:7" x14ac:dyDescent="0.25">
      <c r="B419" s="151">
        <f t="shared" si="6"/>
        <v>411</v>
      </c>
      <c r="C419" s="150" t="str">
        <f>IFERROR(VLOOKUP(BDREGISTROMINGA2025[[#This Row],[NROKARDEX]],BDPADRES[],8,FALSE),"Sin registrado")</f>
        <v>EDUVID OSINAGA NOVA</v>
      </c>
      <c r="G419" s="157"/>
    </row>
    <row r="420" spans="2:7" x14ac:dyDescent="0.25">
      <c r="B420" s="151">
        <f t="shared" si="6"/>
        <v>412</v>
      </c>
      <c r="C420" s="150" t="str">
        <f>IFERROR(VLOOKUP(BDREGISTROMINGA2025[[#This Row],[NROKARDEX]],BDPADRES[],8,FALSE),"Sin registrado")</f>
        <v>SANDRA JUANA FERNANDEZ CESPEDES</v>
      </c>
      <c r="G420" s="157"/>
    </row>
    <row r="421" spans="2:7" x14ac:dyDescent="0.25">
      <c r="B421" s="151">
        <f t="shared" si="6"/>
        <v>413</v>
      </c>
      <c r="C421" s="150" t="str">
        <f>IFERROR(VLOOKUP(BDREGISTROMINGA2025[[#This Row],[NROKARDEX]],BDPADRES[],8,FALSE),"Sin registrado")</f>
        <v>MARIA YANINE PRADO</v>
      </c>
      <c r="G421" s="157"/>
    </row>
    <row r="422" spans="2:7" x14ac:dyDescent="0.25">
      <c r="B422" s="151">
        <f t="shared" si="6"/>
        <v>414</v>
      </c>
      <c r="C422" s="150" t="str">
        <f>IFERROR(VLOOKUP(BDREGISTROMINGA2025[[#This Row],[NROKARDEX]],BDPADRES[],8,FALSE),"Sin registrado")</f>
        <v>MARIA NELA BARROZO ANGULO</v>
      </c>
      <c r="G422" s="157"/>
    </row>
    <row r="423" spans="2:7" x14ac:dyDescent="0.25">
      <c r="B423" s="151">
        <f t="shared" si="6"/>
        <v>415</v>
      </c>
      <c r="C423" s="150" t="str">
        <f>IFERROR(VLOOKUP(BDREGISTROMINGA2025[[#This Row],[NROKARDEX]],BDPADRES[],8,FALSE),"Sin registrado")</f>
        <v>CLAUDIA RAMIREZ CHOQUE</v>
      </c>
      <c r="G423" s="157"/>
    </row>
    <row r="424" spans="2:7" x14ac:dyDescent="0.25">
      <c r="B424" s="151">
        <f t="shared" si="6"/>
        <v>416</v>
      </c>
      <c r="C424" s="150" t="str">
        <f>IFERROR(VLOOKUP(BDREGISTROMINGA2025[[#This Row],[NROKARDEX]],BDPADRES[],8,FALSE),"Sin registrado")</f>
        <v>PAULITA ORTIZ MENDEZ</v>
      </c>
      <c r="G424" s="157"/>
    </row>
    <row r="425" spans="2:7" x14ac:dyDescent="0.25">
      <c r="B425" s="151">
        <f t="shared" si="6"/>
        <v>417</v>
      </c>
      <c r="C425" s="150" t="str">
        <f>IFERROR(VLOOKUP(BDREGISTROMINGA2025[[#This Row],[NROKARDEX]],BDPADRES[],8,FALSE),"Sin registrado")</f>
        <v>MARIA MAGDALENA FERNANDEZ ROJAS</v>
      </c>
      <c r="G425" s="157"/>
    </row>
    <row r="426" spans="2:7" x14ac:dyDescent="0.25">
      <c r="B426" s="151">
        <f t="shared" si="6"/>
        <v>418</v>
      </c>
      <c r="C426" s="150" t="str">
        <f>IFERROR(VLOOKUP(BDREGISTROMINGA2025[[#This Row],[NROKARDEX]],BDPADRES[],8,FALSE),"Sin registrado")</f>
        <v>TANIA MARCELA DELGADILLO RAMOS</v>
      </c>
      <c r="G426" s="157"/>
    </row>
    <row r="427" spans="2:7" x14ac:dyDescent="0.25">
      <c r="B427" s="151">
        <f t="shared" si="6"/>
        <v>419</v>
      </c>
      <c r="C427" s="150" t="str">
        <f>IFERROR(VLOOKUP(BDREGISTROMINGA2025[[#This Row],[NROKARDEX]],BDPADRES[],8,FALSE),"Sin registrado")</f>
        <v>CAROLITA GUZMAN GUZMAN</v>
      </c>
      <c r="G427" s="157"/>
    </row>
    <row r="428" spans="2:7" x14ac:dyDescent="0.25">
      <c r="B428" s="151">
        <f t="shared" si="6"/>
        <v>420</v>
      </c>
      <c r="C428" s="150" t="str">
        <f>IFERROR(VLOOKUP(BDREGISTROMINGA2025[[#This Row],[NROKARDEX]],BDPADRES[],8,FALSE),"Sin registrado")</f>
        <v>YULEIDY FERNANDEZ OSINAGA</v>
      </c>
      <c r="G428" s="157"/>
    </row>
    <row r="429" spans="2:7" x14ac:dyDescent="0.25">
      <c r="B429" s="151">
        <f t="shared" si="6"/>
        <v>421</v>
      </c>
      <c r="C429" s="150" t="str">
        <f>IFERROR(VLOOKUP(BDREGISTROMINGA2025[[#This Row],[NROKARDEX]],BDPADRES[],8,FALSE),"Sin registrado")</f>
        <v>NELIDA MARTINEZ PEREZ</v>
      </c>
      <c r="G429" s="157"/>
    </row>
    <row r="430" spans="2:7" x14ac:dyDescent="0.25">
      <c r="B430" s="151">
        <f t="shared" si="6"/>
        <v>422</v>
      </c>
      <c r="C430" s="150" t="str">
        <f>IFERROR(VLOOKUP(BDREGISTROMINGA2025[[#This Row],[NROKARDEX]],BDPADRES[],8,FALSE),"Sin registrado")</f>
        <v>ELFY MORALES MOSCOSO</v>
      </c>
      <c r="G430" s="157"/>
    </row>
    <row r="431" spans="2:7" x14ac:dyDescent="0.25">
      <c r="B431" s="151">
        <f t="shared" si="6"/>
        <v>423</v>
      </c>
      <c r="C431" s="150" t="str">
        <f>IFERROR(VLOOKUP(BDREGISTROMINGA2025[[#This Row],[NROKARDEX]],BDPADRES[],8,FALSE),"Sin registrado")</f>
        <v>SILVIA  CHOQUE ESPINOZA</v>
      </c>
      <c r="G431" s="157"/>
    </row>
    <row r="432" spans="2:7" x14ac:dyDescent="0.25">
      <c r="B432" s="151">
        <f t="shared" si="6"/>
        <v>424</v>
      </c>
      <c r="C432" s="150" t="str">
        <f>IFERROR(VLOOKUP(BDREGISTROMINGA2025[[#This Row],[NROKARDEX]],BDPADRES[],8,FALSE),"Sin registrado")</f>
        <v>Sin registrado</v>
      </c>
      <c r="G432" s="157"/>
    </row>
    <row r="433" spans="2:7" x14ac:dyDescent="0.25">
      <c r="B433" s="151">
        <f t="shared" si="6"/>
        <v>425</v>
      </c>
      <c r="C433" s="150" t="str">
        <f>IFERROR(VLOOKUP(BDREGISTROMINGA2025[[#This Row],[NROKARDEX]],BDPADRES[],8,FALSE),"Sin registrado")</f>
        <v>ALICIA MAMANI GARCIA</v>
      </c>
      <c r="G433" s="157"/>
    </row>
    <row r="434" spans="2:7" x14ac:dyDescent="0.25">
      <c r="B434" s="151">
        <f t="shared" si="6"/>
        <v>426</v>
      </c>
      <c r="C434" s="150" t="str">
        <f>IFERROR(VLOOKUP(BDREGISTROMINGA2025[[#This Row],[NROKARDEX]],BDPADRES[],8,FALSE),"Sin registrado")</f>
        <v>ELIANA CONDORI QUISPE</v>
      </c>
      <c r="G434" s="157"/>
    </row>
    <row r="435" spans="2:7" x14ac:dyDescent="0.25">
      <c r="B435" s="151">
        <f t="shared" si="6"/>
        <v>427</v>
      </c>
      <c r="C435" s="150" t="str">
        <f>IFERROR(VLOOKUP(BDREGISTROMINGA2025[[#This Row],[NROKARDEX]],BDPADRES[],8,FALSE),"Sin registrado")</f>
        <v>Sin registrado</v>
      </c>
      <c r="G435" s="157"/>
    </row>
    <row r="436" spans="2:7" x14ac:dyDescent="0.25">
      <c r="B436" s="151">
        <f t="shared" si="6"/>
        <v>428</v>
      </c>
      <c r="C436" s="150" t="str">
        <f>IFERROR(VLOOKUP(BDREGISTROMINGA2025[[#This Row],[NROKARDEX]],BDPADRES[],8,FALSE),"Sin registrado")</f>
        <v>VIVIANA RIVERA AVALOS</v>
      </c>
      <c r="G436" s="157"/>
    </row>
    <row r="437" spans="2:7" x14ac:dyDescent="0.25">
      <c r="B437" s="151">
        <f t="shared" si="6"/>
        <v>429</v>
      </c>
      <c r="C437" s="150" t="str">
        <f>IFERROR(VLOOKUP(BDREGISTROMINGA2025[[#This Row],[NROKARDEX]],BDPADRES[],8,FALSE),"Sin registrado")</f>
        <v>SALOME CASTRO PINTO</v>
      </c>
      <c r="G437" s="157"/>
    </row>
    <row r="438" spans="2:7" x14ac:dyDescent="0.25">
      <c r="B438" s="151">
        <f t="shared" si="6"/>
        <v>430</v>
      </c>
      <c r="C438" s="150" t="str">
        <f>IFERROR(VLOOKUP(BDREGISTROMINGA2025[[#This Row],[NROKARDEX]],BDPADRES[],8,FALSE),"Sin registrado")</f>
        <v>SANDRA MATURANO GARCIA</v>
      </c>
      <c r="G438" s="157"/>
    </row>
    <row r="439" spans="2:7" x14ac:dyDescent="0.25">
      <c r="B439" s="151">
        <f t="shared" si="6"/>
        <v>431</v>
      </c>
      <c r="C439" s="150" t="str">
        <f>IFERROR(VLOOKUP(BDREGISTROMINGA2025[[#This Row],[NROKARDEX]],BDPADRES[],8,FALSE),"Sin registrado")</f>
        <v>MARIBEL  ARROYO ESCOBAR</v>
      </c>
      <c r="G439" s="157"/>
    </row>
    <row r="440" spans="2:7" x14ac:dyDescent="0.25">
      <c r="B440" s="151">
        <f t="shared" si="6"/>
        <v>432</v>
      </c>
      <c r="C440" s="150" t="str">
        <f>IFERROR(VLOOKUP(BDREGISTROMINGA2025[[#This Row],[NROKARDEX]],BDPADRES[],8,FALSE),"Sin registrado")</f>
        <v>CONSUELO VANESA GARCIA ALVAREZ</v>
      </c>
      <c r="G440" s="157"/>
    </row>
    <row r="441" spans="2:7" x14ac:dyDescent="0.25">
      <c r="B441" s="151">
        <f t="shared" si="6"/>
        <v>433</v>
      </c>
      <c r="C441" s="150" t="str">
        <f>IFERROR(VLOOKUP(BDREGISTROMINGA2025[[#This Row],[NROKARDEX]],BDPADRES[],8,FALSE),"Sin registrado")</f>
        <v>ERCILIA PACHA ARCIBIA</v>
      </c>
      <c r="G441" s="157"/>
    </row>
    <row r="442" spans="2:7" x14ac:dyDescent="0.25">
      <c r="B442" s="151">
        <f t="shared" si="6"/>
        <v>434</v>
      </c>
      <c r="C442" s="150" t="str">
        <f>IFERROR(VLOOKUP(BDREGISTROMINGA2025[[#This Row],[NROKARDEX]],BDPADRES[],8,FALSE),"Sin registrado")</f>
        <v>IDE RODRIGUEZ LIZO</v>
      </c>
      <c r="G442" s="157"/>
    </row>
    <row r="443" spans="2:7" x14ac:dyDescent="0.25">
      <c r="B443" s="151">
        <f t="shared" si="6"/>
        <v>435</v>
      </c>
      <c r="C443" s="150" t="str">
        <f>IFERROR(VLOOKUP(BDREGISTROMINGA2025[[#This Row],[NROKARDEX]],BDPADRES[],8,FALSE),"Sin registrado")</f>
        <v>RUTH VIDAL</v>
      </c>
      <c r="G443" s="157"/>
    </row>
    <row r="444" spans="2:7" x14ac:dyDescent="0.25">
      <c r="B444" s="151">
        <f t="shared" si="6"/>
        <v>436</v>
      </c>
      <c r="C444" s="150" t="str">
        <f>IFERROR(VLOOKUP(BDREGISTROMINGA2025[[#This Row],[NROKARDEX]],BDPADRES[],8,FALSE),"Sin registrado")</f>
        <v>MARTHA HUISA ROMAN</v>
      </c>
      <c r="G444" s="157"/>
    </row>
    <row r="445" spans="2:7" x14ac:dyDescent="0.25">
      <c r="B445" s="151">
        <f t="shared" si="6"/>
        <v>437</v>
      </c>
      <c r="C445" s="150" t="str">
        <f>IFERROR(VLOOKUP(BDREGISTROMINGA2025[[#This Row],[NROKARDEX]],BDPADRES[],8,FALSE),"Sin registrado")</f>
        <v>SANTUSA MONCADA AMADOR</v>
      </c>
      <c r="G445" s="157"/>
    </row>
    <row r="446" spans="2:7" x14ac:dyDescent="0.25">
      <c r="B446" s="151">
        <f t="shared" si="6"/>
        <v>438</v>
      </c>
      <c r="C446" s="150" t="str">
        <f>IFERROR(VLOOKUP(BDREGISTROMINGA2025[[#This Row],[NROKARDEX]],BDPADRES[],8,FALSE),"Sin registrado")</f>
        <v>SABINA PADILLA ZENTENO</v>
      </c>
      <c r="G446" s="157"/>
    </row>
    <row r="447" spans="2:7" x14ac:dyDescent="0.25">
      <c r="B447" s="151">
        <f t="shared" si="6"/>
        <v>439</v>
      </c>
      <c r="C447" s="150" t="str">
        <f>IFERROR(VLOOKUP(BDREGISTROMINGA2025[[#This Row],[NROKARDEX]],BDPADRES[],8,FALSE),"Sin registrado")</f>
        <v>GIOVANA  MOREIRA VARGAS</v>
      </c>
      <c r="G447" s="157"/>
    </row>
    <row r="448" spans="2:7" x14ac:dyDescent="0.25">
      <c r="B448" s="151">
        <f t="shared" si="6"/>
        <v>440</v>
      </c>
      <c r="C448" s="150" t="str">
        <f>IFERROR(VLOOKUP(BDREGISTROMINGA2025[[#This Row],[NROKARDEX]],BDPADRES[],8,FALSE),"Sin registrado")</f>
        <v>GETHZY IVETH MAMANI FIGUEROA</v>
      </c>
      <c r="G448" s="157"/>
    </row>
    <row r="449" spans="2:7" x14ac:dyDescent="0.25">
      <c r="B449" s="151">
        <f t="shared" si="6"/>
        <v>441</v>
      </c>
      <c r="C449" s="150" t="str">
        <f>IFERROR(VLOOKUP(BDREGISTROMINGA2025[[#This Row],[NROKARDEX]],BDPADRES[],8,FALSE),"Sin registrado")</f>
        <v>DANIELA PEÑA PACHI</v>
      </c>
      <c r="G449" s="157"/>
    </row>
    <row r="450" spans="2:7" x14ac:dyDescent="0.25">
      <c r="B450" s="151">
        <f t="shared" si="6"/>
        <v>442</v>
      </c>
      <c r="C450" s="150" t="str">
        <f>IFERROR(VLOOKUP(BDREGISTROMINGA2025[[#This Row],[NROKARDEX]],BDPADRES[],8,FALSE),"Sin registrado")</f>
        <v>RILMA FIGUEROA HINOJOSA</v>
      </c>
      <c r="G450" s="157"/>
    </row>
    <row r="451" spans="2:7" x14ac:dyDescent="0.25">
      <c r="B451" s="151">
        <f t="shared" si="6"/>
        <v>443</v>
      </c>
      <c r="C451" s="150" t="str">
        <f>IFERROR(VLOOKUP(BDREGISTROMINGA2025[[#This Row],[NROKARDEX]],BDPADRES[],8,FALSE),"Sin registrado")</f>
        <v>KARINA CHURATA LAMAS</v>
      </c>
      <c r="G451" s="157"/>
    </row>
    <row r="452" spans="2:7" x14ac:dyDescent="0.25">
      <c r="B452" s="151">
        <f t="shared" si="6"/>
        <v>444</v>
      </c>
      <c r="C452" s="150" t="str">
        <f>IFERROR(VLOOKUP(BDREGISTROMINGA2025[[#This Row],[NROKARDEX]],BDPADRES[],8,FALSE),"Sin registrado")</f>
        <v>JAHEL  ROMERO ACHO</v>
      </c>
      <c r="G452" s="157"/>
    </row>
    <row r="453" spans="2:7" x14ac:dyDescent="0.25">
      <c r="B453" s="151">
        <f t="shared" si="6"/>
        <v>445</v>
      </c>
      <c r="C453" s="150" t="str">
        <f>IFERROR(VLOOKUP(BDREGISTROMINGA2025[[#This Row],[NROKARDEX]],BDPADRES[],8,FALSE),"Sin registrado")</f>
        <v>MARISOL CHAVARRIA SANCHEZ</v>
      </c>
      <c r="G453" s="157"/>
    </row>
    <row r="454" spans="2:7" x14ac:dyDescent="0.25">
      <c r="B454" s="151">
        <f t="shared" si="6"/>
        <v>446</v>
      </c>
      <c r="C454" s="150" t="str">
        <f>IFERROR(VLOOKUP(BDREGISTROMINGA2025[[#This Row],[NROKARDEX]],BDPADRES[],8,FALSE),"Sin registrado")</f>
        <v>JESIKA BONILLA GALVIZ</v>
      </c>
      <c r="G454" s="157"/>
    </row>
    <row r="455" spans="2:7" x14ac:dyDescent="0.25">
      <c r="B455" s="151">
        <f t="shared" si="6"/>
        <v>447</v>
      </c>
      <c r="C455" s="150" t="str">
        <f>IFERROR(VLOOKUP(BDREGISTROMINGA2025[[#This Row],[NROKARDEX]],BDPADRES[],8,FALSE),"Sin registrado")</f>
        <v>Sin registrado</v>
      </c>
      <c r="G455" s="157"/>
    </row>
    <row r="456" spans="2:7" x14ac:dyDescent="0.25">
      <c r="B456" s="151">
        <f t="shared" si="6"/>
        <v>448</v>
      </c>
      <c r="C456" s="150" t="str">
        <f>IFERROR(VLOOKUP(BDREGISTROMINGA2025[[#This Row],[NROKARDEX]],BDPADRES[],8,FALSE),"Sin registrado")</f>
        <v>Sin registrado</v>
      </c>
      <c r="G456" s="157"/>
    </row>
    <row r="457" spans="2:7" x14ac:dyDescent="0.25">
      <c r="B457" s="151">
        <f t="shared" si="6"/>
        <v>449</v>
      </c>
      <c r="C457" s="150" t="str">
        <f>IFERROR(VLOOKUP(BDREGISTROMINGA2025[[#This Row],[NROKARDEX]],BDPADRES[],8,FALSE),"Sin registrado")</f>
        <v>CINTHIA RODRIGUEZ MARISCAL</v>
      </c>
      <c r="G457" s="157"/>
    </row>
    <row r="458" spans="2:7" x14ac:dyDescent="0.25">
      <c r="B458" s="151">
        <f t="shared" ref="B458:B472" si="7">ROW(A450)</f>
        <v>450</v>
      </c>
      <c r="C458" s="150" t="str">
        <f>IFERROR(VLOOKUP(BDREGISTROMINGA2025[[#This Row],[NROKARDEX]],BDPADRES[],8,FALSE),"Sin registrado")</f>
        <v>Sin registrado</v>
      </c>
      <c r="G458" s="157"/>
    </row>
    <row r="459" spans="2:7" x14ac:dyDescent="0.25">
      <c r="B459" s="151">
        <f t="shared" si="7"/>
        <v>451</v>
      </c>
      <c r="C459" s="150" t="str">
        <f>IFERROR(VLOOKUP(BDREGISTROMINGA2025[[#This Row],[NROKARDEX]],BDPADRES[],8,FALSE),"Sin registrado")</f>
        <v>Sin registrado</v>
      </c>
      <c r="G459" s="157"/>
    </row>
    <row r="460" spans="2:7" x14ac:dyDescent="0.25">
      <c r="B460" s="151">
        <f t="shared" si="7"/>
        <v>452</v>
      </c>
      <c r="C460" s="150" t="str">
        <f>IFERROR(VLOOKUP(BDREGISTROMINGA2025[[#This Row],[NROKARDEX]],BDPADRES[],8,FALSE),"Sin registrado")</f>
        <v>LORENA RODRIGUEZ CAMACHO</v>
      </c>
      <c r="G460" s="157"/>
    </row>
    <row r="461" spans="2:7" x14ac:dyDescent="0.25">
      <c r="B461" s="151">
        <f t="shared" si="7"/>
        <v>453</v>
      </c>
      <c r="C461" s="150" t="str">
        <f>IFERROR(VLOOKUP(BDREGISTROMINGA2025[[#This Row],[NROKARDEX]],BDPADRES[],8,FALSE),"Sin registrado")</f>
        <v>Sin registrado</v>
      </c>
      <c r="G461" s="157"/>
    </row>
    <row r="462" spans="2:7" x14ac:dyDescent="0.25">
      <c r="B462" s="151">
        <f t="shared" si="7"/>
        <v>454</v>
      </c>
      <c r="C462" s="150" t="str">
        <f>IFERROR(VLOOKUP(BDREGISTROMINGA2025[[#This Row],[NROKARDEX]],BDPADRES[],8,FALSE),"Sin registrado")</f>
        <v>LOURDES ORIAS CALDERON</v>
      </c>
      <c r="G462" s="157"/>
    </row>
    <row r="463" spans="2:7" x14ac:dyDescent="0.25">
      <c r="B463" s="151">
        <f t="shared" si="7"/>
        <v>455</v>
      </c>
      <c r="C463" s="150" t="str">
        <f>IFERROR(VLOOKUP(BDREGISTROMINGA2025[[#This Row],[NROKARDEX]],BDPADRES[],8,FALSE),"Sin registrado")</f>
        <v>DAMIANA COLQUE QUISPE</v>
      </c>
      <c r="G463" s="157"/>
    </row>
    <row r="464" spans="2:7" x14ac:dyDescent="0.25">
      <c r="B464" s="151">
        <f t="shared" si="7"/>
        <v>456</v>
      </c>
      <c r="C464" s="150" t="str">
        <f>IFERROR(VLOOKUP(BDREGISTROMINGA2025[[#This Row],[NROKARDEX]],BDPADRES[],8,FALSE),"Sin registrado")</f>
        <v>Sin registrado</v>
      </c>
      <c r="G464" s="157"/>
    </row>
    <row r="465" spans="2:7" x14ac:dyDescent="0.25">
      <c r="B465" s="151">
        <f t="shared" si="7"/>
        <v>457</v>
      </c>
      <c r="C465" s="150" t="str">
        <f>IFERROR(VLOOKUP(BDREGISTROMINGA2025[[#This Row],[NROKARDEX]],BDPADRES[],8,FALSE),"Sin registrado")</f>
        <v>Sin registrado</v>
      </c>
      <c r="G465" s="157"/>
    </row>
    <row r="466" spans="2:7" x14ac:dyDescent="0.25">
      <c r="B466" s="151">
        <f t="shared" si="7"/>
        <v>458</v>
      </c>
      <c r="C466" s="150" t="str">
        <f>IFERROR(VLOOKUP(BDREGISTROMINGA2025[[#This Row],[NROKARDEX]],BDPADRES[],8,FALSE),"Sin registrado")</f>
        <v>Sin registrado</v>
      </c>
      <c r="G466" s="157"/>
    </row>
    <row r="467" spans="2:7" x14ac:dyDescent="0.25">
      <c r="B467" s="151">
        <f t="shared" si="7"/>
        <v>459</v>
      </c>
      <c r="C467" s="150" t="str">
        <f>IFERROR(VLOOKUP(BDREGISTROMINGA2025[[#This Row],[NROKARDEX]],BDPADRES[],8,FALSE),"Sin registrado")</f>
        <v>Sin registrado</v>
      </c>
      <c r="G467" s="157"/>
    </row>
    <row r="468" spans="2:7" x14ac:dyDescent="0.25">
      <c r="B468" s="151">
        <f t="shared" si="7"/>
        <v>460</v>
      </c>
      <c r="C468" s="150" t="str">
        <f>IFERROR(VLOOKUP(BDREGISTROMINGA2025[[#This Row],[NROKARDEX]],BDPADRES[],8,FALSE),"Sin registrado")</f>
        <v>Sin registrado</v>
      </c>
      <c r="G468" s="157"/>
    </row>
    <row r="469" spans="2:7" x14ac:dyDescent="0.25">
      <c r="B469" s="151">
        <f t="shared" si="7"/>
        <v>461</v>
      </c>
      <c r="C469" s="150" t="str">
        <f>IFERROR(VLOOKUP(BDREGISTROMINGA2025[[#This Row],[NROKARDEX]],BDPADRES[],8,FALSE),"Sin registrado")</f>
        <v>Sin registrado</v>
      </c>
      <c r="G469" s="157"/>
    </row>
    <row r="470" spans="2:7" x14ac:dyDescent="0.25">
      <c r="B470" s="151">
        <f t="shared" si="7"/>
        <v>462</v>
      </c>
      <c r="C470" s="150" t="str">
        <f>IFERROR(VLOOKUP(BDREGISTROMINGA2025[[#This Row],[NROKARDEX]],BDPADRES[],8,FALSE),"Sin registrado")</f>
        <v>Sin registrado</v>
      </c>
      <c r="G470" s="157"/>
    </row>
    <row r="471" spans="2:7" x14ac:dyDescent="0.25">
      <c r="B471" s="151">
        <f t="shared" si="7"/>
        <v>463</v>
      </c>
      <c r="C471" s="150" t="str">
        <f>IFERROR(VLOOKUP(BDREGISTROMINGA2025[[#This Row],[NROKARDEX]],BDPADRES[],8,FALSE),"Sin registrado")</f>
        <v>Sin registrado</v>
      </c>
      <c r="G471" s="157"/>
    </row>
    <row r="472" spans="2:7" x14ac:dyDescent="0.25">
      <c r="B472" s="151">
        <f t="shared" si="7"/>
        <v>464</v>
      </c>
      <c r="C472" s="150" t="str">
        <f>IFERROR(VLOOKUP(BDREGISTROMINGA2025[[#This Row],[NROKARDEX]],BDPADRES[],8,FALSE),"Sin registrado")</f>
        <v>Sin registrado</v>
      </c>
      <c r="G472" s="157"/>
    </row>
    <row r="473" spans="2:7" x14ac:dyDescent="0.25">
      <c r="B473" s="151">
        <f t="shared" ref="B473:B481" si="8">ROW(A465)</f>
        <v>465</v>
      </c>
      <c r="C473" s="150" t="str">
        <f>IFERROR(VLOOKUP(BDREGISTROMINGA2025[[#This Row],[NROKARDEX]],BDPADRES[],8,FALSE),"Sin registrado")</f>
        <v>LINA SOLIS GARNICA</v>
      </c>
      <c r="G473" s="157"/>
    </row>
    <row r="474" spans="2:7" x14ac:dyDescent="0.25">
      <c r="B474" s="151">
        <f t="shared" si="8"/>
        <v>466</v>
      </c>
      <c r="C474" s="150" t="str">
        <f>IFERROR(VLOOKUP(BDREGISTROMINGA2025[[#This Row],[NROKARDEX]],BDPADRES[],8,FALSE),"Sin registrado")</f>
        <v>Sin registrado</v>
      </c>
      <c r="G474" s="157"/>
    </row>
    <row r="475" spans="2:7" x14ac:dyDescent="0.25">
      <c r="B475" s="151">
        <f t="shared" si="8"/>
        <v>467</v>
      </c>
      <c r="C475" s="150" t="str">
        <f>IFERROR(VLOOKUP(BDREGISTROMINGA2025[[#This Row],[NROKARDEX]],BDPADRES[],8,FALSE),"Sin registrado")</f>
        <v>Sin registrado</v>
      </c>
      <c r="G475" s="157"/>
    </row>
    <row r="476" spans="2:7" x14ac:dyDescent="0.25">
      <c r="B476" s="151">
        <f t="shared" si="8"/>
        <v>468</v>
      </c>
      <c r="C476" s="150" t="str">
        <f>IFERROR(VLOOKUP(BDREGISTROMINGA2025[[#This Row],[NROKARDEX]],BDPADRES[],8,FALSE),"Sin registrado")</f>
        <v>Sin registrado</v>
      </c>
      <c r="G476" s="157"/>
    </row>
    <row r="477" spans="2:7" x14ac:dyDescent="0.25">
      <c r="B477" s="151">
        <f t="shared" si="8"/>
        <v>469</v>
      </c>
      <c r="C477" s="150" t="str">
        <f>IFERROR(VLOOKUP(BDREGISTROMINGA2025[[#This Row],[NROKARDEX]],BDPADRES[],8,FALSE),"Sin registrado")</f>
        <v>Sin registrado</v>
      </c>
      <c r="G477" s="157"/>
    </row>
    <row r="478" spans="2:7" x14ac:dyDescent="0.25">
      <c r="B478" s="151">
        <f t="shared" si="8"/>
        <v>470</v>
      </c>
      <c r="C478" s="150" t="str">
        <f>IFERROR(VLOOKUP(BDREGISTROMINGA2025[[#This Row],[NROKARDEX]],BDPADRES[],8,FALSE),"Sin registrado")</f>
        <v>Sin registrado</v>
      </c>
      <c r="G478" s="157"/>
    </row>
    <row r="479" spans="2:7" x14ac:dyDescent="0.25">
      <c r="B479" s="151">
        <f t="shared" si="8"/>
        <v>471</v>
      </c>
      <c r="C479" s="150" t="str">
        <f>IFERROR(VLOOKUP(BDREGISTROMINGA2025[[#This Row],[NROKARDEX]],BDPADRES[],8,FALSE),"Sin registrado")</f>
        <v>Sin registrado</v>
      </c>
      <c r="G479" s="157"/>
    </row>
    <row r="480" spans="2:7" x14ac:dyDescent="0.25">
      <c r="B480" s="151">
        <f t="shared" si="8"/>
        <v>472</v>
      </c>
      <c r="C480" s="150" t="str">
        <f>IFERROR(VLOOKUP(BDREGISTROMINGA2025[[#This Row],[NROKARDEX]],BDPADRES[],8,FALSE),"Sin registrado")</f>
        <v>CATHIA ORTIZ CRUZ</v>
      </c>
      <c r="G480" s="157"/>
    </row>
    <row r="481" spans="2:7" x14ac:dyDescent="0.25">
      <c r="B481" s="151">
        <f t="shared" si="8"/>
        <v>473</v>
      </c>
      <c r="C481" s="150" t="str">
        <f>IFERROR(VLOOKUP(BDREGISTROMINGA2025[[#This Row],[NROKARDEX]],BDPADRES[],8,FALSE),"Sin registrado")</f>
        <v>Sin registrado</v>
      </c>
      <c r="G481" s="157"/>
    </row>
    <row r="482" spans="2:7" ht="14.4" x14ac:dyDescent="0.3">
      <c r="B482" s="1" t="s">
        <v>3114</v>
      </c>
      <c r="C482" s="150" t="str">
        <f>IFERROR(VLOOKUP(BDREGISTROMINGA2025[[#This Row],[NROKARDEX]],BDPADRES[],8,FALSE),"Sin registrado")</f>
        <v>ANA LUISA RIVERA MENESES</v>
      </c>
      <c r="G482" s="157"/>
    </row>
    <row r="483" spans="2:7" ht="14.4" x14ac:dyDescent="0.3">
      <c r="B483" s="1" t="s">
        <v>3115</v>
      </c>
      <c r="C483" s="150" t="str">
        <f>IFERROR(VLOOKUP(BDREGISTROMINGA2025[[#This Row],[NROKARDEX]],BDPADRES[],8,FALSE),"Sin registrado")</f>
        <v>BETANIA SICPORO RODRIGUEZ</v>
      </c>
      <c r="G483" s="157"/>
    </row>
    <row r="484" spans="2:7" ht="14.4" x14ac:dyDescent="0.3">
      <c r="B484" s="1" t="s">
        <v>3116</v>
      </c>
      <c r="C484" s="150" t="str">
        <f>IFERROR(VLOOKUP(BDREGISTROMINGA2025[[#This Row],[NROKARDEX]],BDPADRES[],8,FALSE),"Sin registrado")</f>
        <v>Sin registrado</v>
      </c>
      <c r="G484" s="157"/>
    </row>
    <row r="485" spans="2:7" ht="14.4" x14ac:dyDescent="0.3">
      <c r="B485" s="1" t="s">
        <v>3117</v>
      </c>
      <c r="C485" s="150" t="str">
        <f>IFERROR(VLOOKUP(BDREGISTROMINGA2025[[#This Row],[NROKARDEX]],BDPADRES[],8,FALSE),"Sin registrado")</f>
        <v>Sin registrado</v>
      </c>
      <c r="G485" s="157"/>
    </row>
    <row r="486" spans="2:7" ht="14.4" x14ac:dyDescent="0.3">
      <c r="B486" s="1" t="s">
        <v>3118</v>
      </c>
      <c r="C486" s="150" t="str">
        <f>IFERROR(VLOOKUP(BDREGISTROMINGA2025[[#This Row],[NROKARDEX]],BDPADRES[],8,FALSE),"Sin registrado")</f>
        <v>FIDELIA LAQUE RAMOS</v>
      </c>
      <c r="G486" s="157"/>
    </row>
    <row r="487" spans="2:7" ht="14.4" x14ac:dyDescent="0.3">
      <c r="B487" s="1" t="s">
        <v>3119</v>
      </c>
      <c r="C487" s="150" t="str">
        <f>IFERROR(VLOOKUP(BDREGISTROMINGA2025[[#This Row],[NROKARDEX]],BDPADRES[],8,FALSE),"Sin registrado")</f>
        <v>MARINA USCAMAYTA CONDORI</v>
      </c>
      <c r="G487" s="157"/>
    </row>
    <row r="488" spans="2:7" ht="14.4" x14ac:dyDescent="0.3">
      <c r="B488" s="1" t="s">
        <v>3120</v>
      </c>
      <c r="C488" s="150" t="str">
        <f>IFERROR(VLOOKUP(BDREGISTROMINGA2025[[#This Row],[NROKARDEX]],BDPADRES[],8,FALSE),"Sin registrado")</f>
        <v>PATRICIA SALVATIERRA JIMENEZ</v>
      </c>
      <c r="G488" s="157"/>
    </row>
    <row r="489" spans="2:7" ht="14.4" x14ac:dyDescent="0.3">
      <c r="B489" s="1" t="s">
        <v>3121</v>
      </c>
      <c r="C489" s="150" t="str">
        <f>IFERROR(VLOOKUP(BDREGISTROMINGA2025[[#This Row],[NROKARDEX]],BDPADRES[],8,FALSE),"Sin registrado")</f>
        <v>MARIELA MAMANI ACHAYA</v>
      </c>
      <c r="G489" s="157"/>
    </row>
    <row r="490" spans="2:7" ht="14.4" x14ac:dyDescent="0.3">
      <c r="B490" s="1" t="s">
        <v>3122</v>
      </c>
      <c r="C490" s="150" t="str">
        <f>IFERROR(VLOOKUP(BDREGISTROMINGA2025[[#This Row],[NROKARDEX]],BDPADRES[],8,FALSE),"Sin registrado")</f>
        <v>IVET BELTRAN GONZALES</v>
      </c>
      <c r="G490" s="157"/>
    </row>
    <row r="491" spans="2:7" ht="14.4" x14ac:dyDescent="0.3">
      <c r="B491" s="1" t="s">
        <v>3123</v>
      </c>
      <c r="C491" s="150" t="str">
        <f>IFERROR(VLOOKUP(BDREGISTROMINGA2025[[#This Row],[NROKARDEX]],BDPADRES[],8,FALSE),"Sin registrado")</f>
        <v>LOURDES FERNANDEZ ORTIZ</v>
      </c>
      <c r="G491" s="157"/>
    </row>
    <row r="492" spans="2:7" ht="14.4" x14ac:dyDescent="0.3">
      <c r="B492" s="1" t="s">
        <v>3124</v>
      </c>
      <c r="C492" s="150" t="str">
        <f>IFERROR(VLOOKUP(BDREGISTROMINGA2025[[#This Row],[NROKARDEX]],BDPADRES[],8,FALSE),"Sin registrado")</f>
        <v>DEYSY ROBLEDO AVALOS</v>
      </c>
      <c r="G492" s="157"/>
    </row>
    <row r="493" spans="2:7" ht="14.4" x14ac:dyDescent="0.3">
      <c r="B493" s="1" t="s">
        <v>3125</v>
      </c>
      <c r="C493" s="150" t="str">
        <f>IFERROR(VLOOKUP(BDREGISTROMINGA2025[[#This Row],[NROKARDEX]],BDPADRES[],8,FALSE),"Sin registrado")</f>
        <v>MARIANA VACA NOVA</v>
      </c>
      <c r="G493" s="157"/>
    </row>
    <row r="494" spans="2:7" ht="14.4" x14ac:dyDescent="0.3">
      <c r="B494" s="1" t="s">
        <v>3126</v>
      </c>
      <c r="C494" s="150" t="str">
        <f>IFERROR(VLOOKUP(BDREGISTROMINGA2025[[#This Row],[NROKARDEX]],BDPADRES[],8,FALSE),"Sin registrado")</f>
        <v>ADRIANA HUAILLA ORELLANA</v>
      </c>
      <c r="G494" s="157"/>
    </row>
    <row r="495" spans="2:7" ht="14.4" x14ac:dyDescent="0.3">
      <c r="B495" s="1" t="s">
        <v>3127</v>
      </c>
      <c r="C495" s="150" t="str">
        <f>IFERROR(VLOOKUP(BDREGISTROMINGA2025[[#This Row],[NROKARDEX]],BDPADRES[],8,FALSE),"Sin registrado")</f>
        <v>MIRIAN MENDOZA RIVERA</v>
      </c>
      <c r="G495" s="157"/>
    </row>
    <row r="496" spans="2:7" ht="14.4" x14ac:dyDescent="0.3">
      <c r="B496" s="1" t="s">
        <v>3128</v>
      </c>
      <c r="C496" s="150" t="str">
        <f>IFERROR(VLOOKUP(BDREGISTROMINGA2025[[#This Row],[NROKARDEX]],BDPADRES[],8,FALSE),"Sin registrado")</f>
        <v>HERMINIA QUEMAYA GARCIA</v>
      </c>
      <c r="G496" s="157"/>
    </row>
    <row r="497" spans="2:7" ht="14.4" x14ac:dyDescent="0.3">
      <c r="B497" s="1" t="s">
        <v>3129</v>
      </c>
      <c r="C497" s="150" t="str">
        <f>IFERROR(VLOOKUP(BDREGISTROMINGA2025[[#This Row],[NROKARDEX]],BDPADRES[],8,FALSE),"Sin registrado")</f>
        <v>DELMA MERUBIA AVILA</v>
      </c>
      <c r="G497" s="157"/>
    </row>
    <row r="498" spans="2:7" ht="14.4" x14ac:dyDescent="0.3">
      <c r="B498" s="1" t="s">
        <v>3130</v>
      </c>
      <c r="C498" s="150" t="str">
        <f>IFERROR(VLOOKUP(BDREGISTROMINGA2025[[#This Row],[NROKARDEX]],BDPADRES[],8,FALSE),"Sin registrado")</f>
        <v>YOVANA MARTINEZ ROMERO</v>
      </c>
      <c r="G498" s="157"/>
    </row>
    <row r="499" spans="2:7" ht="14.4" x14ac:dyDescent="0.3">
      <c r="B499" s="1" t="s">
        <v>3131</v>
      </c>
      <c r="C499" s="150" t="str">
        <f>IFERROR(VLOOKUP(BDREGISTROMINGA2025[[#This Row],[NROKARDEX]],BDPADRES[],8,FALSE),"Sin registrado")</f>
        <v>Sin registrado</v>
      </c>
      <c r="G499" s="157"/>
    </row>
    <row r="500" spans="2:7" ht="14.4" x14ac:dyDescent="0.3">
      <c r="B500" s="1" t="s">
        <v>3132</v>
      </c>
      <c r="C500" s="150" t="str">
        <f>IFERROR(VLOOKUP(BDREGISTROMINGA2025[[#This Row],[NROKARDEX]],BDPADRES[],8,FALSE),"Sin registrado")</f>
        <v>NORMA FLORES ABREGO</v>
      </c>
      <c r="G500" s="157"/>
    </row>
    <row r="501" spans="2:7" ht="14.4" x14ac:dyDescent="0.3">
      <c r="B501" s="1" t="s">
        <v>3133</v>
      </c>
      <c r="C501" s="150" t="str">
        <f>IFERROR(VLOOKUP(BDREGISTROMINGA2025[[#This Row],[NROKARDEX]],BDPADRES[],8,FALSE),"Sin registrado")</f>
        <v>MARGARITA COIMBRA SOLIZ</v>
      </c>
      <c r="G501" s="157"/>
    </row>
    <row r="502" spans="2:7" ht="14.4" x14ac:dyDescent="0.3">
      <c r="B502" s="1" t="s">
        <v>3134</v>
      </c>
      <c r="C502" s="150" t="str">
        <f>IFERROR(VLOOKUP(BDREGISTROMINGA2025[[#This Row],[NROKARDEX]],BDPADRES[],8,FALSE),"Sin registrado")</f>
        <v xml:space="preserve">NREG/NOMBRE PEREZ </v>
      </c>
      <c r="G502" s="157"/>
    </row>
    <row r="503" spans="2:7" ht="14.4" x14ac:dyDescent="0.3">
      <c r="B503" s="1" t="s">
        <v>3135</v>
      </c>
      <c r="C503" s="150" t="str">
        <f>IFERROR(VLOOKUP(BDREGISTROMINGA2025[[#This Row],[NROKARDEX]],BDPADRES[],8,FALSE),"Sin registrado")</f>
        <v>CIERIDEY CEREZO GARCIA</v>
      </c>
      <c r="G503" s="157"/>
    </row>
    <row r="504" spans="2:7" ht="14.4" x14ac:dyDescent="0.3">
      <c r="B504" s="1" t="s">
        <v>3136</v>
      </c>
      <c r="C504" s="150" t="str">
        <f>IFERROR(VLOOKUP(BDREGISTROMINGA2025[[#This Row],[NROKARDEX]],BDPADRES[],8,FALSE),"Sin registrado")</f>
        <v>CONSUELO MILENKA RAMOS VILLEGAS</v>
      </c>
      <c r="G504" s="157"/>
    </row>
    <row r="505" spans="2:7" ht="14.4" x14ac:dyDescent="0.3">
      <c r="B505" s="1" t="s">
        <v>3137</v>
      </c>
      <c r="C505" s="150" t="str">
        <f>IFERROR(VLOOKUP(BDREGISTROMINGA2025[[#This Row],[NROKARDEX]],BDPADRES[],8,FALSE),"Sin registrado")</f>
        <v>NICOLAZA BONIFAZ ALVAREZ</v>
      </c>
      <c r="G505" s="157"/>
    </row>
    <row r="506" spans="2:7" ht="14.4" x14ac:dyDescent="0.3">
      <c r="B506" s="1" t="s">
        <v>3138</v>
      </c>
      <c r="C506" s="150" t="str">
        <f>IFERROR(VLOOKUP(BDREGISTROMINGA2025[[#This Row],[NROKARDEX]],BDPADRES[],8,FALSE),"Sin registrado")</f>
        <v>MARIA CUELLAR MOSCOSO</v>
      </c>
      <c r="G506" s="157"/>
    </row>
    <row r="507" spans="2:7" ht="14.4" x14ac:dyDescent="0.3">
      <c r="B507" s="1" t="s">
        <v>3139</v>
      </c>
      <c r="C507" s="150" t="str">
        <f>IFERROR(VLOOKUP(BDREGISTROMINGA2025[[#This Row],[NROKARDEX]],BDPADRES[],8,FALSE),"Sin registrado")</f>
        <v>PATRICIA CLAUDIA SERRANO BANEGAS</v>
      </c>
      <c r="G507" s="157"/>
    </row>
    <row r="508" spans="2:7" ht="14.4" x14ac:dyDescent="0.3">
      <c r="B508" s="1" t="s">
        <v>3140</v>
      </c>
      <c r="C508" s="150" t="str">
        <f>IFERROR(VLOOKUP(BDREGISTROMINGA2025[[#This Row],[NROKARDEX]],BDPADRES[],8,FALSE),"Sin registrado")</f>
        <v>ISABELA CONDORI PATZI</v>
      </c>
      <c r="G508" s="157"/>
    </row>
    <row r="509" spans="2:7" ht="14.4" x14ac:dyDescent="0.3">
      <c r="B509" s="1" t="s">
        <v>3141</v>
      </c>
      <c r="C509" s="150" t="str">
        <f>IFERROR(VLOOKUP(BDREGISTROMINGA2025[[#This Row],[NROKARDEX]],BDPADRES[],8,FALSE),"Sin registrado")</f>
        <v>YANIRA  CARVALHO ESCOBAR</v>
      </c>
      <c r="G509" s="157"/>
    </row>
    <row r="510" spans="2:7" ht="14.4" x14ac:dyDescent="0.3">
      <c r="B510" s="1" t="s">
        <v>3142</v>
      </c>
      <c r="C510" s="150" t="str">
        <f>IFERROR(VLOOKUP(BDREGISTROMINGA2025[[#This Row],[NROKARDEX]],BDPADRES[],8,FALSE),"Sin registrado")</f>
        <v>CRISTINA  CRUZ OYOLA</v>
      </c>
      <c r="G510" s="157"/>
    </row>
    <row r="511" spans="2:7" ht="14.4" x14ac:dyDescent="0.3">
      <c r="B511" s="1" t="s">
        <v>3143</v>
      </c>
      <c r="C511" s="150" t="str">
        <f>IFERROR(VLOOKUP(BDREGISTROMINGA2025[[#This Row],[NROKARDEX]],BDPADRES[],8,FALSE),"Sin registrado")</f>
        <v>MARIELY HURTADO</v>
      </c>
      <c r="G511" s="157"/>
    </row>
    <row r="512" spans="2:7" ht="14.4" x14ac:dyDescent="0.3">
      <c r="B512" s="1" t="s">
        <v>3144</v>
      </c>
      <c r="C512" s="150" t="str">
        <f>IFERROR(VLOOKUP(BDREGISTROMINGA2025[[#This Row],[NROKARDEX]],BDPADRES[],8,FALSE),"Sin registrado")</f>
        <v>LORENA SANDOVAL ALGARAÑAZ</v>
      </c>
      <c r="G512" s="157"/>
    </row>
    <row r="513" spans="2:7" ht="14.4" x14ac:dyDescent="0.3">
      <c r="B513" s="1" t="s">
        <v>3145</v>
      </c>
      <c r="C513" s="150" t="str">
        <f>IFERROR(VLOOKUP(BDREGISTROMINGA2025[[#This Row],[NROKARDEX]],BDPADRES[],8,FALSE),"Sin registrado")</f>
        <v>MARLENI SOLEDAD ALDAPI GONZALES</v>
      </c>
      <c r="G513" s="157"/>
    </row>
    <row r="514" spans="2:7" ht="14.4" x14ac:dyDescent="0.3">
      <c r="B514" s="1" t="s">
        <v>3146</v>
      </c>
      <c r="C514" s="150" t="str">
        <f>IFERROR(VLOOKUP(BDREGISTROMINGA2025[[#This Row],[NROKARDEX]],BDPADRES[],8,FALSE),"Sin registrado")</f>
        <v>RICHARD JOSE VARGAS TELLEZ</v>
      </c>
      <c r="G514" s="157"/>
    </row>
    <row r="515" spans="2:7" ht="14.4" x14ac:dyDescent="0.3">
      <c r="B515" s="1" t="s">
        <v>3147</v>
      </c>
      <c r="C515" s="150" t="str">
        <f>IFERROR(VLOOKUP(BDREGISTROMINGA2025[[#This Row],[NROKARDEX]],BDPADRES[],8,FALSE),"Sin registrado")</f>
        <v>MARLENI   LAQUE RAMOS</v>
      </c>
      <c r="G515" s="157"/>
    </row>
    <row r="516" spans="2:7" ht="14.4" x14ac:dyDescent="0.3">
      <c r="B516" s="1" t="s">
        <v>3148</v>
      </c>
      <c r="C516" s="150" t="str">
        <f>IFERROR(VLOOKUP(BDREGISTROMINGA2025[[#This Row],[NROKARDEX]],BDPADRES[],8,FALSE),"Sin registrado")</f>
        <v>MIOLET CEREZO GARCIA</v>
      </c>
      <c r="G516" s="157"/>
    </row>
    <row r="517" spans="2:7" ht="14.4" x14ac:dyDescent="0.3">
      <c r="B517" s="1" t="s">
        <v>3149</v>
      </c>
      <c r="C517" s="150" t="str">
        <f>IFERROR(VLOOKUP(BDREGISTROMINGA2025[[#This Row],[NROKARDEX]],BDPADRES[],8,FALSE),"Sin registrado")</f>
        <v>MAIBER PESSOA GARCIA</v>
      </c>
      <c r="G517" s="157"/>
    </row>
    <row r="518" spans="2:7" ht="14.4" x14ac:dyDescent="0.3">
      <c r="B518" s="1" t="s">
        <v>3150</v>
      </c>
      <c r="C518" s="150" t="str">
        <f>IFERROR(VLOOKUP(BDREGISTROMINGA2025[[#This Row],[NROKARDEX]],BDPADRES[],8,FALSE),"Sin registrado")</f>
        <v>ELSA ALVAREZ ORELLANA</v>
      </c>
      <c r="G518" s="157"/>
    </row>
    <row r="519" spans="2:7" ht="14.4" x14ac:dyDescent="0.3">
      <c r="B519" s="1" t="s">
        <v>3151</v>
      </c>
      <c r="C519" s="150" t="str">
        <f>IFERROR(VLOOKUP(BDREGISTROMINGA2025[[#This Row],[NROKARDEX]],BDPADRES[],8,FALSE),"Sin registrado")</f>
        <v>MARY GULDING VILLAVICENCIO CONTRERAS</v>
      </c>
      <c r="G519" s="157"/>
    </row>
    <row r="520" spans="2:7" ht="14.4" x14ac:dyDescent="0.3">
      <c r="B520" s="1" t="s">
        <v>3155</v>
      </c>
      <c r="C520" s="150" t="str">
        <f>IFERROR(VLOOKUP(BDREGISTROMINGA2025[[#This Row],[NROKARDEX]],BDPADRES[],8,FALSE),"Sin registrado")</f>
        <v>MATILDE FLORES MAIZARES</v>
      </c>
      <c r="G520" s="157"/>
    </row>
    <row r="521" spans="2:7" ht="14.4" x14ac:dyDescent="0.3">
      <c r="B521" s="1" t="s">
        <v>3152</v>
      </c>
      <c r="C521" s="150" t="str">
        <f>IFERROR(VLOOKUP(BDREGISTROMINGA2025[[#This Row],[NROKARDEX]],BDPADRES[],8,FALSE),"Sin registrado")</f>
        <v>N/SINREGISTRO RODAS</v>
      </c>
      <c r="G521" s="157"/>
    </row>
    <row r="522" spans="2:7" ht="14.4" x14ac:dyDescent="0.3">
      <c r="B522" s="1" t="s">
        <v>3153</v>
      </c>
      <c r="C522" s="150" t="str">
        <f>IFERROR(VLOOKUP(BDREGISTROMINGA2025[[#This Row],[NROKARDEX]],BDPADRES[],8,FALSE),"Sin registrado")</f>
        <v xml:space="preserve"> ROBLEDO</v>
      </c>
      <c r="G522" s="157"/>
    </row>
    <row r="523" spans="2:7" ht="14.4" x14ac:dyDescent="0.3">
      <c r="B523" s="1" t="s">
        <v>3154</v>
      </c>
      <c r="C523" s="150" t="str">
        <f>IFERROR(VLOOKUP(BDREGISTROMINGA2025[[#This Row],[NROKARDEX]],BDPADRES[],8,FALSE),"Sin registrado")</f>
        <v>TERESA JIMENEZ CARRIAZO</v>
      </c>
      <c r="G523" s="157"/>
    </row>
    <row r="524" spans="2:7" ht="14.4" x14ac:dyDescent="0.3">
      <c r="B524" s="1"/>
      <c r="G524" s="157"/>
    </row>
    <row r="525" spans="2:7" x14ac:dyDescent="0.25">
      <c r="B525" s="151"/>
      <c r="G525" s="157"/>
    </row>
    <row r="526" spans="2:7" x14ac:dyDescent="0.25">
      <c r="B526" s="151"/>
      <c r="G526" s="157"/>
    </row>
    <row r="527" spans="2:7" x14ac:dyDescent="0.25">
      <c r="B527" s="151"/>
      <c r="G527" s="157"/>
    </row>
    <row r="528" spans="2:7" x14ac:dyDescent="0.25">
      <c r="B528" s="151"/>
      <c r="G528" s="157"/>
    </row>
    <row r="529" spans="2:7" x14ac:dyDescent="0.25">
      <c r="B529" s="151"/>
      <c r="G529" s="157"/>
    </row>
    <row r="530" spans="2:7" x14ac:dyDescent="0.25">
      <c r="B530" s="151"/>
      <c r="G530" s="157"/>
    </row>
    <row r="531" spans="2:7" x14ac:dyDescent="0.25">
      <c r="B531" s="151"/>
      <c r="G531" s="157"/>
    </row>
    <row r="532" spans="2:7" x14ac:dyDescent="0.25">
      <c r="B532" s="151"/>
      <c r="G532" s="157"/>
    </row>
    <row r="533" spans="2:7" x14ac:dyDescent="0.25">
      <c r="B533" s="151"/>
      <c r="G533" s="157"/>
    </row>
  </sheetData>
  <mergeCells count="2">
    <mergeCell ref="C5:E5"/>
    <mergeCell ref="A1:J3"/>
  </mergeCells>
  <phoneticPr fontId="5" type="noConversion"/>
  <conditionalFormatting sqref="C1:C1048576">
    <cfRule type="duplicateValues" dxfId="26" priority="1"/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EDDEA-4BE6-4782-84F9-34C56728B291}">
  <sheetPr codeName="Hoja15"/>
  <dimension ref="A1:L533"/>
  <sheetViews>
    <sheetView workbookViewId="0">
      <selection activeCell="E13" sqref="E13"/>
    </sheetView>
  </sheetViews>
  <sheetFormatPr baseColWidth="10" defaultRowHeight="13.8" x14ac:dyDescent="0.25"/>
  <cols>
    <col min="1" max="1" width="5" style="150" customWidth="1"/>
    <col min="2" max="2" width="11.6640625" style="150" bestFit="1" customWidth="1"/>
    <col min="3" max="3" width="45" style="150" bestFit="1" customWidth="1"/>
    <col min="4" max="4" width="11" style="150" bestFit="1" customWidth="1"/>
    <col min="5" max="5" width="8.21875" style="150" bestFit="1" customWidth="1"/>
    <col min="6" max="7" width="9.44140625" style="150" bestFit="1" customWidth="1"/>
    <col min="8" max="8" width="10.21875" style="150" bestFit="1" customWidth="1"/>
    <col min="9" max="9" width="9.88671875" style="150" bestFit="1" customWidth="1"/>
    <col min="10" max="10" width="15.6640625" style="150" bestFit="1" customWidth="1"/>
    <col min="11" max="11" width="9.88671875" style="150" bestFit="1" customWidth="1"/>
    <col min="12" max="16384" width="11.5546875" style="150"/>
  </cols>
  <sheetData>
    <row r="1" spans="1:12" ht="13.8" customHeight="1" x14ac:dyDescent="0.25">
      <c r="A1" s="164" t="s">
        <v>3159</v>
      </c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</row>
    <row r="2" spans="1:12" ht="13.8" customHeight="1" x14ac:dyDescent="0.25">
      <c r="A2" s="164"/>
      <c r="B2" s="164"/>
      <c r="C2" s="164"/>
      <c r="D2" s="164"/>
      <c r="E2" s="164"/>
      <c r="F2" s="164"/>
      <c r="G2" s="164"/>
      <c r="H2" s="164"/>
      <c r="I2" s="164"/>
      <c r="J2" s="164"/>
      <c r="K2" s="164"/>
      <c r="L2" s="164"/>
    </row>
    <row r="3" spans="1:12" ht="13.8" customHeight="1" x14ac:dyDescent="0.25">
      <c r="A3" s="164"/>
      <c r="B3" s="164"/>
      <c r="C3" s="164"/>
      <c r="D3" s="164"/>
      <c r="E3" s="164"/>
      <c r="F3" s="164"/>
      <c r="G3" s="164"/>
      <c r="H3" s="164"/>
      <c r="I3" s="164"/>
      <c r="J3" s="164"/>
      <c r="K3" s="164"/>
      <c r="L3" s="164"/>
    </row>
    <row r="5" spans="1:12" x14ac:dyDescent="0.25">
      <c r="C5" s="165" t="s">
        <v>3075</v>
      </c>
      <c r="D5" s="165"/>
      <c r="E5" s="165"/>
      <c r="F5" s="151"/>
      <c r="G5" s="151">
        <v>50</v>
      </c>
      <c r="H5" s="151"/>
    </row>
    <row r="6" spans="1:12" ht="14.4" thickBot="1" x14ac:dyDescent="0.3">
      <c r="C6" s="151"/>
      <c r="D6" s="151"/>
      <c r="E6" s="151"/>
      <c r="F6" s="151"/>
      <c r="G6" s="151"/>
      <c r="H6" s="151"/>
    </row>
    <row r="7" spans="1:12" ht="18.600000000000001" customHeight="1" thickBot="1" x14ac:dyDescent="0.45">
      <c r="C7" s="156"/>
      <c r="D7" s="153"/>
      <c r="E7" s="153"/>
      <c r="F7" s="153"/>
      <c r="G7" s="153"/>
      <c r="I7" s="155"/>
    </row>
    <row r="8" spans="1:12" x14ac:dyDescent="0.25">
      <c r="B8" s="150" t="s">
        <v>3034</v>
      </c>
      <c r="C8" s="150" t="s">
        <v>3076</v>
      </c>
      <c r="D8" s="150" t="s">
        <v>3160</v>
      </c>
      <c r="E8" s="150" t="s">
        <v>3163</v>
      </c>
      <c r="F8" s="150" t="s">
        <v>3161</v>
      </c>
      <c r="G8" s="150" t="s">
        <v>3162</v>
      </c>
      <c r="H8" s="150" t="s">
        <v>3164</v>
      </c>
      <c r="I8" s="150" t="s">
        <v>3032</v>
      </c>
    </row>
    <row r="9" spans="1:12" x14ac:dyDescent="0.25">
      <c r="B9" s="151">
        <f>ROW(A1)</f>
        <v>1</v>
      </c>
      <c r="C9" s="150" t="str">
        <f>IFERROR(VLOOKUP(BDREGISTROMINGA20256[[#This Row],[KARDEX]],BDPADRES[],8,FALSE),"Sin registrado")</f>
        <v>ZUNILDA ARANCIBIA ROSADO</v>
      </c>
      <c r="D9" s="151">
        <v>50</v>
      </c>
      <c r="I9" s="158">
        <v>50</v>
      </c>
    </row>
    <row r="10" spans="1:12" x14ac:dyDescent="0.25">
      <c r="B10" s="151">
        <f t="shared" ref="B10:B73" si="0">ROW(A2)</f>
        <v>2</v>
      </c>
      <c r="C10" s="150" t="str">
        <f>IFERROR(VLOOKUP(BDREGISTROMINGA20256[[#This Row],[KARDEX]],BDPADRES[],8,FALSE),"Sin registrado")</f>
        <v>GUISELA ULLOA MAMANI</v>
      </c>
      <c r="I10" s="157"/>
    </row>
    <row r="11" spans="1:12" x14ac:dyDescent="0.25">
      <c r="B11" s="151">
        <f t="shared" si="0"/>
        <v>3</v>
      </c>
      <c r="C11" s="150" t="str">
        <f>IFERROR(VLOOKUP(BDREGISTROMINGA20256[[#This Row],[KARDEX]],BDPADRES[],8,FALSE),"Sin registrado")</f>
        <v>BENITA VILLARES PACHILE</v>
      </c>
      <c r="I11" s="157"/>
    </row>
    <row r="12" spans="1:12" x14ac:dyDescent="0.25">
      <c r="B12" s="151">
        <f t="shared" si="0"/>
        <v>4</v>
      </c>
      <c r="C12" s="150" t="str">
        <f>IFERROR(VLOOKUP(BDREGISTROMINGA20256[[#This Row],[KARDEX]],BDPADRES[],8,FALSE),"Sin registrado")</f>
        <v>MARIELA ORELLANA ARANCIBIA</v>
      </c>
      <c r="I12" s="157"/>
    </row>
    <row r="13" spans="1:12" x14ac:dyDescent="0.25">
      <c r="B13" s="151">
        <f t="shared" si="0"/>
        <v>5</v>
      </c>
      <c r="C13" s="150" t="str">
        <f>IFERROR(VLOOKUP(BDREGISTROMINGA20256[[#This Row],[KARDEX]],BDPADRES[],8,FALSE),"Sin registrado")</f>
        <v>YILDA ROSADO ARAUZ</v>
      </c>
      <c r="I13" s="157"/>
    </row>
    <row r="14" spans="1:12" x14ac:dyDescent="0.25">
      <c r="B14" s="151">
        <f t="shared" si="0"/>
        <v>6</v>
      </c>
      <c r="C14" s="150" t="str">
        <f>IFERROR(VLOOKUP(BDREGISTROMINGA20256[[#This Row],[KARDEX]],BDPADRES[],8,FALSE),"Sin registrado")</f>
        <v>LEIDY KAROLA MEDINA BELTRAN</v>
      </c>
      <c r="I14" s="157"/>
    </row>
    <row r="15" spans="1:12" x14ac:dyDescent="0.25">
      <c r="B15" s="151">
        <f t="shared" si="0"/>
        <v>7</v>
      </c>
      <c r="C15" s="150" t="str">
        <f>IFERROR(VLOOKUP(BDREGISTROMINGA20256[[#This Row],[KARDEX]],BDPADRES[],8,FALSE),"Sin registrado")</f>
        <v>LUZ CORAZON ALBORNOS ZABALAGA</v>
      </c>
      <c r="I15" s="157"/>
    </row>
    <row r="16" spans="1:12" x14ac:dyDescent="0.25">
      <c r="B16" s="151">
        <f t="shared" si="0"/>
        <v>8</v>
      </c>
      <c r="C16" s="150" t="str">
        <f>IFERROR(VLOOKUP(BDREGISTROMINGA20256[[#This Row],[KARDEX]],BDPADRES[],8,FALSE),"Sin registrado")</f>
        <v>ANA KAREN ESTRADA URIONA</v>
      </c>
      <c r="I16" s="157"/>
    </row>
    <row r="17" spans="2:9" x14ac:dyDescent="0.25">
      <c r="B17" s="151">
        <f t="shared" si="0"/>
        <v>9</v>
      </c>
      <c r="C17" s="150" t="str">
        <f>IFERROR(VLOOKUP(BDREGISTROMINGA20256[[#This Row],[KARDEX]],BDPADRES[],8,FALSE),"Sin registrado")</f>
        <v>PAMELA LEONESA MARTINEZ ROMERO</v>
      </c>
      <c r="I17" s="157"/>
    </row>
    <row r="18" spans="2:9" x14ac:dyDescent="0.25">
      <c r="B18" s="151">
        <f t="shared" si="0"/>
        <v>10</v>
      </c>
      <c r="C18" s="150" t="str">
        <f>IFERROR(VLOOKUP(BDREGISTROMINGA20256[[#This Row],[KARDEX]],BDPADRES[],8,FALSE),"Sin registrado")</f>
        <v>EVELIN BALDERRAMA ROJAS</v>
      </c>
      <c r="I18" s="157"/>
    </row>
    <row r="19" spans="2:9" x14ac:dyDescent="0.25">
      <c r="B19" s="151">
        <f t="shared" si="0"/>
        <v>11</v>
      </c>
      <c r="C19" s="150" t="str">
        <f>IFERROR(VLOOKUP(BDREGISTROMINGA20256[[#This Row],[KARDEX]],BDPADRES[],8,FALSE),"Sin registrado")</f>
        <v>CELIA ORELLANA GUTIERREZ</v>
      </c>
      <c r="I19" s="157"/>
    </row>
    <row r="20" spans="2:9" x14ac:dyDescent="0.25">
      <c r="B20" s="151">
        <f t="shared" si="0"/>
        <v>12</v>
      </c>
      <c r="C20" s="150" t="str">
        <f>IFERROR(VLOOKUP(BDREGISTROMINGA20256[[#This Row],[KARDEX]],BDPADRES[],8,FALSE),"Sin registrado")</f>
        <v>MARCELINA MOJIANO MOSCOSO</v>
      </c>
      <c r="I20" s="157"/>
    </row>
    <row r="21" spans="2:9" x14ac:dyDescent="0.25">
      <c r="B21" s="151">
        <f t="shared" si="0"/>
        <v>13</v>
      </c>
      <c r="C21" s="150" t="str">
        <f>IFERROR(VLOOKUP(BDREGISTROMINGA20256[[#This Row],[KARDEX]],BDPADRES[],8,FALSE),"Sin registrado")</f>
        <v>YOLANDA CRUZ AGUIRRE</v>
      </c>
      <c r="I21" s="157"/>
    </row>
    <row r="22" spans="2:9" x14ac:dyDescent="0.25">
      <c r="B22" s="151">
        <f t="shared" si="0"/>
        <v>14</v>
      </c>
      <c r="C22" s="150" t="str">
        <f>IFERROR(VLOOKUP(BDREGISTROMINGA20256[[#This Row],[KARDEX]],BDPADRES[],8,FALSE),"Sin registrado")</f>
        <v>MARGARITA VARGAS BOBARIN</v>
      </c>
      <c r="I22" s="157"/>
    </row>
    <row r="23" spans="2:9" x14ac:dyDescent="0.25">
      <c r="B23" s="151">
        <f t="shared" si="0"/>
        <v>15</v>
      </c>
      <c r="C23" s="150" t="str">
        <f>IFERROR(VLOOKUP(BDREGISTROMINGA20256[[#This Row],[KARDEX]],BDPADRES[],8,FALSE),"Sin registrado")</f>
        <v>CANDELARIA ZAPATA CRESPO</v>
      </c>
      <c r="I23" s="157"/>
    </row>
    <row r="24" spans="2:9" x14ac:dyDescent="0.25">
      <c r="B24" s="151">
        <f t="shared" si="0"/>
        <v>16</v>
      </c>
      <c r="C24" s="150" t="str">
        <f>IFERROR(VLOOKUP(BDREGISTROMINGA20256[[#This Row],[KARDEX]],BDPADRES[],8,FALSE),"Sin registrado")</f>
        <v>DOLORES QUENTA BARRIENTOS</v>
      </c>
      <c r="I24" s="157"/>
    </row>
    <row r="25" spans="2:9" x14ac:dyDescent="0.25">
      <c r="B25" s="151">
        <f t="shared" si="0"/>
        <v>17</v>
      </c>
      <c r="C25" s="150" t="str">
        <f>IFERROR(VLOOKUP(BDREGISTROMINGA20256[[#This Row],[KARDEX]],BDPADRES[],8,FALSE),"Sin registrado")</f>
        <v>ANA MARIA CHOQUE LEITON</v>
      </c>
      <c r="I25" s="157"/>
    </row>
    <row r="26" spans="2:9" x14ac:dyDescent="0.25">
      <c r="B26" s="151">
        <f t="shared" si="0"/>
        <v>18</v>
      </c>
      <c r="C26" s="150" t="str">
        <f>IFERROR(VLOOKUP(BDREGISTROMINGA20256[[#This Row],[KARDEX]],BDPADRES[],8,FALSE),"Sin registrado")</f>
        <v>YASELY RUTH MURILLO CASTRO</v>
      </c>
      <c r="I26" s="157"/>
    </row>
    <row r="27" spans="2:9" x14ac:dyDescent="0.25">
      <c r="B27" s="151">
        <f t="shared" si="0"/>
        <v>19</v>
      </c>
      <c r="C27" s="150" t="str">
        <f>IFERROR(VLOOKUP(BDREGISTROMINGA20256[[#This Row],[KARDEX]],BDPADRES[],8,FALSE),"Sin registrado")</f>
        <v>LIBERATA DIAZ CASTRO</v>
      </c>
      <c r="I27" s="157"/>
    </row>
    <row r="28" spans="2:9" x14ac:dyDescent="0.25">
      <c r="B28" s="151">
        <f t="shared" si="0"/>
        <v>20</v>
      </c>
      <c r="C28" s="150" t="str">
        <f>IFERROR(VLOOKUP(BDREGISTROMINGA20256[[#This Row],[KARDEX]],BDPADRES[],8,FALSE),"Sin registrado")</f>
        <v>EMY RUDY MURILLO CASTRO</v>
      </c>
      <c r="I28" s="157"/>
    </row>
    <row r="29" spans="2:9" x14ac:dyDescent="0.25">
      <c r="B29" s="151">
        <f t="shared" si="0"/>
        <v>21</v>
      </c>
      <c r="C29" s="150" t="str">
        <f>IFERROR(VLOOKUP(BDREGISTROMINGA20256[[#This Row],[KARDEX]],BDPADRES[],8,FALSE),"Sin registrado")</f>
        <v>ABIGAIL LEON SEAS</v>
      </c>
      <c r="I29" s="157"/>
    </row>
    <row r="30" spans="2:9" x14ac:dyDescent="0.25">
      <c r="B30" s="151">
        <f t="shared" si="0"/>
        <v>22</v>
      </c>
      <c r="C30" s="150" t="str">
        <f>IFERROR(VLOOKUP(BDREGISTROMINGA20256[[#This Row],[KARDEX]],BDPADRES[],8,FALSE),"Sin registrado")</f>
        <v>SANDRA PUMA ROSAS</v>
      </c>
      <c r="I30" s="157"/>
    </row>
    <row r="31" spans="2:9" x14ac:dyDescent="0.25">
      <c r="B31" s="151">
        <f t="shared" si="0"/>
        <v>23</v>
      </c>
      <c r="C31" s="150" t="str">
        <f>IFERROR(VLOOKUP(BDREGISTROMINGA20256[[#This Row],[KARDEX]],BDPADRES[],8,FALSE),"Sin registrado")</f>
        <v>VERONICA AIZA QUIROGA</v>
      </c>
      <c r="I31" s="157"/>
    </row>
    <row r="32" spans="2:9" x14ac:dyDescent="0.25">
      <c r="B32" s="151">
        <f t="shared" si="0"/>
        <v>24</v>
      </c>
      <c r="C32" s="150" t="str">
        <f>IFERROR(VLOOKUP(BDREGISTROMINGA20256[[#This Row],[KARDEX]],BDPADRES[],8,FALSE),"Sin registrado")</f>
        <v>ESMERALDA MARINA BARRERA PUMA</v>
      </c>
      <c r="I32" s="157"/>
    </row>
    <row r="33" spans="2:9" x14ac:dyDescent="0.25">
      <c r="B33" s="151">
        <f t="shared" si="0"/>
        <v>25</v>
      </c>
      <c r="C33" s="150" t="str">
        <f>IFERROR(VLOOKUP(BDREGISTROMINGA20256[[#This Row],[KARDEX]],BDPADRES[],8,FALSE),"Sin registrado")</f>
        <v>HEIDY PACO CASTRO</v>
      </c>
      <c r="I33" s="157"/>
    </row>
    <row r="34" spans="2:9" x14ac:dyDescent="0.25">
      <c r="B34" s="151">
        <f t="shared" si="0"/>
        <v>26</v>
      </c>
      <c r="C34" s="150" t="str">
        <f>IFERROR(VLOOKUP(BDREGISTROMINGA20256[[#This Row],[KARDEX]],BDPADRES[],8,FALSE),"Sin registrado")</f>
        <v>PATRICIA LOPEZ CHOQUE</v>
      </c>
      <c r="I34" s="157"/>
    </row>
    <row r="35" spans="2:9" x14ac:dyDescent="0.25">
      <c r="B35" s="151">
        <f t="shared" si="0"/>
        <v>27</v>
      </c>
      <c r="C35" s="150" t="str">
        <f>IFERROR(VLOOKUP(BDREGISTROMINGA20256[[#This Row],[KARDEX]],BDPADRES[],8,FALSE),"Sin registrado")</f>
        <v>BASILIA PADILLA REINA</v>
      </c>
      <c r="I35" s="157"/>
    </row>
    <row r="36" spans="2:9" x14ac:dyDescent="0.25">
      <c r="B36" s="151">
        <f t="shared" si="0"/>
        <v>28</v>
      </c>
      <c r="C36" s="150" t="str">
        <f>IFERROR(VLOOKUP(BDREGISTROMINGA20256[[#This Row],[KARDEX]],BDPADRES[],8,FALSE),"Sin registrado")</f>
        <v>DALCY SILES ROSADO</v>
      </c>
      <c r="I36" s="157"/>
    </row>
    <row r="37" spans="2:9" x14ac:dyDescent="0.25">
      <c r="B37" s="151">
        <f t="shared" si="0"/>
        <v>29</v>
      </c>
      <c r="C37" s="150" t="str">
        <f>IFERROR(VLOOKUP(BDREGISTROMINGA20256[[#This Row],[KARDEX]],BDPADRES[],8,FALSE),"Sin registrado")</f>
        <v>NICOLE PEREYRA CABRERA</v>
      </c>
      <c r="I37" s="157"/>
    </row>
    <row r="38" spans="2:9" x14ac:dyDescent="0.25">
      <c r="B38" s="151">
        <f t="shared" si="0"/>
        <v>30</v>
      </c>
      <c r="C38" s="150" t="str">
        <f>IFERROR(VLOOKUP(BDREGISTROMINGA20256[[#This Row],[KARDEX]],BDPADRES[],8,FALSE),"Sin registrado")</f>
        <v>TERESA  ANDREA CONDORI LOPEZ</v>
      </c>
      <c r="I38" s="157"/>
    </row>
    <row r="39" spans="2:9" x14ac:dyDescent="0.25">
      <c r="B39" s="151">
        <f t="shared" si="0"/>
        <v>31</v>
      </c>
      <c r="C39" s="150" t="str">
        <f>IFERROR(VLOOKUP(BDREGISTROMINGA20256[[#This Row],[KARDEX]],BDPADRES[],8,FALSE),"Sin registrado")</f>
        <v>Sin registrado</v>
      </c>
      <c r="I39" s="157"/>
    </row>
    <row r="40" spans="2:9" x14ac:dyDescent="0.25">
      <c r="B40" s="151">
        <f t="shared" si="0"/>
        <v>32</v>
      </c>
      <c r="C40" s="150" t="str">
        <f>IFERROR(VLOOKUP(BDREGISTROMINGA20256[[#This Row],[KARDEX]],BDPADRES[],8,FALSE),"Sin registrado")</f>
        <v>RODEE FLORES TITO</v>
      </c>
      <c r="I40" s="157"/>
    </row>
    <row r="41" spans="2:9" x14ac:dyDescent="0.25">
      <c r="B41" s="151">
        <f t="shared" si="0"/>
        <v>33</v>
      </c>
      <c r="C41" s="150" t="str">
        <f>IFERROR(VLOOKUP(BDREGISTROMINGA20256[[#This Row],[KARDEX]],BDPADRES[],8,FALSE),"Sin registrado")</f>
        <v>ANA ISABEL APAZA MAMANI</v>
      </c>
      <c r="I41" s="157"/>
    </row>
    <row r="42" spans="2:9" x14ac:dyDescent="0.25">
      <c r="B42" s="151">
        <f t="shared" si="0"/>
        <v>34</v>
      </c>
      <c r="C42" s="150" t="str">
        <f>IFERROR(VLOOKUP(BDREGISTROMINGA20256[[#This Row],[KARDEX]],BDPADRES[],8,FALSE),"Sin registrado")</f>
        <v>JUANA FERNANDEZ LOPEZ</v>
      </c>
      <c r="I42" s="157"/>
    </row>
    <row r="43" spans="2:9" x14ac:dyDescent="0.25">
      <c r="B43" s="151">
        <f t="shared" si="0"/>
        <v>35</v>
      </c>
      <c r="C43" s="150" t="str">
        <f>IFERROR(VLOOKUP(BDREGISTROMINGA20256[[#This Row],[KARDEX]],BDPADRES[],8,FALSE),"Sin registrado")</f>
        <v>OLIVIA FLORES SERRUTO</v>
      </c>
      <c r="I43" s="157"/>
    </row>
    <row r="44" spans="2:9" x14ac:dyDescent="0.25">
      <c r="B44" s="151">
        <f t="shared" si="0"/>
        <v>36</v>
      </c>
      <c r="C44" s="150" t="str">
        <f>IFERROR(VLOOKUP(BDREGISTROMINGA20256[[#This Row],[KARDEX]],BDPADRES[],8,FALSE),"Sin registrado")</f>
        <v>MARLENE   VEDIA BALLESTEROS</v>
      </c>
      <c r="I44" s="157"/>
    </row>
    <row r="45" spans="2:9" x14ac:dyDescent="0.25">
      <c r="B45" s="151">
        <f t="shared" si="0"/>
        <v>37</v>
      </c>
      <c r="C45" s="150" t="str">
        <f>IFERROR(VLOOKUP(BDREGISTROMINGA20256[[#This Row],[KARDEX]],BDPADRES[],8,FALSE),"Sin registrado")</f>
        <v>SEGUNDINA PEÑARRIETA BARVOLIN</v>
      </c>
      <c r="I45" s="157"/>
    </row>
    <row r="46" spans="2:9" x14ac:dyDescent="0.25">
      <c r="B46" s="151">
        <f t="shared" si="0"/>
        <v>38</v>
      </c>
      <c r="C46" s="150" t="str">
        <f>IFERROR(VLOOKUP(BDREGISTROMINGA20256[[#This Row],[KARDEX]],BDPADRES[],8,FALSE),"Sin registrado")</f>
        <v>MERY AGUADO TORREZ</v>
      </c>
      <c r="I46" s="157"/>
    </row>
    <row r="47" spans="2:9" x14ac:dyDescent="0.25">
      <c r="B47" s="151">
        <f t="shared" si="0"/>
        <v>39</v>
      </c>
      <c r="C47" s="150" t="str">
        <f>IFERROR(VLOOKUP(BDREGISTROMINGA20256[[#This Row],[KARDEX]],BDPADRES[],8,FALSE),"Sin registrado")</f>
        <v>JOVITA GARCIA TANTUTELA</v>
      </c>
      <c r="I47" s="157"/>
    </row>
    <row r="48" spans="2:9" x14ac:dyDescent="0.25">
      <c r="B48" s="151">
        <f t="shared" si="0"/>
        <v>40</v>
      </c>
      <c r="C48" s="150" t="str">
        <f>IFERROR(VLOOKUP(BDREGISTROMINGA20256[[#This Row],[KARDEX]],BDPADRES[],8,FALSE),"Sin registrado")</f>
        <v>MARINA MEJIA BEJARANO</v>
      </c>
      <c r="I48" s="157"/>
    </row>
    <row r="49" spans="2:9" x14ac:dyDescent="0.25">
      <c r="B49" s="151">
        <f t="shared" si="0"/>
        <v>41</v>
      </c>
      <c r="C49" s="150" t="str">
        <f>IFERROR(VLOOKUP(BDREGISTROMINGA20256[[#This Row],[KARDEX]],BDPADRES[],8,FALSE),"Sin registrado")</f>
        <v>ELSA TITO CABRERA</v>
      </c>
      <c r="I49" s="157"/>
    </row>
    <row r="50" spans="2:9" x14ac:dyDescent="0.25">
      <c r="B50" s="151">
        <f t="shared" si="0"/>
        <v>42</v>
      </c>
      <c r="C50" s="150" t="str">
        <f>IFERROR(VLOOKUP(BDREGISTROMINGA20256[[#This Row],[KARDEX]],BDPADRES[],8,FALSE),"Sin registrado")</f>
        <v>MARINA  SANTOS PADILLA</v>
      </c>
      <c r="I50" s="157"/>
    </row>
    <row r="51" spans="2:9" x14ac:dyDescent="0.25">
      <c r="B51" s="151">
        <f t="shared" si="0"/>
        <v>43</v>
      </c>
      <c r="C51" s="150" t="str">
        <f>IFERROR(VLOOKUP(BDREGISTROMINGA20256[[#This Row],[KARDEX]],BDPADRES[],8,FALSE),"Sin registrado")</f>
        <v>YOLANDA TORREZ ROJAS</v>
      </c>
      <c r="I51" s="157"/>
    </row>
    <row r="52" spans="2:9" x14ac:dyDescent="0.25">
      <c r="B52" s="151">
        <f t="shared" si="0"/>
        <v>44</v>
      </c>
      <c r="C52" s="150" t="str">
        <f>IFERROR(VLOOKUP(BDREGISTROMINGA20256[[#This Row],[KARDEX]],BDPADRES[],8,FALSE),"Sin registrado")</f>
        <v>MARIA DEISY TERRAZAS GUTIERREZ</v>
      </c>
      <c r="I52" s="157"/>
    </row>
    <row r="53" spans="2:9" x14ac:dyDescent="0.25">
      <c r="B53" s="151">
        <f t="shared" si="0"/>
        <v>45</v>
      </c>
      <c r="C53" s="150" t="str">
        <f>IFERROR(VLOOKUP(BDREGISTROMINGA20256[[#This Row],[KARDEX]],BDPADRES[],8,FALSE),"Sin registrado")</f>
        <v>LIDIA ALVAREZ MONTAÑO</v>
      </c>
      <c r="I53" s="157"/>
    </row>
    <row r="54" spans="2:9" x14ac:dyDescent="0.25">
      <c r="B54" s="151">
        <f t="shared" si="0"/>
        <v>46</v>
      </c>
      <c r="C54" s="150" t="str">
        <f>IFERROR(VLOOKUP(BDREGISTROMINGA20256[[#This Row],[KARDEX]],BDPADRES[],8,FALSE),"Sin registrado")</f>
        <v>YESSICA AGUILAR ALVAREZ</v>
      </c>
      <c r="I54" s="157"/>
    </row>
    <row r="55" spans="2:9" x14ac:dyDescent="0.25">
      <c r="B55" s="151">
        <f t="shared" si="0"/>
        <v>47</v>
      </c>
      <c r="C55" s="150" t="str">
        <f>IFERROR(VLOOKUP(BDREGISTROMINGA20256[[#This Row],[KARDEX]],BDPADRES[],8,FALSE),"Sin registrado")</f>
        <v>EUNICE CARTAGENA RUIZ</v>
      </c>
      <c r="I55" s="157"/>
    </row>
    <row r="56" spans="2:9" x14ac:dyDescent="0.25">
      <c r="B56" s="151">
        <f t="shared" si="0"/>
        <v>48</v>
      </c>
      <c r="C56" s="150" t="str">
        <f>IFERROR(VLOOKUP(BDREGISTROMINGA20256[[#This Row],[KARDEX]],BDPADRES[],8,FALSE),"Sin registrado")</f>
        <v>SHEILA VANESSA VARGAS TITO</v>
      </c>
      <c r="I56" s="157"/>
    </row>
    <row r="57" spans="2:9" x14ac:dyDescent="0.25">
      <c r="B57" s="151">
        <f t="shared" si="0"/>
        <v>49</v>
      </c>
      <c r="C57" s="150" t="str">
        <f>IFERROR(VLOOKUP(BDREGISTROMINGA20256[[#This Row],[KARDEX]],BDPADRES[],8,FALSE),"Sin registrado")</f>
        <v>REINA MAMANI IPORRE</v>
      </c>
      <c r="I57" s="157"/>
    </row>
    <row r="58" spans="2:9" x14ac:dyDescent="0.25">
      <c r="B58" s="151">
        <f t="shared" si="0"/>
        <v>50</v>
      </c>
      <c r="C58" s="150" t="str">
        <f>IFERROR(VLOOKUP(BDREGISTROMINGA20256[[#This Row],[KARDEX]],BDPADRES[],8,FALSE),"Sin registrado")</f>
        <v>MARLENE TERESA GOMEZ CHOQUE</v>
      </c>
      <c r="I58" s="157"/>
    </row>
    <row r="59" spans="2:9" x14ac:dyDescent="0.25">
      <c r="B59" s="151">
        <f t="shared" si="0"/>
        <v>51</v>
      </c>
      <c r="C59" s="150" t="str">
        <f>IFERROR(VLOOKUP(BDREGISTROMINGA20256[[#This Row],[KARDEX]],BDPADRES[],8,FALSE),"Sin registrado")</f>
        <v>ELVA LLENES SALAZAR</v>
      </c>
      <c r="I59" s="157"/>
    </row>
    <row r="60" spans="2:9" x14ac:dyDescent="0.25">
      <c r="B60" s="151">
        <f t="shared" si="0"/>
        <v>52</v>
      </c>
      <c r="C60" s="150" t="str">
        <f>IFERROR(VLOOKUP(BDREGISTROMINGA20256[[#This Row],[KARDEX]],BDPADRES[],8,FALSE),"Sin registrado")</f>
        <v>MARTHA URQUIZU SALINAS</v>
      </c>
      <c r="I60" s="157"/>
    </row>
    <row r="61" spans="2:9" x14ac:dyDescent="0.25">
      <c r="B61" s="151">
        <f t="shared" si="0"/>
        <v>53</v>
      </c>
      <c r="C61" s="150" t="str">
        <f>IFERROR(VLOOKUP(BDREGISTROMINGA20256[[#This Row],[KARDEX]],BDPADRES[],8,FALSE),"Sin registrado")</f>
        <v>MARGOT ZEGARRA NUÑEZ</v>
      </c>
      <c r="I61" s="157"/>
    </row>
    <row r="62" spans="2:9" x14ac:dyDescent="0.25">
      <c r="B62" s="151">
        <f t="shared" si="0"/>
        <v>54</v>
      </c>
      <c r="C62" s="150" t="str">
        <f>IFERROR(VLOOKUP(BDREGISTROMINGA20256[[#This Row],[KARDEX]],BDPADRES[],8,FALSE),"Sin registrado")</f>
        <v>CECILIA CASTRO PINTO</v>
      </c>
      <c r="I62" s="157"/>
    </row>
    <row r="63" spans="2:9" x14ac:dyDescent="0.25">
      <c r="B63" s="151">
        <f t="shared" si="0"/>
        <v>55</v>
      </c>
      <c r="C63" s="150" t="str">
        <f>IFERROR(VLOOKUP(BDREGISTROMINGA20256[[#This Row],[KARDEX]],BDPADRES[],8,FALSE),"Sin registrado")</f>
        <v>ROSSE MARY BALDELOMAR VEIZAGA</v>
      </c>
      <c r="I63" s="157"/>
    </row>
    <row r="64" spans="2:9" x14ac:dyDescent="0.25">
      <c r="B64" s="151">
        <f t="shared" si="0"/>
        <v>56</v>
      </c>
      <c r="C64" s="150" t="str">
        <f>IFERROR(VLOOKUP(BDREGISTROMINGA20256[[#This Row],[KARDEX]],BDPADRES[],8,FALSE),"Sin registrado")</f>
        <v>CLAUDINA SANTOS</v>
      </c>
      <c r="I64" s="157"/>
    </row>
    <row r="65" spans="2:9" x14ac:dyDescent="0.25">
      <c r="B65" s="151">
        <f t="shared" si="0"/>
        <v>57</v>
      </c>
      <c r="C65" s="150" t="str">
        <f>IFERROR(VLOOKUP(BDREGISTROMINGA20256[[#This Row],[KARDEX]],BDPADRES[],8,FALSE),"Sin registrado")</f>
        <v>ALISON CABRERA CRUZ</v>
      </c>
      <c r="I65" s="157"/>
    </row>
    <row r="66" spans="2:9" x14ac:dyDescent="0.25">
      <c r="B66" s="151">
        <f t="shared" si="0"/>
        <v>58</v>
      </c>
      <c r="C66" s="150" t="str">
        <f>IFERROR(VLOOKUP(BDREGISTROMINGA20256[[#This Row],[KARDEX]],BDPADRES[],8,FALSE),"Sin registrado")</f>
        <v>ANA MARIA ROMERO AVILA</v>
      </c>
      <c r="I66" s="157"/>
    </row>
    <row r="67" spans="2:9" x14ac:dyDescent="0.25">
      <c r="B67" s="151">
        <f t="shared" si="0"/>
        <v>59</v>
      </c>
      <c r="C67" s="150" t="str">
        <f>IFERROR(VLOOKUP(BDREGISTROMINGA20256[[#This Row],[KARDEX]],BDPADRES[],8,FALSE),"Sin registrado")</f>
        <v>MARGARITA AVARIPA CRUZ</v>
      </c>
      <c r="I67" s="157"/>
    </row>
    <row r="68" spans="2:9" x14ac:dyDescent="0.25">
      <c r="B68" s="151">
        <f t="shared" si="0"/>
        <v>60</v>
      </c>
      <c r="C68" s="150" t="str">
        <f>IFERROR(VLOOKUP(BDREGISTROMINGA20256[[#This Row],[KARDEX]],BDPADRES[],8,FALSE),"Sin registrado")</f>
        <v>ANAHI LIJERON RAMIREZ</v>
      </c>
      <c r="I68" s="157"/>
    </row>
    <row r="69" spans="2:9" x14ac:dyDescent="0.25">
      <c r="B69" s="151">
        <f t="shared" si="0"/>
        <v>61</v>
      </c>
      <c r="C69" s="150" t="str">
        <f>IFERROR(VLOOKUP(BDREGISTROMINGA20256[[#This Row],[KARDEX]],BDPADRES[],8,FALSE),"Sin registrado")</f>
        <v>NILDA HUAYHUA ARENAS</v>
      </c>
      <c r="I69" s="157"/>
    </row>
    <row r="70" spans="2:9" x14ac:dyDescent="0.25">
      <c r="B70" s="151">
        <f t="shared" si="0"/>
        <v>62</v>
      </c>
      <c r="C70" s="150" t="str">
        <f>IFERROR(VLOOKUP(BDREGISTROMINGA20256[[#This Row],[KARDEX]],BDPADRES[],8,FALSE),"Sin registrado")</f>
        <v>EDITH  ESCOBAR CESPEDES</v>
      </c>
      <c r="I70" s="157"/>
    </row>
    <row r="71" spans="2:9" x14ac:dyDescent="0.25">
      <c r="B71" s="151">
        <f t="shared" si="0"/>
        <v>63</v>
      </c>
      <c r="C71" s="150" t="str">
        <f>IFERROR(VLOOKUP(BDREGISTROMINGA20256[[#This Row],[KARDEX]],BDPADRES[],8,FALSE),"Sin registrado")</f>
        <v>SIMONA ARIAS RENGIPO</v>
      </c>
      <c r="I71" s="157"/>
    </row>
    <row r="72" spans="2:9" x14ac:dyDescent="0.25">
      <c r="B72" s="151">
        <f t="shared" si="0"/>
        <v>64</v>
      </c>
      <c r="C72" s="150" t="str">
        <f>IFERROR(VLOOKUP(BDREGISTROMINGA20256[[#This Row],[KARDEX]],BDPADRES[],8,FALSE),"Sin registrado")</f>
        <v>JUANA MARTINEZ FERNANDEZ</v>
      </c>
      <c r="I72" s="157"/>
    </row>
    <row r="73" spans="2:9" x14ac:dyDescent="0.25">
      <c r="B73" s="151">
        <f t="shared" si="0"/>
        <v>65</v>
      </c>
      <c r="C73" s="150" t="str">
        <f>IFERROR(VLOOKUP(BDREGISTROMINGA20256[[#This Row],[KARDEX]],BDPADRES[],8,FALSE),"Sin registrado")</f>
        <v>MARGARITA DAZA VEDIA</v>
      </c>
      <c r="I73" s="157"/>
    </row>
    <row r="74" spans="2:9" x14ac:dyDescent="0.25">
      <c r="B74" s="151">
        <f t="shared" ref="B74:B137" si="1">ROW(A66)</f>
        <v>66</v>
      </c>
      <c r="C74" s="150" t="str">
        <f>IFERROR(VLOOKUP(BDREGISTROMINGA20256[[#This Row],[KARDEX]],BDPADRES[],8,FALSE),"Sin registrado")</f>
        <v>JAHEL  ACHO RODRIGUEZ</v>
      </c>
      <c r="I74" s="157"/>
    </row>
    <row r="75" spans="2:9" x14ac:dyDescent="0.25">
      <c r="B75" s="151">
        <f t="shared" si="1"/>
        <v>67</v>
      </c>
      <c r="C75" s="150" t="str">
        <f>IFERROR(VLOOKUP(BDREGISTROMINGA20256[[#This Row],[KARDEX]],BDPADRES[],8,FALSE),"Sin registrado")</f>
        <v>SIN NOMBRE PACO</v>
      </c>
      <c r="I75" s="157"/>
    </row>
    <row r="76" spans="2:9" x14ac:dyDescent="0.25">
      <c r="B76" s="151">
        <f t="shared" si="1"/>
        <v>68</v>
      </c>
      <c r="C76" s="150" t="str">
        <f>IFERROR(VLOOKUP(BDREGISTROMINGA20256[[#This Row],[KARDEX]],BDPADRES[],8,FALSE),"Sin registrado")</f>
        <v>LISBETH ALCOBA CESPEDES</v>
      </c>
      <c r="I76" s="157"/>
    </row>
    <row r="77" spans="2:9" x14ac:dyDescent="0.25">
      <c r="B77" s="151">
        <f t="shared" si="1"/>
        <v>69</v>
      </c>
      <c r="C77" s="150" t="str">
        <f>IFERROR(VLOOKUP(BDREGISTROMINGA20256[[#This Row],[KARDEX]],BDPADRES[],8,FALSE),"Sin registrado")</f>
        <v>MARIA MERCEDES PUMACAYO PERALTA</v>
      </c>
      <c r="I77" s="157"/>
    </row>
    <row r="78" spans="2:9" x14ac:dyDescent="0.25">
      <c r="B78" s="151">
        <f t="shared" si="1"/>
        <v>70</v>
      </c>
      <c r="C78" s="150" t="str">
        <f>IFERROR(VLOOKUP(BDREGISTROMINGA20256[[#This Row],[KARDEX]],BDPADRES[],8,FALSE),"Sin registrado")</f>
        <v>CRECENCIA AVALOS GARNICA</v>
      </c>
      <c r="I78" s="157"/>
    </row>
    <row r="79" spans="2:9" x14ac:dyDescent="0.25">
      <c r="B79" s="151">
        <f t="shared" si="1"/>
        <v>71</v>
      </c>
      <c r="C79" s="150" t="str">
        <f>IFERROR(VLOOKUP(BDREGISTROMINGA20256[[#This Row],[KARDEX]],BDPADRES[],8,FALSE),"Sin registrado")</f>
        <v>TEOLINDA HUAILLA LOPEZ</v>
      </c>
      <c r="I79" s="157"/>
    </row>
    <row r="80" spans="2:9" x14ac:dyDescent="0.25">
      <c r="B80" s="151">
        <f t="shared" si="1"/>
        <v>72</v>
      </c>
      <c r="C80" s="150" t="str">
        <f>IFERROR(VLOOKUP(BDREGISTROMINGA20256[[#This Row],[KARDEX]],BDPADRES[],8,FALSE),"Sin registrado")</f>
        <v xml:space="preserve">SIN NOMBRE  PUMACAYO  </v>
      </c>
      <c r="I80" s="157"/>
    </row>
    <row r="81" spans="2:9" x14ac:dyDescent="0.25">
      <c r="B81" s="151">
        <f t="shared" si="1"/>
        <v>73</v>
      </c>
      <c r="C81" s="150" t="str">
        <f>IFERROR(VLOOKUP(BDREGISTROMINGA20256[[#This Row],[KARDEX]],BDPADRES[],8,FALSE),"Sin registrado")</f>
        <v>SIDELA RAMIREZ FLORES</v>
      </c>
      <c r="I81" s="157"/>
    </row>
    <row r="82" spans="2:9" x14ac:dyDescent="0.25">
      <c r="B82" s="151">
        <f t="shared" si="1"/>
        <v>74</v>
      </c>
      <c r="C82" s="150" t="str">
        <f>IFERROR(VLOOKUP(BDREGISTROMINGA20256[[#This Row],[KARDEX]],BDPADRES[],8,FALSE),"Sin registrado")</f>
        <v>ELIZABETH RODRIGUEZ RODRIGUEZ</v>
      </c>
      <c r="I82" s="157"/>
    </row>
    <row r="83" spans="2:9" x14ac:dyDescent="0.25">
      <c r="B83" s="151">
        <f t="shared" si="1"/>
        <v>75</v>
      </c>
      <c r="C83" s="150" t="str">
        <f>IFERROR(VLOOKUP(BDREGISTROMINGA20256[[#This Row],[KARDEX]],BDPADRES[],8,FALSE),"Sin registrado")</f>
        <v>MARGARITA ISABEL RIBERA TERCEROS</v>
      </c>
      <c r="I83" s="157"/>
    </row>
    <row r="84" spans="2:9" x14ac:dyDescent="0.25">
      <c r="B84" s="151">
        <f t="shared" si="1"/>
        <v>76</v>
      </c>
      <c r="C84" s="150" t="str">
        <f>IFERROR(VLOOKUP(BDREGISTROMINGA20256[[#This Row],[KARDEX]],BDPADRES[],8,FALSE),"Sin registrado")</f>
        <v>YSABEL CEREZO RIVAS</v>
      </c>
      <c r="I84" s="157"/>
    </row>
    <row r="85" spans="2:9" x14ac:dyDescent="0.25">
      <c r="B85" s="151">
        <f t="shared" si="1"/>
        <v>77</v>
      </c>
      <c r="C85" s="150" t="str">
        <f>IFERROR(VLOOKUP(BDREGISTROMINGA20256[[#This Row],[KARDEX]],BDPADRES[],8,FALSE),"Sin registrado")</f>
        <v>LIDIA MEDINA NOVA</v>
      </c>
      <c r="I85" s="157"/>
    </row>
    <row r="86" spans="2:9" x14ac:dyDescent="0.25">
      <c r="B86" s="151">
        <f t="shared" si="1"/>
        <v>78</v>
      </c>
      <c r="C86" s="150" t="str">
        <f>IFERROR(VLOOKUP(BDREGISTROMINGA20256[[#This Row],[KARDEX]],BDPADRES[],8,FALSE),"Sin registrado")</f>
        <v>ROXANA PINTO FLORES</v>
      </c>
      <c r="I86" s="157"/>
    </row>
    <row r="87" spans="2:9" x14ac:dyDescent="0.25">
      <c r="B87" s="151">
        <f t="shared" si="1"/>
        <v>79</v>
      </c>
      <c r="C87" s="150" t="str">
        <f>IFERROR(VLOOKUP(BDREGISTROMINGA20256[[#This Row],[KARDEX]],BDPADRES[],8,FALSE),"Sin registrado")</f>
        <v>AGUSTINA MARTINEZ MILLARES</v>
      </c>
      <c r="I87" s="157"/>
    </row>
    <row r="88" spans="2:9" x14ac:dyDescent="0.25">
      <c r="B88" s="151">
        <f t="shared" si="1"/>
        <v>80</v>
      </c>
      <c r="C88" s="150" t="str">
        <f>IFERROR(VLOOKUP(BDREGISTROMINGA20256[[#This Row],[KARDEX]],BDPADRES[],8,FALSE),"Sin registrado")</f>
        <v>MIGUELINA GUERRERO RODA</v>
      </c>
      <c r="I88" s="157"/>
    </row>
    <row r="89" spans="2:9" x14ac:dyDescent="0.25">
      <c r="B89" s="151">
        <f t="shared" si="1"/>
        <v>81</v>
      </c>
      <c r="C89" s="150" t="str">
        <f>IFERROR(VLOOKUP(BDREGISTROMINGA20256[[#This Row],[KARDEX]],BDPADRES[],8,FALSE),"Sin registrado")</f>
        <v>CATALINA MAMANI OCHOA</v>
      </c>
      <c r="I89" s="157"/>
    </row>
    <row r="90" spans="2:9" x14ac:dyDescent="0.25">
      <c r="B90" s="151">
        <f t="shared" si="1"/>
        <v>82</v>
      </c>
      <c r="C90" s="150" t="str">
        <f>IFERROR(VLOOKUP(BDREGISTROMINGA20256[[#This Row],[KARDEX]],BDPADRES[],8,FALSE),"Sin registrado")</f>
        <v>MARTHA FIGUEROA GUZMAN</v>
      </c>
      <c r="I90" s="157"/>
    </row>
    <row r="91" spans="2:9" x14ac:dyDescent="0.25">
      <c r="B91" s="151">
        <f t="shared" si="1"/>
        <v>83</v>
      </c>
      <c r="C91" s="150" t="str">
        <f>IFERROR(VLOOKUP(BDREGISTROMINGA20256[[#This Row],[KARDEX]],BDPADRES[],8,FALSE),"Sin registrado")</f>
        <v>ROSMERY CAMARGO CARBALLO</v>
      </c>
      <c r="I91" s="157"/>
    </row>
    <row r="92" spans="2:9" x14ac:dyDescent="0.25">
      <c r="B92" s="151">
        <f t="shared" si="1"/>
        <v>84</v>
      </c>
      <c r="C92" s="150" t="str">
        <f>IFERROR(VLOOKUP(BDREGISTROMINGA20256[[#This Row],[KARDEX]],BDPADRES[],8,FALSE),"Sin registrado")</f>
        <v>ELIZABETH MERCADO LOPEZ</v>
      </c>
      <c r="I92" s="157"/>
    </row>
    <row r="93" spans="2:9" x14ac:dyDescent="0.25">
      <c r="B93" s="151">
        <f t="shared" si="1"/>
        <v>85</v>
      </c>
      <c r="C93" s="150" t="str">
        <f>IFERROR(VLOOKUP(BDREGISTROMINGA20256[[#This Row],[KARDEX]],BDPADRES[],8,FALSE),"Sin registrado")</f>
        <v>ARACELI LIMON AVALOS</v>
      </c>
      <c r="I93" s="157"/>
    </row>
    <row r="94" spans="2:9" x14ac:dyDescent="0.25">
      <c r="B94" s="151">
        <f t="shared" si="1"/>
        <v>86</v>
      </c>
      <c r="C94" s="150" t="str">
        <f>IFERROR(VLOOKUP(BDREGISTROMINGA20256[[#This Row],[KARDEX]],BDPADRES[],8,FALSE),"Sin registrado")</f>
        <v>VICENTA MOSCOSO ROMERO</v>
      </c>
      <c r="I94" s="157"/>
    </row>
    <row r="95" spans="2:9" x14ac:dyDescent="0.25">
      <c r="B95" s="151">
        <f t="shared" si="1"/>
        <v>87</v>
      </c>
      <c r="C95" s="150" t="str">
        <f>IFERROR(VLOOKUP(BDREGISTROMINGA20256[[#This Row],[KARDEX]],BDPADRES[],8,FALSE),"Sin registrado")</f>
        <v>FLOR MARIA MOJICA GARCIA</v>
      </c>
      <c r="I95" s="157"/>
    </row>
    <row r="96" spans="2:9" x14ac:dyDescent="0.25">
      <c r="B96" s="151">
        <f t="shared" si="1"/>
        <v>88</v>
      </c>
      <c r="C96" s="150" t="str">
        <f>IFERROR(VLOOKUP(BDREGISTROMINGA20256[[#This Row],[KARDEX]],BDPADRES[],8,FALSE),"Sin registrado")</f>
        <v>ROSXANA MOJIANO MOSCOSO</v>
      </c>
      <c r="I96" s="157"/>
    </row>
    <row r="97" spans="2:9" x14ac:dyDescent="0.25">
      <c r="B97" s="151">
        <f t="shared" si="1"/>
        <v>89</v>
      </c>
      <c r="C97" s="150" t="str">
        <f>IFERROR(VLOOKUP(BDREGISTROMINGA20256[[#This Row],[KARDEX]],BDPADRES[],8,FALSE),"Sin registrado")</f>
        <v>YENNY ROJAS CLAURE</v>
      </c>
      <c r="I97" s="157"/>
    </row>
    <row r="98" spans="2:9" x14ac:dyDescent="0.25">
      <c r="B98" s="151">
        <f t="shared" si="1"/>
        <v>90</v>
      </c>
      <c r="C98" s="150" t="str">
        <f>IFERROR(VLOOKUP(BDREGISTROMINGA20256[[#This Row],[KARDEX]],BDPADRES[],8,FALSE),"Sin registrado")</f>
        <v>SILVIA CARI CARI COLQUE</v>
      </c>
      <c r="I98" s="157"/>
    </row>
    <row r="99" spans="2:9" x14ac:dyDescent="0.25">
      <c r="B99" s="151">
        <f t="shared" si="1"/>
        <v>91</v>
      </c>
      <c r="C99" s="150" t="str">
        <f>IFERROR(VLOOKUP(BDREGISTROMINGA20256[[#This Row],[KARDEX]],BDPADRES[],8,FALSE),"Sin registrado")</f>
        <v>VERENICE DORADO MONTENEGRO</v>
      </c>
      <c r="I99" s="157"/>
    </row>
    <row r="100" spans="2:9" x14ac:dyDescent="0.25">
      <c r="B100" s="151">
        <f t="shared" si="1"/>
        <v>92</v>
      </c>
      <c r="C100" s="150" t="str">
        <f>IFERROR(VLOOKUP(BDREGISTROMINGA20256[[#This Row],[KARDEX]],BDPADRES[],8,FALSE),"Sin registrado")</f>
        <v>DANIELA APAZA MIRANDA</v>
      </c>
      <c r="I100" s="157"/>
    </row>
    <row r="101" spans="2:9" x14ac:dyDescent="0.25">
      <c r="B101" s="151">
        <f t="shared" si="1"/>
        <v>93</v>
      </c>
      <c r="C101" s="150" t="str">
        <f>IFERROR(VLOOKUP(BDREGISTROMINGA20256[[#This Row],[KARDEX]],BDPADRES[],8,FALSE),"Sin registrado")</f>
        <v>DORA TERAN NOMTENEGRO</v>
      </c>
      <c r="I101" s="157"/>
    </row>
    <row r="102" spans="2:9" x14ac:dyDescent="0.25">
      <c r="B102" s="151">
        <f t="shared" si="1"/>
        <v>94</v>
      </c>
      <c r="C102" s="150" t="str">
        <f>IFERROR(VLOOKUP(BDREGISTROMINGA20256[[#This Row],[KARDEX]],BDPADRES[],8,FALSE),"Sin registrado")</f>
        <v>Sin registrado</v>
      </c>
      <c r="I102" s="157"/>
    </row>
    <row r="103" spans="2:9" x14ac:dyDescent="0.25">
      <c r="B103" s="151">
        <f t="shared" si="1"/>
        <v>95</v>
      </c>
      <c r="C103" s="150" t="str">
        <f>IFERROR(VLOOKUP(BDREGISTROMINGA20256[[#This Row],[KARDEX]],BDPADRES[],8,FALSE),"Sin registrado")</f>
        <v>MARGARITA CHUMBE LOPEZ</v>
      </c>
      <c r="I103" s="157"/>
    </row>
    <row r="104" spans="2:9" x14ac:dyDescent="0.25">
      <c r="B104" s="151">
        <f t="shared" si="1"/>
        <v>96</v>
      </c>
      <c r="C104" s="150" t="str">
        <f>IFERROR(VLOOKUP(BDREGISTROMINGA20256[[#This Row],[KARDEX]],BDPADRES[],8,FALSE),"Sin registrado")</f>
        <v>AURORA URIONA VELASQUEZ</v>
      </c>
      <c r="I104" s="157"/>
    </row>
    <row r="105" spans="2:9" x14ac:dyDescent="0.25">
      <c r="B105" s="151">
        <f t="shared" si="1"/>
        <v>97</v>
      </c>
      <c r="C105" s="150" t="str">
        <f>IFERROR(VLOOKUP(BDREGISTROMINGA20256[[#This Row],[KARDEX]],BDPADRES[],8,FALSE),"Sin registrado")</f>
        <v>CELESTINA ARIMOZA CARBALLO</v>
      </c>
      <c r="I105" s="157"/>
    </row>
    <row r="106" spans="2:9" x14ac:dyDescent="0.25">
      <c r="B106" s="151">
        <f t="shared" si="1"/>
        <v>98</v>
      </c>
      <c r="C106" s="150" t="str">
        <f>IFERROR(VLOOKUP(BDREGISTROMINGA20256[[#This Row],[KARDEX]],BDPADRES[],8,FALSE),"Sin registrado")</f>
        <v>CARMEN GALARZA GALVIS</v>
      </c>
      <c r="I106" s="157"/>
    </row>
    <row r="107" spans="2:9" x14ac:dyDescent="0.25">
      <c r="B107" s="151">
        <f t="shared" si="1"/>
        <v>99</v>
      </c>
      <c r="C107" s="150" t="str">
        <f>IFERROR(VLOOKUP(BDREGISTROMINGA20256[[#This Row],[KARDEX]],BDPADRES[],8,FALSE),"Sin registrado")</f>
        <v>MARIA ELSA GARCIA CUCHALLO</v>
      </c>
      <c r="I107" s="157"/>
    </row>
    <row r="108" spans="2:9" x14ac:dyDescent="0.25">
      <c r="B108" s="151">
        <f t="shared" si="1"/>
        <v>100</v>
      </c>
      <c r="C108" s="150" t="str">
        <f>IFERROR(VLOOKUP(BDREGISTROMINGA20256[[#This Row],[KARDEX]],BDPADRES[],8,FALSE),"Sin registrado")</f>
        <v>LOURDES BALDERAS VEDIA</v>
      </c>
      <c r="I108" s="157"/>
    </row>
    <row r="109" spans="2:9" x14ac:dyDescent="0.25">
      <c r="B109" s="151">
        <f t="shared" si="1"/>
        <v>101</v>
      </c>
      <c r="C109" s="150" t="str">
        <f>IFERROR(VLOOKUP(BDREGISTROMINGA20256[[#This Row],[KARDEX]],BDPADRES[],8,FALSE),"Sin registrado")</f>
        <v>CLEOFE AZURDUY REVOLLO</v>
      </c>
      <c r="I109" s="157"/>
    </row>
    <row r="110" spans="2:9" x14ac:dyDescent="0.25">
      <c r="B110" s="151">
        <f t="shared" si="1"/>
        <v>102</v>
      </c>
      <c r="C110" s="150" t="str">
        <f>IFERROR(VLOOKUP(BDREGISTROMINGA20256[[#This Row],[KARDEX]],BDPADRES[],8,FALSE),"Sin registrado")</f>
        <v>LAURA CORCHADO BEJARANO</v>
      </c>
      <c r="I110" s="157"/>
    </row>
    <row r="111" spans="2:9" x14ac:dyDescent="0.25">
      <c r="B111" s="151">
        <f t="shared" si="1"/>
        <v>103</v>
      </c>
      <c r="C111" s="150" t="str">
        <f>IFERROR(VLOOKUP(BDREGISTROMINGA20256[[#This Row],[KARDEX]],BDPADRES[],8,FALSE),"Sin registrado")</f>
        <v>VERONICA CHAMBI PACO</v>
      </c>
      <c r="I111" s="157"/>
    </row>
    <row r="112" spans="2:9" x14ac:dyDescent="0.25">
      <c r="B112" s="151">
        <f t="shared" si="1"/>
        <v>104</v>
      </c>
      <c r="C112" s="150" t="str">
        <f>IFERROR(VLOOKUP(BDREGISTROMINGA20256[[#This Row],[KARDEX]],BDPADRES[],8,FALSE),"Sin registrado")</f>
        <v>LUCI ROCIO ROMERO AVILA</v>
      </c>
      <c r="I112" s="157"/>
    </row>
    <row r="113" spans="2:9" x14ac:dyDescent="0.25">
      <c r="B113" s="151">
        <f t="shared" si="1"/>
        <v>105</v>
      </c>
      <c r="C113" s="150" t="str">
        <f>IFERROR(VLOOKUP(BDREGISTROMINGA20256[[#This Row],[KARDEX]],BDPADRES[],8,FALSE),"Sin registrado")</f>
        <v>MARIBEL ROSARIO HERRERA REBOLLO</v>
      </c>
      <c r="I113" s="157"/>
    </row>
    <row r="114" spans="2:9" x14ac:dyDescent="0.25">
      <c r="B114" s="151">
        <f t="shared" si="1"/>
        <v>106</v>
      </c>
      <c r="C114" s="150" t="str">
        <f>IFERROR(VLOOKUP(BDREGISTROMINGA20256[[#This Row],[KARDEX]],BDPADRES[],8,FALSE),"Sin registrado")</f>
        <v>ANABEL RUTH CHIRINO FLORES</v>
      </c>
      <c r="I114" s="157"/>
    </row>
    <row r="115" spans="2:9" x14ac:dyDescent="0.25">
      <c r="B115" s="151">
        <f t="shared" si="1"/>
        <v>107</v>
      </c>
      <c r="C115" s="150" t="str">
        <f>IFERROR(VLOOKUP(BDREGISTROMINGA20256[[#This Row],[KARDEX]],BDPADRES[],8,FALSE),"Sin registrado")</f>
        <v>ELVIRA JUDITHY LUCANO UÑO</v>
      </c>
      <c r="I115" s="157"/>
    </row>
    <row r="116" spans="2:9" x14ac:dyDescent="0.25">
      <c r="B116" s="151">
        <f t="shared" si="1"/>
        <v>108</v>
      </c>
      <c r="C116" s="150" t="str">
        <f>IFERROR(VLOOKUP(BDREGISTROMINGA20256[[#This Row],[KARDEX]],BDPADRES[],8,FALSE),"Sin registrado")</f>
        <v>CLAUDIA VERONICA FLORES TASEO</v>
      </c>
      <c r="I116" s="157"/>
    </row>
    <row r="117" spans="2:9" x14ac:dyDescent="0.25">
      <c r="B117" s="151">
        <f t="shared" si="1"/>
        <v>109</v>
      </c>
      <c r="C117" s="150" t="str">
        <f>IFERROR(VLOOKUP(BDREGISTROMINGA20256[[#This Row],[KARDEX]],BDPADRES[],8,FALSE),"Sin registrado")</f>
        <v>ELVIRA MAMANI ANCASI</v>
      </c>
      <c r="I117" s="157"/>
    </row>
    <row r="118" spans="2:9" x14ac:dyDescent="0.25">
      <c r="B118" s="151">
        <f t="shared" si="1"/>
        <v>110</v>
      </c>
      <c r="C118" s="150" t="str">
        <f>IFERROR(VLOOKUP(BDREGISTROMINGA20256[[#This Row],[KARDEX]],BDPADRES[],8,FALSE),"Sin registrado")</f>
        <v>JOSSELIN ROSARIO CLAURE</v>
      </c>
      <c r="I118" s="157"/>
    </row>
    <row r="119" spans="2:9" x14ac:dyDescent="0.25">
      <c r="B119" s="151">
        <f t="shared" si="1"/>
        <v>111</v>
      </c>
      <c r="C119" s="150" t="str">
        <f>IFERROR(VLOOKUP(BDREGISTROMINGA20256[[#This Row],[KARDEX]],BDPADRES[],8,FALSE),"Sin registrado")</f>
        <v>MONICA PEÑA COPA</v>
      </c>
      <c r="I119" s="157"/>
    </row>
    <row r="120" spans="2:9" x14ac:dyDescent="0.25">
      <c r="B120" s="151">
        <f t="shared" si="1"/>
        <v>112</v>
      </c>
      <c r="C120" s="150" t="str">
        <f>IFERROR(VLOOKUP(BDREGISTROMINGA20256[[#This Row],[KARDEX]],BDPADRES[],8,FALSE),"Sin registrado")</f>
        <v>ESTELA OSINAGA CASTRO</v>
      </c>
      <c r="I120" s="157"/>
    </row>
    <row r="121" spans="2:9" x14ac:dyDescent="0.25">
      <c r="B121" s="151">
        <f t="shared" si="1"/>
        <v>113</v>
      </c>
      <c r="C121" s="150" t="str">
        <f>IFERROR(VLOOKUP(BDREGISTROMINGA20256[[#This Row],[KARDEX]],BDPADRES[],8,FALSE),"Sin registrado")</f>
        <v>FELIPA ACHACOLLO COLQUE</v>
      </c>
      <c r="I121" s="157"/>
    </row>
    <row r="122" spans="2:9" x14ac:dyDescent="0.25">
      <c r="B122" s="151">
        <f t="shared" si="1"/>
        <v>114</v>
      </c>
      <c r="C122" s="150" t="str">
        <f>IFERROR(VLOOKUP(BDREGISTROMINGA20256[[#This Row],[KARDEX]],BDPADRES[],8,FALSE),"Sin registrado")</f>
        <v>GUADALUPE MENECES URIONA</v>
      </c>
      <c r="I122" s="157"/>
    </row>
    <row r="123" spans="2:9" x14ac:dyDescent="0.25">
      <c r="B123" s="151">
        <f t="shared" si="1"/>
        <v>115</v>
      </c>
      <c r="C123" s="150" t="str">
        <f>IFERROR(VLOOKUP(BDREGISTROMINGA20256[[#This Row],[KARDEX]],BDPADRES[],8,FALSE),"Sin registrado")</f>
        <v>SIRLE YAQUELIN VARGAS RODRIGUEZ</v>
      </c>
      <c r="I123" s="157"/>
    </row>
    <row r="124" spans="2:9" x14ac:dyDescent="0.25">
      <c r="B124" s="151">
        <f t="shared" si="1"/>
        <v>116</v>
      </c>
      <c r="C124" s="150" t="str">
        <f>IFERROR(VLOOKUP(BDREGISTROMINGA20256[[#This Row],[KARDEX]],BDPADRES[],8,FALSE),"Sin registrado")</f>
        <v>JUSTINA CUELLAR AVILA</v>
      </c>
      <c r="I124" s="157"/>
    </row>
    <row r="125" spans="2:9" x14ac:dyDescent="0.25">
      <c r="B125" s="151">
        <f t="shared" si="1"/>
        <v>117</v>
      </c>
      <c r="C125" s="150" t="str">
        <f>IFERROR(VLOOKUP(BDREGISTROMINGA20256[[#This Row],[KARDEX]],BDPADRES[],8,FALSE),"Sin registrado")</f>
        <v>ANGELICA MARQUEZ ACHO</v>
      </c>
      <c r="I125" s="157"/>
    </row>
    <row r="126" spans="2:9" x14ac:dyDescent="0.25">
      <c r="B126" s="151">
        <f t="shared" si="1"/>
        <v>118</v>
      </c>
      <c r="C126" s="150" t="str">
        <f>IFERROR(VLOOKUP(BDREGISTROMINGA20256[[#This Row],[KARDEX]],BDPADRES[],8,FALSE),"Sin registrado")</f>
        <v>MERCEDES ROCHA SANGUINO</v>
      </c>
      <c r="I126" s="157"/>
    </row>
    <row r="127" spans="2:9" x14ac:dyDescent="0.25">
      <c r="B127" s="151">
        <f t="shared" si="1"/>
        <v>119</v>
      </c>
      <c r="C127" s="150" t="str">
        <f>IFERROR(VLOOKUP(BDREGISTROMINGA20256[[#This Row],[KARDEX]],BDPADRES[],8,FALSE),"Sin registrado")</f>
        <v>LIDIA GARCIA</v>
      </c>
      <c r="I127" s="157"/>
    </row>
    <row r="128" spans="2:9" x14ac:dyDescent="0.25">
      <c r="B128" s="151">
        <f t="shared" si="1"/>
        <v>120</v>
      </c>
      <c r="C128" s="150" t="str">
        <f>IFERROR(VLOOKUP(BDREGISTROMINGA20256[[#This Row],[KARDEX]],BDPADRES[],8,FALSE),"Sin registrado")</f>
        <v>ELVA CLAROS ORELLANA</v>
      </c>
      <c r="I128" s="157"/>
    </row>
    <row r="129" spans="2:9" x14ac:dyDescent="0.25">
      <c r="B129" s="151">
        <f t="shared" si="1"/>
        <v>121</v>
      </c>
      <c r="C129" s="150" t="str">
        <f>IFERROR(VLOOKUP(BDREGISTROMINGA20256[[#This Row],[KARDEX]],BDPADRES[],8,FALSE),"Sin registrado")</f>
        <v>MARIA JESUS BAIGORIA HURTADO</v>
      </c>
      <c r="I129" s="157"/>
    </row>
    <row r="130" spans="2:9" x14ac:dyDescent="0.25">
      <c r="B130" s="151">
        <f t="shared" si="1"/>
        <v>122</v>
      </c>
      <c r="C130" s="150" t="str">
        <f>IFERROR(VLOOKUP(BDREGISTROMINGA20256[[#This Row],[KARDEX]],BDPADRES[],8,FALSE),"Sin registrado")</f>
        <v>ILDA PIZARRO COPA</v>
      </c>
      <c r="I130" s="157"/>
    </row>
    <row r="131" spans="2:9" x14ac:dyDescent="0.25">
      <c r="B131" s="151">
        <f t="shared" si="1"/>
        <v>123</v>
      </c>
      <c r="C131" s="150" t="str">
        <f>IFERROR(VLOOKUP(BDREGISTROMINGA20256[[#This Row],[KARDEX]],BDPADRES[],8,FALSE),"Sin registrado")</f>
        <v>NERIA  CUBA ROMERO</v>
      </c>
      <c r="I131" s="157"/>
    </row>
    <row r="132" spans="2:9" x14ac:dyDescent="0.25">
      <c r="B132" s="151">
        <f t="shared" si="1"/>
        <v>124</v>
      </c>
      <c r="C132" s="150" t="str">
        <f>IFERROR(VLOOKUP(BDREGISTROMINGA20256[[#This Row],[KARDEX]],BDPADRES[],8,FALSE),"Sin registrado")</f>
        <v>MARIA ISABEL CARABALLO FLORES</v>
      </c>
      <c r="I132" s="157"/>
    </row>
    <row r="133" spans="2:9" x14ac:dyDescent="0.25">
      <c r="B133" s="151">
        <f t="shared" si="1"/>
        <v>125</v>
      </c>
      <c r="C133" s="150" t="str">
        <f>IFERROR(VLOOKUP(BDREGISTROMINGA20256[[#This Row],[KARDEX]],BDPADRES[],8,FALSE),"Sin registrado")</f>
        <v>JACQUELIN LILIAN FIGUEROA SARDINAS</v>
      </c>
      <c r="I133" s="157"/>
    </row>
    <row r="134" spans="2:9" x14ac:dyDescent="0.25">
      <c r="B134" s="151">
        <f t="shared" si="1"/>
        <v>126</v>
      </c>
      <c r="C134" s="150" t="str">
        <f>IFERROR(VLOOKUP(BDREGISTROMINGA20256[[#This Row],[KARDEX]],BDPADRES[],8,FALSE),"Sin registrado")</f>
        <v>MARICELA FLORES GALVEZ</v>
      </c>
      <c r="I134" s="157"/>
    </row>
    <row r="135" spans="2:9" x14ac:dyDescent="0.25">
      <c r="B135" s="151">
        <f t="shared" si="1"/>
        <v>127</v>
      </c>
      <c r="C135" s="150" t="str">
        <f>IFERROR(VLOOKUP(BDREGISTROMINGA20256[[#This Row],[KARDEX]],BDPADRES[],8,FALSE),"Sin registrado")</f>
        <v>YESSICA  PAOLA SILVESTRE CHOQUE</v>
      </c>
      <c r="I135" s="157"/>
    </row>
    <row r="136" spans="2:9" x14ac:dyDescent="0.25">
      <c r="B136" s="151">
        <f t="shared" si="1"/>
        <v>128</v>
      </c>
      <c r="C136" s="150" t="str">
        <f>IFERROR(VLOOKUP(BDREGISTROMINGA20256[[#This Row],[KARDEX]],BDPADRES[],8,FALSE),"Sin registrado")</f>
        <v>ANGELICA CABRERA VEIZAGA</v>
      </c>
      <c r="I136" s="157"/>
    </row>
    <row r="137" spans="2:9" x14ac:dyDescent="0.25">
      <c r="B137" s="151">
        <f t="shared" si="1"/>
        <v>129</v>
      </c>
      <c r="C137" s="150" t="str">
        <f>IFERROR(VLOOKUP(BDREGISTROMINGA20256[[#This Row],[KARDEX]],BDPADRES[],8,FALSE),"Sin registrado")</f>
        <v>MIREYA MARTINEZ VARGAS</v>
      </c>
      <c r="I137" s="157"/>
    </row>
    <row r="138" spans="2:9" x14ac:dyDescent="0.25">
      <c r="B138" s="151">
        <f t="shared" ref="B138:B201" si="2">ROW(A130)</f>
        <v>130</v>
      </c>
      <c r="C138" s="150" t="str">
        <f>IFERROR(VLOOKUP(BDREGISTROMINGA20256[[#This Row],[KARDEX]],BDPADRES[],8,FALSE),"Sin registrado")</f>
        <v>REYNA ESPINOZA LLANOS</v>
      </c>
      <c r="I138" s="157"/>
    </row>
    <row r="139" spans="2:9" x14ac:dyDescent="0.25">
      <c r="B139" s="151">
        <f t="shared" si="2"/>
        <v>131</v>
      </c>
      <c r="C139" s="150" t="str">
        <f>IFERROR(VLOOKUP(BDREGISTROMINGA20256[[#This Row],[KARDEX]],BDPADRES[],8,FALSE),"Sin registrado")</f>
        <v>SANTUSA LLANOS VELASQUEZ</v>
      </c>
      <c r="I139" s="157"/>
    </row>
    <row r="140" spans="2:9" x14ac:dyDescent="0.25">
      <c r="B140" s="151">
        <f t="shared" si="2"/>
        <v>132</v>
      </c>
      <c r="C140" s="150" t="str">
        <f>IFERROR(VLOOKUP(BDREGISTROMINGA20256[[#This Row],[KARDEX]],BDPADRES[],8,FALSE),"Sin registrado")</f>
        <v>LISETH  VEQUI MAMANI</v>
      </c>
      <c r="I140" s="157"/>
    </row>
    <row r="141" spans="2:9" x14ac:dyDescent="0.25">
      <c r="B141" s="151">
        <f t="shared" si="2"/>
        <v>133</v>
      </c>
      <c r="C141" s="150" t="str">
        <f>IFERROR(VLOOKUP(BDREGISTROMINGA20256[[#This Row],[KARDEX]],BDPADRES[],8,FALSE),"Sin registrado")</f>
        <v>HELEN JAEL MONTAÑO CUELLAR</v>
      </c>
      <c r="I141" s="157"/>
    </row>
    <row r="142" spans="2:9" x14ac:dyDescent="0.25">
      <c r="B142" s="151">
        <f t="shared" si="2"/>
        <v>134</v>
      </c>
      <c r="C142" s="150" t="str">
        <f>IFERROR(VLOOKUP(BDREGISTROMINGA20256[[#This Row],[KARDEX]],BDPADRES[],8,FALSE),"Sin registrado")</f>
        <v>ESTHER MAMANI GIRA</v>
      </c>
      <c r="I142" s="157"/>
    </row>
    <row r="143" spans="2:9" x14ac:dyDescent="0.25">
      <c r="B143" s="151">
        <f t="shared" si="2"/>
        <v>135</v>
      </c>
      <c r="C143" s="150" t="str">
        <f>IFERROR(VLOOKUP(BDREGISTROMINGA20256[[#This Row],[KARDEX]],BDPADRES[],8,FALSE),"Sin registrado")</f>
        <v>MARIBEL AGUADO ROJAS</v>
      </c>
      <c r="I143" s="157"/>
    </row>
    <row r="144" spans="2:9" x14ac:dyDescent="0.25">
      <c r="B144" s="151">
        <f t="shared" si="2"/>
        <v>136</v>
      </c>
      <c r="C144" s="150" t="str">
        <f>IFERROR(VLOOKUP(BDREGISTROMINGA20256[[#This Row],[KARDEX]],BDPADRES[],8,FALSE),"Sin registrado")</f>
        <v>YINA YILCANA CASTRO BANEGAS</v>
      </c>
      <c r="I144" s="157"/>
    </row>
    <row r="145" spans="2:9" x14ac:dyDescent="0.25">
      <c r="B145" s="151">
        <f t="shared" si="2"/>
        <v>137</v>
      </c>
      <c r="C145" s="150" t="str">
        <f>IFERROR(VLOOKUP(BDREGISTROMINGA20256[[#This Row],[KARDEX]],BDPADRES[],8,FALSE),"Sin registrado")</f>
        <v>MARIA ISABEL VELASQUEZ MORALES</v>
      </c>
      <c r="I145" s="157"/>
    </row>
    <row r="146" spans="2:9" x14ac:dyDescent="0.25">
      <c r="B146" s="151">
        <f t="shared" si="2"/>
        <v>138</v>
      </c>
      <c r="C146" s="150" t="str">
        <f>IFERROR(VLOOKUP(BDREGISTROMINGA20256[[#This Row],[KARDEX]],BDPADRES[],8,FALSE),"Sin registrado")</f>
        <v>MARY LUZ LEIVA MARTINEZ</v>
      </c>
      <c r="I146" s="157"/>
    </row>
    <row r="147" spans="2:9" x14ac:dyDescent="0.25">
      <c r="B147" s="151">
        <f t="shared" si="2"/>
        <v>139</v>
      </c>
      <c r="C147" s="150" t="str">
        <f>IFERROR(VLOOKUP(BDREGISTROMINGA20256[[#This Row],[KARDEX]],BDPADRES[],8,FALSE),"Sin registrado")</f>
        <v>JUANA CONDORI PATZI</v>
      </c>
      <c r="I147" s="157"/>
    </row>
    <row r="148" spans="2:9" x14ac:dyDescent="0.25">
      <c r="B148" s="151">
        <f t="shared" si="2"/>
        <v>140</v>
      </c>
      <c r="C148" s="150" t="str">
        <f>IFERROR(VLOOKUP(BDREGISTROMINGA20256[[#This Row],[KARDEX]],BDPADRES[],8,FALSE),"Sin registrado")</f>
        <v>FIORELA PADILLA MONTAÑO</v>
      </c>
      <c r="I148" s="157"/>
    </row>
    <row r="149" spans="2:9" x14ac:dyDescent="0.25">
      <c r="B149" s="151">
        <f t="shared" si="2"/>
        <v>141</v>
      </c>
      <c r="C149" s="150" t="str">
        <f>IFERROR(VLOOKUP(BDREGISTROMINGA20256[[#This Row],[KARDEX]],BDPADRES[],8,FALSE),"Sin registrado")</f>
        <v>MIRTA JACINTA ASILLO MAMANI</v>
      </c>
      <c r="I149" s="157"/>
    </row>
    <row r="150" spans="2:9" x14ac:dyDescent="0.25">
      <c r="B150" s="151">
        <f t="shared" si="2"/>
        <v>142</v>
      </c>
      <c r="C150" s="150" t="str">
        <f>IFERROR(VLOOKUP(BDREGISTROMINGA20256[[#This Row],[KARDEX]],BDPADRES[],8,FALSE),"Sin registrado")</f>
        <v>MARIA ESTEFANI QUIROZ GONZALES</v>
      </c>
      <c r="I150" s="157"/>
    </row>
    <row r="151" spans="2:9" x14ac:dyDescent="0.25">
      <c r="B151" s="151">
        <f t="shared" si="2"/>
        <v>143</v>
      </c>
      <c r="C151" s="150" t="str">
        <f>IFERROR(VLOOKUP(BDREGISTROMINGA20256[[#This Row],[KARDEX]],BDPADRES[],8,FALSE),"Sin registrado")</f>
        <v>FAUSTA CONDORI YARHUI</v>
      </c>
      <c r="I151" s="157"/>
    </row>
    <row r="152" spans="2:9" x14ac:dyDescent="0.25">
      <c r="B152" s="151">
        <f t="shared" si="2"/>
        <v>144</v>
      </c>
      <c r="C152" s="150" t="str">
        <f>IFERROR(VLOOKUP(BDREGISTROMINGA20256[[#This Row],[KARDEX]],BDPADRES[],8,FALSE),"Sin registrado")</f>
        <v>SENAIDA MARTINEZ CHOQUE</v>
      </c>
      <c r="I152" s="157"/>
    </row>
    <row r="153" spans="2:9" x14ac:dyDescent="0.25">
      <c r="B153" s="151">
        <f t="shared" si="2"/>
        <v>145</v>
      </c>
      <c r="C153" s="150" t="str">
        <f>IFERROR(VLOOKUP(BDREGISTROMINGA20256[[#This Row],[KARDEX]],BDPADRES[],8,FALSE),"Sin registrado")</f>
        <v>ESTHER MORON YEPEZ</v>
      </c>
      <c r="I153" s="157"/>
    </row>
    <row r="154" spans="2:9" x14ac:dyDescent="0.25">
      <c r="B154" s="151">
        <f t="shared" si="2"/>
        <v>146</v>
      </c>
      <c r="C154" s="150" t="str">
        <f>IFERROR(VLOOKUP(BDREGISTROMINGA20256[[#This Row],[KARDEX]],BDPADRES[],8,FALSE),"Sin registrado")</f>
        <v>LAURA OLLISCO SALAZAR</v>
      </c>
      <c r="I154" s="157"/>
    </row>
    <row r="155" spans="2:9" x14ac:dyDescent="0.25">
      <c r="B155" s="151">
        <f t="shared" si="2"/>
        <v>147</v>
      </c>
      <c r="C155" s="150" t="str">
        <f>IFERROR(VLOOKUP(BDREGISTROMINGA20256[[#This Row],[KARDEX]],BDPADRES[],8,FALSE),"Sin registrado")</f>
        <v>RAQUEL FERNANDEZ CESPEDES</v>
      </c>
      <c r="I155" s="157"/>
    </row>
    <row r="156" spans="2:9" x14ac:dyDescent="0.25">
      <c r="B156" s="151">
        <f t="shared" si="2"/>
        <v>148</v>
      </c>
      <c r="C156" s="150" t="str">
        <f>IFERROR(VLOOKUP(BDREGISTROMINGA20256[[#This Row],[KARDEX]],BDPADRES[],8,FALSE),"Sin registrado")</f>
        <v>MARGARITA SARDAN ROMERO</v>
      </c>
      <c r="I156" s="157"/>
    </row>
    <row r="157" spans="2:9" x14ac:dyDescent="0.25">
      <c r="B157" s="151">
        <f t="shared" si="2"/>
        <v>149</v>
      </c>
      <c r="C157" s="150" t="str">
        <f>IFERROR(VLOOKUP(BDREGISTROMINGA20256[[#This Row],[KARDEX]],BDPADRES[],8,FALSE),"Sin registrado")</f>
        <v>KATHERINE TERCEROS LINO</v>
      </c>
      <c r="I157" s="157"/>
    </row>
    <row r="158" spans="2:9" x14ac:dyDescent="0.25">
      <c r="B158" s="151">
        <f t="shared" si="2"/>
        <v>150</v>
      </c>
      <c r="C158" s="150" t="str">
        <f>IFERROR(VLOOKUP(BDREGISTROMINGA20256[[#This Row],[KARDEX]],BDPADRES[],8,FALSE),"Sin registrado")</f>
        <v>NELVY QUISPE LOPEZ</v>
      </c>
      <c r="I158" s="157"/>
    </row>
    <row r="159" spans="2:9" x14ac:dyDescent="0.25">
      <c r="B159" s="151">
        <f t="shared" si="2"/>
        <v>151</v>
      </c>
      <c r="C159" s="150" t="str">
        <f>IFERROR(VLOOKUP(BDREGISTROMINGA20256[[#This Row],[KARDEX]],BDPADRES[],8,FALSE),"Sin registrado")</f>
        <v>SAIDA MENDOZA FLORES</v>
      </c>
      <c r="I159" s="157"/>
    </row>
    <row r="160" spans="2:9" x14ac:dyDescent="0.25">
      <c r="B160" s="151">
        <f t="shared" si="2"/>
        <v>152</v>
      </c>
      <c r="C160" s="150" t="str">
        <f>IFERROR(VLOOKUP(BDREGISTROMINGA20256[[#This Row],[KARDEX]],BDPADRES[],8,FALSE),"Sin registrado")</f>
        <v>MARTINA BARJA CACERES</v>
      </c>
      <c r="I160" s="157"/>
    </row>
    <row r="161" spans="2:9" x14ac:dyDescent="0.25">
      <c r="B161" s="151">
        <f t="shared" si="2"/>
        <v>153</v>
      </c>
      <c r="C161" s="150" t="str">
        <f>IFERROR(VLOOKUP(BDREGISTROMINGA20256[[#This Row],[KARDEX]],BDPADRES[],8,FALSE),"Sin registrado")</f>
        <v>ELENA JUDITH AGUADO TORREZ</v>
      </c>
      <c r="I161" s="157"/>
    </row>
    <row r="162" spans="2:9" x14ac:dyDescent="0.25">
      <c r="B162" s="151">
        <f t="shared" si="2"/>
        <v>154</v>
      </c>
      <c r="C162" s="150" t="str">
        <f>IFERROR(VLOOKUP(BDREGISTROMINGA20256[[#This Row],[KARDEX]],BDPADRES[],8,FALSE),"Sin registrado")</f>
        <v>SEVERA RIVADENEIRA CRUZ</v>
      </c>
      <c r="I162" s="157"/>
    </row>
    <row r="163" spans="2:9" x14ac:dyDescent="0.25">
      <c r="B163" s="151">
        <f t="shared" si="2"/>
        <v>155</v>
      </c>
      <c r="C163" s="150" t="str">
        <f>IFERROR(VLOOKUP(BDREGISTROMINGA20256[[#This Row],[KARDEX]],BDPADRES[],8,FALSE),"Sin registrado")</f>
        <v>ABIGAIL DURAN FLORES</v>
      </c>
      <c r="I163" s="157"/>
    </row>
    <row r="164" spans="2:9" x14ac:dyDescent="0.25">
      <c r="B164" s="151">
        <f t="shared" si="2"/>
        <v>156</v>
      </c>
      <c r="C164" s="150" t="str">
        <f>IFERROR(VLOOKUP(BDREGISTROMINGA20256[[#This Row],[KARDEX]],BDPADRES[],8,FALSE),"Sin registrado")</f>
        <v>GRACIELA ORELLANA RISUEÑO</v>
      </c>
      <c r="I164" s="157"/>
    </row>
    <row r="165" spans="2:9" x14ac:dyDescent="0.25">
      <c r="B165" s="151">
        <f t="shared" si="2"/>
        <v>157</v>
      </c>
      <c r="C165" s="150" t="str">
        <f>IFERROR(VLOOKUP(BDREGISTROMINGA20256[[#This Row],[KARDEX]],BDPADRES[],8,FALSE),"Sin registrado")</f>
        <v>ELBA ROJAS MORALES</v>
      </c>
      <c r="I165" s="157"/>
    </row>
    <row r="166" spans="2:9" x14ac:dyDescent="0.25">
      <c r="B166" s="151">
        <f t="shared" si="2"/>
        <v>158</v>
      </c>
      <c r="C166" s="150" t="str">
        <f>IFERROR(VLOOKUP(BDREGISTROMINGA20256[[#This Row],[KARDEX]],BDPADRES[],8,FALSE),"Sin registrado")</f>
        <v>Sin registrado</v>
      </c>
      <c r="I166" s="157"/>
    </row>
    <row r="167" spans="2:9" x14ac:dyDescent="0.25">
      <c r="B167" s="151">
        <f t="shared" si="2"/>
        <v>159</v>
      </c>
      <c r="C167" s="150" t="str">
        <f>IFERROR(VLOOKUP(BDREGISTROMINGA20256[[#This Row],[KARDEX]],BDPADRES[],8,FALSE),"Sin registrado")</f>
        <v>CLARITA SLEN ALVAREZ ROJAS</v>
      </c>
      <c r="I167" s="157"/>
    </row>
    <row r="168" spans="2:9" x14ac:dyDescent="0.25">
      <c r="B168" s="151">
        <f t="shared" si="2"/>
        <v>160</v>
      </c>
      <c r="C168" s="150" t="str">
        <f>IFERROR(VLOOKUP(BDREGISTROMINGA20256[[#This Row],[KARDEX]],BDPADRES[],8,FALSE),"Sin registrado")</f>
        <v>ANA EVELIN ESPINOZA FARREL</v>
      </c>
      <c r="I168" s="157"/>
    </row>
    <row r="169" spans="2:9" x14ac:dyDescent="0.25">
      <c r="B169" s="151">
        <f t="shared" si="2"/>
        <v>161</v>
      </c>
      <c r="C169" s="150" t="str">
        <f>IFERROR(VLOOKUP(BDREGISTROMINGA20256[[#This Row],[KARDEX]],BDPADRES[],8,FALSE),"Sin registrado")</f>
        <v>LUANA WILMA ZAMBRANA ARANHA</v>
      </c>
      <c r="I169" s="157"/>
    </row>
    <row r="170" spans="2:9" x14ac:dyDescent="0.25">
      <c r="B170" s="151">
        <f t="shared" si="2"/>
        <v>162</v>
      </c>
      <c r="C170" s="150" t="str">
        <f>IFERROR(VLOOKUP(BDREGISTROMINGA20256[[#This Row],[KARDEX]],BDPADRES[],8,FALSE),"Sin registrado")</f>
        <v>MIRIAM  CUETO SORUCO</v>
      </c>
      <c r="I170" s="157"/>
    </row>
    <row r="171" spans="2:9" x14ac:dyDescent="0.25">
      <c r="B171" s="151">
        <f t="shared" si="2"/>
        <v>163</v>
      </c>
      <c r="C171" s="150" t="str">
        <f>IFERROR(VLOOKUP(BDREGISTROMINGA20256[[#This Row],[KARDEX]],BDPADRES[],8,FALSE),"Sin registrado")</f>
        <v>ROSA LENNY ZAPATA RODRIGUEZ</v>
      </c>
      <c r="I171" s="157"/>
    </row>
    <row r="172" spans="2:9" x14ac:dyDescent="0.25">
      <c r="B172" s="151">
        <f t="shared" si="2"/>
        <v>164</v>
      </c>
      <c r="C172" s="150" t="str">
        <f>IFERROR(VLOOKUP(BDREGISTROMINGA20256[[#This Row],[KARDEX]],BDPADRES[],8,FALSE),"Sin registrado")</f>
        <v>MARITZA PEREYRA CABRERA</v>
      </c>
      <c r="I172" s="157"/>
    </row>
    <row r="173" spans="2:9" x14ac:dyDescent="0.25">
      <c r="B173" s="151">
        <f t="shared" si="2"/>
        <v>165</v>
      </c>
      <c r="C173" s="150" t="str">
        <f>IFERROR(VLOOKUP(BDREGISTROMINGA20256[[#This Row],[KARDEX]],BDPADRES[],8,FALSE),"Sin registrado")</f>
        <v>NOHEMI GUZMAN GUZMAN</v>
      </c>
      <c r="I173" s="157"/>
    </row>
    <row r="174" spans="2:9" x14ac:dyDescent="0.25">
      <c r="B174" s="151">
        <f t="shared" si="2"/>
        <v>166</v>
      </c>
      <c r="C174" s="150" t="str">
        <f>IFERROR(VLOOKUP(BDREGISTROMINGA20256[[#This Row],[KARDEX]],BDPADRES[],8,FALSE),"Sin registrado")</f>
        <v>PAULINA SANDOVAL GONZALES</v>
      </c>
      <c r="I174" s="157"/>
    </row>
    <row r="175" spans="2:9" x14ac:dyDescent="0.25">
      <c r="B175" s="151">
        <f t="shared" si="2"/>
        <v>167</v>
      </c>
      <c r="C175" s="150" t="str">
        <f>IFERROR(VLOOKUP(BDREGISTROMINGA20256[[#This Row],[KARDEX]],BDPADRES[],8,FALSE),"Sin registrado")</f>
        <v>FRANCISCA  CRUZ ARAUZ</v>
      </c>
      <c r="I175" s="157"/>
    </row>
    <row r="176" spans="2:9" x14ac:dyDescent="0.25">
      <c r="B176" s="151">
        <f t="shared" si="2"/>
        <v>168</v>
      </c>
      <c r="C176" s="150" t="str">
        <f>IFERROR(VLOOKUP(BDREGISTROMINGA20256[[#This Row],[KARDEX]],BDPADRES[],8,FALSE),"Sin registrado")</f>
        <v>LEANDRA JOSE ROJAS</v>
      </c>
      <c r="I176" s="157"/>
    </row>
    <row r="177" spans="2:9" x14ac:dyDescent="0.25">
      <c r="B177" s="151">
        <f t="shared" si="2"/>
        <v>169</v>
      </c>
      <c r="C177" s="150" t="str">
        <f>IFERROR(VLOOKUP(BDREGISTROMINGA20256[[#This Row],[KARDEX]],BDPADRES[],8,FALSE),"Sin registrado")</f>
        <v>DIANA RAPU NOZA</v>
      </c>
      <c r="I177" s="157"/>
    </row>
    <row r="178" spans="2:9" x14ac:dyDescent="0.25">
      <c r="B178" s="151">
        <f t="shared" si="2"/>
        <v>170</v>
      </c>
      <c r="C178" s="150" t="str">
        <f>IFERROR(VLOOKUP(BDREGISTROMINGA20256[[#This Row],[KARDEX]],BDPADRES[],8,FALSE),"Sin registrado")</f>
        <v>BENITA TECO MORON</v>
      </c>
      <c r="I178" s="157"/>
    </row>
    <row r="179" spans="2:9" x14ac:dyDescent="0.25">
      <c r="B179" s="151">
        <f t="shared" si="2"/>
        <v>171</v>
      </c>
      <c r="C179" s="150" t="str">
        <f>IFERROR(VLOOKUP(BDREGISTROMINGA20256[[#This Row],[KARDEX]],BDPADRES[],8,FALSE),"Sin registrado")</f>
        <v>MARIELA PEREZ MANCILLA</v>
      </c>
      <c r="I179" s="157"/>
    </row>
    <row r="180" spans="2:9" x14ac:dyDescent="0.25">
      <c r="B180" s="151">
        <f t="shared" si="2"/>
        <v>172</v>
      </c>
      <c r="C180" s="150" t="str">
        <f>IFERROR(VLOOKUP(BDREGISTROMINGA20256[[#This Row],[KARDEX]],BDPADRES[],8,FALSE),"Sin registrado")</f>
        <v>VICTORIA FLORES MENDOZA</v>
      </c>
      <c r="I180" s="157"/>
    </row>
    <row r="181" spans="2:9" x14ac:dyDescent="0.25">
      <c r="B181" s="151">
        <f t="shared" si="2"/>
        <v>173</v>
      </c>
      <c r="C181" s="150" t="str">
        <f>IFERROR(VLOOKUP(BDREGISTROMINGA20256[[#This Row],[KARDEX]],BDPADRES[],8,FALSE),"Sin registrado")</f>
        <v>CLAUDIA JHANET CARRISALES GUTIERRES</v>
      </c>
      <c r="I181" s="157"/>
    </row>
    <row r="182" spans="2:9" x14ac:dyDescent="0.25">
      <c r="B182" s="151">
        <f t="shared" si="2"/>
        <v>174</v>
      </c>
      <c r="C182" s="150" t="str">
        <f>IFERROR(VLOOKUP(BDREGISTROMINGA20256[[#This Row],[KARDEX]],BDPADRES[],8,FALSE),"Sin registrado")</f>
        <v>YOSELIN MERCADO GONZALES</v>
      </c>
      <c r="I182" s="157"/>
    </row>
    <row r="183" spans="2:9" x14ac:dyDescent="0.25">
      <c r="B183" s="151">
        <f t="shared" si="2"/>
        <v>175</v>
      </c>
      <c r="C183" s="150" t="str">
        <f>IFERROR(VLOOKUP(BDREGISTROMINGA20256[[#This Row],[KARDEX]],BDPADRES[],8,FALSE),"Sin registrado")</f>
        <v>ELISABED MAMANI ANCASI</v>
      </c>
      <c r="I183" s="157"/>
    </row>
    <row r="184" spans="2:9" x14ac:dyDescent="0.25">
      <c r="B184" s="151">
        <f t="shared" si="2"/>
        <v>176</v>
      </c>
      <c r="C184" s="150" t="str">
        <f>IFERROR(VLOOKUP(BDREGISTROMINGA20256[[#This Row],[KARDEX]],BDPADRES[],8,FALSE),"Sin registrado")</f>
        <v>ELIZABETH AVILA ORTUÑO</v>
      </c>
      <c r="I184" s="157"/>
    </row>
    <row r="185" spans="2:9" x14ac:dyDescent="0.25">
      <c r="B185" s="151">
        <f t="shared" si="2"/>
        <v>177</v>
      </c>
      <c r="C185" s="150" t="str">
        <f>IFERROR(VLOOKUP(BDREGISTROMINGA20256[[#This Row],[KARDEX]],BDPADRES[],8,FALSE),"Sin registrado")</f>
        <v>CARLA PATRICIA LLANOS ESCOBAR</v>
      </c>
      <c r="I185" s="157"/>
    </row>
    <row r="186" spans="2:9" x14ac:dyDescent="0.25">
      <c r="B186" s="151">
        <f t="shared" si="2"/>
        <v>178</v>
      </c>
      <c r="C186" s="150" t="str">
        <f>IFERROR(VLOOKUP(BDREGISTROMINGA20256[[#This Row],[KARDEX]],BDPADRES[],8,FALSE),"Sin registrado")</f>
        <v>JULIETA MOLLO CONDORI</v>
      </c>
      <c r="I186" s="157"/>
    </row>
    <row r="187" spans="2:9" x14ac:dyDescent="0.25">
      <c r="B187" s="151">
        <f t="shared" si="2"/>
        <v>179</v>
      </c>
      <c r="C187" s="150" t="str">
        <f>IFERROR(VLOOKUP(BDREGISTROMINGA20256[[#This Row],[KARDEX]],BDPADRES[],8,FALSE),"Sin registrado")</f>
        <v>ELEONORA MAMANI RODRIGUEZ</v>
      </c>
      <c r="I187" s="157"/>
    </row>
    <row r="188" spans="2:9" x14ac:dyDescent="0.25">
      <c r="B188" s="151">
        <f t="shared" si="2"/>
        <v>180</v>
      </c>
      <c r="C188" s="150" t="str">
        <f>IFERROR(VLOOKUP(BDREGISTROMINGA20256[[#This Row],[KARDEX]],BDPADRES[],8,FALSE),"Sin registrado")</f>
        <v>FILOMENA RODRIGUEZ MORALES</v>
      </c>
      <c r="I188" s="157"/>
    </row>
    <row r="189" spans="2:9" x14ac:dyDescent="0.25">
      <c r="B189" s="151">
        <f t="shared" si="2"/>
        <v>181</v>
      </c>
      <c r="C189" s="150" t="str">
        <f>IFERROR(VLOOKUP(BDREGISTROMINGA20256[[#This Row],[KARDEX]],BDPADRES[],8,FALSE),"Sin registrado")</f>
        <v>YAQUELIN CHAVEZ AYAVIRI</v>
      </c>
      <c r="I189" s="157"/>
    </row>
    <row r="190" spans="2:9" x14ac:dyDescent="0.25">
      <c r="B190" s="151">
        <f t="shared" si="2"/>
        <v>182</v>
      </c>
      <c r="C190" s="150" t="str">
        <f>IFERROR(VLOOKUP(BDREGISTROMINGA20256[[#This Row],[KARDEX]],BDPADRES[],8,FALSE),"Sin registrado")</f>
        <v>FRANCISCA  HERRERA ANDRADE</v>
      </c>
      <c r="I190" s="157"/>
    </row>
    <row r="191" spans="2:9" x14ac:dyDescent="0.25">
      <c r="B191" s="151">
        <f t="shared" si="2"/>
        <v>183</v>
      </c>
      <c r="C191" s="150" t="str">
        <f>IFERROR(VLOOKUP(BDREGISTROMINGA20256[[#This Row],[KARDEX]],BDPADRES[],8,FALSE),"Sin registrado")</f>
        <v>JULIA  ACARAPI PORCEL</v>
      </c>
      <c r="I191" s="157"/>
    </row>
    <row r="192" spans="2:9" x14ac:dyDescent="0.25">
      <c r="B192" s="151">
        <f t="shared" si="2"/>
        <v>184</v>
      </c>
      <c r="C192" s="150" t="str">
        <f>IFERROR(VLOOKUP(BDREGISTROMINGA20256[[#This Row],[KARDEX]],BDPADRES[],8,FALSE),"Sin registrado")</f>
        <v>REYNA CARRIAZO BALLESTEROS</v>
      </c>
      <c r="I192" s="157"/>
    </row>
    <row r="193" spans="2:9" x14ac:dyDescent="0.25">
      <c r="B193" s="151">
        <f t="shared" si="2"/>
        <v>185</v>
      </c>
      <c r="C193" s="150" t="str">
        <f>IFERROR(VLOOKUP(BDREGISTROMINGA20256[[#This Row],[KARDEX]],BDPADRES[],8,FALSE),"Sin registrado")</f>
        <v>MIRTHA RUEDA LOPEZ</v>
      </c>
      <c r="I193" s="157"/>
    </row>
    <row r="194" spans="2:9" x14ac:dyDescent="0.25">
      <c r="B194" s="151">
        <f t="shared" si="2"/>
        <v>186</v>
      </c>
      <c r="C194" s="150" t="str">
        <f>IFERROR(VLOOKUP(BDREGISTROMINGA20256[[#This Row],[KARDEX]],BDPADRES[],8,FALSE),"Sin registrado")</f>
        <v>MARTHA RODRIGUEZ SILES</v>
      </c>
      <c r="I194" s="157"/>
    </row>
    <row r="195" spans="2:9" x14ac:dyDescent="0.25">
      <c r="B195" s="151">
        <f t="shared" si="2"/>
        <v>187</v>
      </c>
      <c r="C195" s="150" t="str">
        <f>IFERROR(VLOOKUP(BDREGISTROMINGA20256[[#This Row],[KARDEX]],BDPADRES[],8,FALSE),"Sin registrado")</f>
        <v>AURORA SOLIZ QUIROZ</v>
      </c>
      <c r="I195" s="157"/>
    </row>
    <row r="196" spans="2:9" x14ac:dyDescent="0.25">
      <c r="B196" s="151">
        <f t="shared" si="2"/>
        <v>188</v>
      </c>
      <c r="C196" s="150" t="str">
        <f>IFERROR(VLOOKUP(BDREGISTROMINGA20256[[#This Row],[KARDEX]],BDPADRES[],8,FALSE),"Sin registrado")</f>
        <v>DEYSI YPURANI CARICARI</v>
      </c>
      <c r="I196" s="157"/>
    </row>
    <row r="197" spans="2:9" x14ac:dyDescent="0.25">
      <c r="B197" s="151">
        <f t="shared" si="2"/>
        <v>189</v>
      </c>
      <c r="C197" s="150" t="str">
        <f>IFERROR(VLOOKUP(BDREGISTROMINGA20256[[#This Row],[KARDEX]],BDPADRES[],8,FALSE),"Sin registrado")</f>
        <v>ERLINDA PACO DURAN</v>
      </c>
      <c r="I197" s="157"/>
    </row>
    <row r="198" spans="2:9" x14ac:dyDescent="0.25">
      <c r="B198" s="151">
        <f t="shared" si="2"/>
        <v>190</v>
      </c>
      <c r="C198" s="150" t="str">
        <f>IFERROR(VLOOKUP(BDREGISTROMINGA20256[[#This Row],[KARDEX]],BDPADRES[],8,FALSE),"Sin registrado")</f>
        <v>YOBANA GUTIERREZ VACA</v>
      </c>
      <c r="I198" s="157"/>
    </row>
    <row r="199" spans="2:9" x14ac:dyDescent="0.25">
      <c r="B199" s="151">
        <f t="shared" si="2"/>
        <v>191</v>
      </c>
      <c r="C199" s="150" t="str">
        <f>IFERROR(VLOOKUP(BDREGISTROMINGA20256[[#This Row],[KARDEX]],BDPADRES[],8,FALSE),"Sin registrado")</f>
        <v>VERONICA CHOQUE LLANOS</v>
      </c>
      <c r="I199" s="157"/>
    </row>
    <row r="200" spans="2:9" x14ac:dyDescent="0.25">
      <c r="B200" s="151">
        <f t="shared" si="2"/>
        <v>192</v>
      </c>
      <c r="C200" s="150" t="str">
        <f>IFERROR(VLOOKUP(BDREGISTROMINGA20256[[#This Row],[KARDEX]],BDPADRES[],8,FALSE),"Sin registrado")</f>
        <v>SONIA CUEBAS VILLAGOMES</v>
      </c>
      <c r="I200" s="157"/>
    </row>
    <row r="201" spans="2:9" x14ac:dyDescent="0.25">
      <c r="B201" s="151">
        <f t="shared" si="2"/>
        <v>193</v>
      </c>
      <c r="C201" s="150" t="str">
        <f>IFERROR(VLOOKUP(BDREGISTROMINGA20256[[#This Row],[KARDEX]],BDPADRES[],8,FALSE),"Sin registrado")</f>
        <v>YUELY FERNANDEZ OSINAGA</v>
      </c>
      <c r="I201" s="157"/>
    </row>
    <row r="202" spans="2:9" x14ac:dyDescent="0.25">
      <c r="B202" s="151">
        <f t="shared" ref="B202:B265" si="3">ROW(A194)</f>
        <v>194</v>
      </c>
      <c r="C202" s="150" t="str">
        <f>IFERROR(VLOOKUP(BDREGISTROMINGA20256[[#This Row],[KARDEX]],BDPADRES[],8,FALSE),"Sin registrado")</f>
        <v>JACINTA RAMOS REINA</v>
      </c>
      <c r="I202" s="157"/>
    </row>
    <row r="203" spans="2:9" x14ac:dyDescent="0.25">
      <c r="B203" s="151">
        <f t="shared" si="3"/>
        <v>195</v>
      </c>
      <c r="C203" s="150" t="str">
        <f>IFERROR(VLOOKUP(BDREGISTROMINGA20256[[#This Row],[KARDEX]],BDPADRES[],8,FALSE),"Sin registrado")</f>
        <v>JUANA EDITH SALAZAR</v>
      </c>
      <c r="I203" s="157"/>
    </row>
    <row r="204" spans="2:9" x14ac:dyDescent="0.25">
      <c r="B204" s="151">
        <f t="shared" si="3"/>
        <v>196</v>
      </c>
      <c r="C204" s="150" t="str">
        <f>IFERROR(VLOOKUP(BDREGISTROMINGA20256[[#This Row],[KARDEX]],BDPADRES[],8,FALSE),"Sin registrado")</f>
        <v>MARIA ESTHER MAMANI ORELLANA</v>
      </c>
      <c r="I204" s="157"/>
    </row>
    <row r="205" spans="2:9" x14ac:dyDescent="0.25">
      <c r="B205" s="151">
        <f t="shared" si="3"/>
        <v>197</v>
      </c>
      <c r="C205" s="150" t="str">
        <f>IFERROR(VLOOKUP(BDREGISTROMINGA20256[[#This Row],[KARDEX]],BDPADRES[],8,FALSE),"Sin registrado")</f>
        <v>VERONICA FLORES ABREGO</v>
      </c>
      <c r="I205" s="157"/>
    </row>
    <row r="206" spans="2:9" x14ac:dyDescent="0.25">
      <c r="B206" s="151">
        <f t="shared" si="3"/>
        <v>198</v>
      </c>
      <c r="C206" s="150" t="str">
        <f>IFERROR(VLOOKUP(BDREGISTROMINGA20256[[#This Row],[KARDEX]],BDPADRES[],8,FALSE),"Sin registrado")</f>
        <v>JUDITH VEIZAGA PINTO</v>
      </c>
      <c r="I206" s="157"/>
    </row>
    <row r="207" spans="2:9" x14ac:dyDescent="0.25">
      <c r="B207" s="151">
        <f t="shared" si="3"/>
        <v>199</v>
      </c>
      <c r="C207" s="150" t="str">
        <f>IFERROR(VLOOKUP(BDREGISTROMINGA20256[[#This Row],[KARDEX]],BDPADRES[],8,FALSE),"Sin registrado")</f>
        <v>LUISA ROJAS SEVERICHE</v>
      </c>
      <c r="I207" s="157"/>
    </row>
    <row r="208" spans="2:9" x14ac:dyDescent="0.25">
      <c r="B208" s="151">
        <f t="shared" si="3"/>
        <v>200</v>
      </c>
      <c r="C208" s="150" t="str">
        <f>IFERROR(VLOOKUP(BDREGISTROMINGA20256[[#This Row],[KARDEX]],BDPADRES[],8,FALSE),"Sin registrado")</f>
        <v>YOSELIN ARAMAYO SANCHEZ</v>
      </c>
      <c r="I208" s="157"/>
    </row>
    <row r="209" spans="2:9" x14ac:dyDescent="0.25">
      <c r="B209" s="151">
        <f t="shared" si="3"/>
        <v>201</v>
      </c>
      <c r="C209" s="150" t="str">
        <f>IFERROR(VLOOKUP(BDREGISTROMINGA20256[[#This Row],[KARDEX]],BDPADRES[],8,FALSE),"Sin registrado")</f>
        <v>LUCIA TORRICO VILLARRUEL</v>
      </c>
      <c r="I209" s="157"/>
    </row>
    <row r="210" spans="2:9" x14ac:dyDescent="0.25">
      <c r="B210" s="151">
        <f t="shared" si="3"/>
        <v>202</v>
      </c>
      <c r="C210" s="150" t="str">
        <f>IFERROR(VLOOKUP(BDREGISTROMINGA20256[[#This Row],[KARDEX]],BDPADRES[],8,FALSE),"Sin registrado")</f>
        <v>DELIA   VIZA CHOQUE</v>
      </c>
      <c r="I210" s="157"/>
    </row>
    <row r="211" spans="2:9" x14ac:dyDescent="0.25">
      <c r="B211" s="151">
        <f t="shared" si="3"/>
        <v>203</v>
      </c>
      <c r="C211" s="150" t="str">
        <f>IFERROR(VLOOKUP(BDREGISTROMINGA20256[[#This Row],[KARDEX]],BDPADRES[],8,FALSE),"Sin registrado")</f>
        <v>LIDIA SARDAN ROMERO</v>
      </c>
      <c r="I211" s="157"/>
    </row>
    <row r="212" spans="2:9" x14ac:dyDescent="0.25">
      <c r="B212" s="151">
        <f t="shared" si="3"/>
        <v>204</v>
      </c>
      <c r="C212" s="150" t="str">
        <f>IFERROR(VLOOKUP(BDREGISTROMINGA20256[[#This Row],[KARDEX]],BDPADRES[],8,FALSE),"Sin registrado")</f>
        <v>MARIOLY  GIRON RIBERA</v>
      </c>
      <c r="I212" s="157"/>
    </row>
    <row r="213" spans="2:9" x14ac:dyDescent="0.25">
      <c r="B213" s="151">
        <f t="shared" si="3"/>
        <v>205</v>
      </c>
      <c r="C213" s="150" t="str">
        <f>IFERROR(VLOOKUP(BDREGISTROMINGA20256[[#This Row],[KARDEX]],BDPADRES[],8,FALSE),"Sin registrado")</f>
        <v>Sin registrado</v>
      </c>
      <c r="I213" s="157"/>
    </row>
    <row r="214" spans="2:9" x14ac:dyDescent="0.25">
      <c r="B214" s="151">
        <f t="shared" si="3"/>
        <v>206</v>
      </c>
      <c r="C214" s="150" t="str">
        <f>IFERROR(VLOOKUP(BDREGISTROMINGA20256[[#This Row],[KARDEX]],BDPADRES[],8,FALSE),"Sin registrado")</f>
        <v>JUAQUINA FLORES CRUZ</v>
      </c>
      <c r="I214" s="157"/>
    </row>
    <row r="215" spans="2:9" x14ac:dyDescent="0.25">
      <c r="B215" s="151">
        <f t="shared" si="3"/>
        <v>207</v>
      </c>
      <c r="C215" s="150" t="str">
        <f>IFERROR(VLOOKUP(BDREGISTROMINGA20256[[#This Row],[KARDEX]],BDPADRES[],8,FALSE),"Sin registrado")</f>
        <v>ELVIRA ORIAS CESPEDES</v>
      </c>
      <c r="I215" s="157"/>
    </row>
    <row r="216" spans="2:9" x14ac:dyDescent="0.25">
      <c r="B216" s="151">
        <f t="shared" si="3"/>
        <v>208</v>
      </c>
      <c r="C216" s="150" t="str">
        <f>IFERROR(VLOOKUP(BDREGISTROMINGA20256[[#This Row],[KARDEX]],BDPADRES[],8,FALSE),"Sin registrado")</f>
        <v>MARTHA BARRIENTOS CARABALLO</v>
      </c>
      <c r="I216" s="157"/>
    </row>
    <row r="217" spans="2:9" x14ac:dyDescent="0.25">
      <c r="B217" s="151">
        <f t="shared" si="3"/>
        <v>209</v>
      </c>
      <c r="C217" s="150" t="str">
        <f>IFERROR(VLOOKUP(BDREGISTROMINGA20256[[#This Row],[KARDEX]],BDPADRES[],8,FALSE),"Sin registrado")</f>
        <v>MARIBEL DAZA VEDIA</v>
      </c>
      <c r="I217" s="157"/>
    </row>
    <row r="218" spans="2:9" x14ac:dyDescent="0.25">
      <c r="B218" s="151">
        <f t="shared" si="3"/>
        <v>210</v>
      </c>
      <c r="C218" s="150" t="str">
        <f>IFERROR(VLOOKUP(BDREGISTROMINGA20256[[#This Row],[KARDEX]],BDPADRES[],8,FALSE),"Sin registrado")</f>
        <v>DOLY FERNANDEZ GOMEZ</v>
      </c>
      <c r="I218" s="157"/>
    </row>
    <row r="219" spans="2:9" x14ac:dyDescent="0.25">
      <c r="B219" s="151">
        <f t="shared" si="3"/>
        <v>211</v>
      </c>
      <c r="C219" s="150" t="str">
        <f>IFERROR(VLOOKUP(BDREGISTROMINGA20256[[#This Row],[KARDEX]],BDPADRES[],8,FALSE),"Sin registrado")</f>
        <v>HORTENCIA  LEAÑOS VERGARA</v>
      </c>
      <c r="I219" s="157"/>
    </row>
    <row r="220" spans="2:9" x14ac:dyDescent="0.25">
      <c r="B220" s="151">
        <f t="shared" si="3"/>
        <v>212</v>
      </c>
      <c r="C220" s="150" t="str">
        <f>IFERROR(VLOOKUP(BDREGISTROMINGA20256[[#This Row],[KARDEX]],BDPADRES[],8,FALSE),"Sin registrado")</f>
        <v>NANCY MAMANI IPORRE</v>
      </c>
      <c r="I220" s="157"/>
    </row>
    <row r="221" spans="2:9" x14ac:dyDescent="0.25">
      <c r="B221" s="151">
        <f t="shared" si="3"/>
        <v>213</v>
      </c>
      <c r="C221" s="150" t="str">
        <f>IFERROR(VLOOKUP(BDREGISTROMINGA20256[[#This Row],[KARDEX]],BDPADRES[],8,FALSE),"Sin registrado")</f>
        <v>LITHZI PADILLA LIMON</v>
      </c>
      <c r="I221" s="157"/>
    </row>
    <row r="222" spans="2:9" x14ac:dyDescent="0.25">
      <c r="B222" s="151">
        <f t="shared" si="3"/>
        <v>214</v>
      </c>
      <c r="C222" s="150" t="str">
        <f>IFERROR(VLOOKUP(BDREGISTROMINGA20256[[#This Row],[KARDEX]],BDPADRES[],8,FALSE),"Sin registrado")</f>
        <v>Sin registrado</v>
      </c>
      <c r="I222" s="157"/>
    </row>
    <row r="223" spans="2:9" x14ac:dyDescent="0.25">
      <c r="B223" s="151">
        <f t="shared" si="3"/>
        <v>215</v>
      </c>
      <c r="C223" s="150" t="str">
        <f>IFERROR(VLOOKUP(BDREGISTROMINGA20256[[#This Row],[KARDEX]],BDPADRES[],8,FALSE),"Sin registrado")</f>
        <v>LIDIA MARTINEZ PEREZ</v>
      </c>
      <c r="I223" s="157"/>
    </row>
    <row r="224" spans="2:9" x14ac:dyDescent="0.25">
      <c r="B224" s="151">
        <f t="shared" si="3"/>
        <v>216</v>
      </c>
      <c r="C224" s="150" t="str">
        <f>IFERROR(VLOOKUP(BDREGISTROMINGA20256[[#This Row],[KARDEX]],BDPADRES[],8,FALSE),"Sin registrado")</f>
        <v>SABINA GARNICA VARGAS</v>
      </c>
      <c r="I224" s="157"/>
    </row>
    <row r="225" spans="2:9" x14ac:dyDescent="0.25">
      <c r="B225" s="151">
        <f t="shared" si="3"/>
        <v>217</v>
      </c>
      <c r="C225" s="150" t="str">
        <f>IFERROR(VLOOKUP(BDREGISTROMINGA20256[[#This Row],[KARDEX]],BDPADRES[],8,FALSE),"Sin registrado")</f>
        <v>BENIGNA HUAYHUA ARENAS</v>
      </c>
      <c r="I225" s="157"/>
    </row>
    <row r="226" spans="2:9" x14ac:dyDescent="0.25">
      <c r="B226" s="151">
        <f t="shared" si="3"/>
        <v>218</v>
      </c>
      <c r="C226" s="150" t="str">
        <f>IFERROR(VLOOKUP(BDREGISTROMINGA20256[[#This Row],[KARDEX]],BDPADRES[],8,FALSE),"Sin registrado")</f>
        <v>JUANA RAMIREZ CHURA</v>
      </c>
      <c r="I226" s="157"/>
    </row>
    <row r="227" spans="2:9" x14ac:dyDescent="0.25">
      <c r="B227" s="151">
        <f t="shared" si="3"/>
        <v>219</v>
      </c>
      <c r="C227" s="150" t="str">
        <f>IFERROR(VLOOKUP(BDREGISTROMINGA20256[[#This Row],[KARDEX]],BDPADRES[],8,FALSE),"Sin registrado")</f>
        <v>TERESA ARICOMA CORCHADO</v>
      </c>
      <c r="I227" s="157"/>
    </row>
    <row r="228" spans="2:9" x14ac:dyDescent="0.25">
      <c r="B228" s="151">
        <f t="shared" si="3"/>
        <v>220</v>
      </c>
      <c r="C228" s="150" t="str">
        <f>IFERROR(VLOOKUP(BDREGISTROMINGA20256[[#This Row],[KARDEX]],BDPADRES[],8,FALSE),"Sin registrado")</f>
        <v>ISABEL RODRIGUEZ JILLAPA</v>
      </c>
      <c r="I228" s="157"/>
    </row>
    <row r="229" spans="2:9" x14ac:dyDescent="0.25">
      <c r="B229" s="151">
        <f t="shared" si="3"/>
        <v>221</v>
      </c>
      <c r="C229" s="150" t="str">
        <f>IFERROR(VLOOKUP(BDREGISTROMINGA20256[[#This Row],[KARDEX]],BDPADRES[],8,FALSE),"Sin registrado")</f>
        <v>MARCELA CHOQUE SILES</v>
      </c>
      <c r="I229" s="157"/>
    </row>
    <row r="230" spans="2:9" x14ac:dyDescent="0.25">
      <c r="B230" s="151">
        <f t="shared" si="3"/>
        <v>222</v>
      </c>
      <c r="C230" s="150" t="str">
        <f>IFERROR(VLOOKUP(BDREGISTROMINGA20256[[#This Row],[KARDEX]],BDPADRES[],8,FALSE),"Sin registrado")</f>
        <v>SAIDA CINTHIA MORALES MOSCOSO</v>
      </c>
      <c r="I230" s="157"/>
    </row>
    <row r="231" spans="2:9" x14ac:dyDescent="0.25">
      <c r="B231" s="151">
        <f t="shared" si="3"/>
        <v>223</v>
      </c>
      <c r="C231" s="150" t="str">
        <f>IFERROR(VLOOKUP(BDREGISTROMINGA20256[[#This Row],[KARDEX]],BDPADRES[],8,FALSE),"Sin registrado")</f>
        <v>MARIA MAGDALENA AGUILAR VIDAURRE</v>
      </c>
      <c r="I231" s="157"/>
    </row>
    <row r="232" spans="2:9" x14ac:dyDescent="0.25">
      <c r="B232" s="151">
        <f t="shared" si="3"/>
        <v>224</v>
      </c>
      <c r="C232" s="150" t="str">
        <f>IFERROR(VLOOKUP(BDREGISTROMINGA20256[[#This Row],[KARDEX]],BDPADRES[],8,FALSE),"Sin registrado")</f>
        <v>MARICELA ZAMBRANA PADILLA</v>
      </c>
      <c r="I232" s="157"/>
    </row>
    <row r="233" spans="2:9" x14ac:dyDescent="0.25">
      <c r="B233" s="151">
        <f t="shared" si="3"/>
        <v>225</v>
      </c>
      <c r="C233" s="150" t="str">
        <f>IFERROR(VLOOKUP(BDREGISTROMINGA20256[[#This Row],[KARDEX]],BDPADRES[],8,FALSE),"Sin registrado")</f>
        <v>PAULINA DELGADO LOPEZ</v>
      </c>
      <c r="I233" s="157"/>
    </row>
    <row r="234" spans="2:9" x14ac:dyDescent="0.25">
      <c r="B234" s="151">
        <f t="shared" si="3"/>
        <v>226</v>
      </c>
      <c r="C234" s="150" t="str">
        <f>IFERROR(VLOOKUP(BDREGISTROMINGA20256[[#This Row],[KARDEX]],BDPADRES[],8,FALSE),"Sin registrado")</f>
        <v>MARTHA MAMANI MORALES</v>
      </c>
      <c r="I234" s="157"/>
    </row>
    <row r="235" spans="2:9" x14ac:dyDescent="0.25">
      <c r="B235" s="151">
        <f t="shared" si="3"/>
        <v>227</v>
      </c>
      <c r="C235" s="150" t="str">
        <f>IFERROR(VLOOKUP(BDREGISTROMINGA20256[[#This Row],[KARDEX]],BDPADRES[],8,FALSE),"Sin registrado")</f>
        <v>NILDA LOPEZ CHOQUE</v>
      </c>
      <c r="I235" s="157"/>
    </row>
    <row r="236" spans="2:9" x14ac:dyDescent="0.25">
      <c r="B236" s="151">
        <f t="shared" si="3"/>
        <v>228</v>
      </c>
      <c r="C236" s="150" t="str">
        <f>IFERROR(VLOOKUP(BDREGISTROMINGA20256[[#This Row],[KARDEX]],BDPADRES[],8,FALSE),"Sin registrado")</f>
        <v>SEDONIA CONDORI TOMAS</v>
      </c>
      <c r="I236" s="157"/>
    </row>
    <row r="237" spans="2:9" x14ac:dyDescent="0.25">
      <c r="B237" s="151">
        <f t="shared" si="3"/>
        <v>229</v>
      </c>
      <c r="C237" s="150" t="str">
        <f>IFERROR(VLOOKUP(BDREGISTROMINGA20256[[#This Row],[KARDEX]],BDPADRES[],8,FALSE),"Sin registrado")</f>
        <v>MARIOLY  MARTINEZ UGARTECHE</v>
      </c>
      <c r="I237" s="157"/>
    </row>
    <row r="238" spans="2:9" x14ac:dyDescent="0.25">
      <c r="B238" s="151">
        <f t="shared" si="3"/>
        <v>230</v>
      </c>
      <c r="C238" s="150" t="str">
        <f>IFERROR(VLOOKUP(BDREGISTROMINGA20256[[#This Row],[KARDEX]],BDPADRES[],8,FALSE),"Sin registrado")</f>
        <v>CELIA RIVADENEIRA CRUZ</v>
      </c>
      <c r="I238" s="157"/>
    </row>
    <row r="239" spans="2:9" x14ac:dyDescent="0.25">
      <c r="B239" s="151">
        <f t="shared" si="3"/>
        <v>231</v>
      </c>
      <c r="C239" s="150" t="str">
        <f>IFERROR(VLOOKUP(BDREGISTROMINGA20256[[#This Row],[KARDEX]],BDPADRES[],8,FALSE),"Sin registrado")</f>
        <v>MIRNA CUELLAR DIAZ</v>
      </c>
      <c r="I239" s="157"/>
    </row>
    <row r="240" spans="2:9" x14ac:dyDescent="0.25">
      <c r="B240" s="151">
        <f t="shared" si="3"/>
        <v>232</v>
      </c>
      <c r="C240" s="150" t="str">
        <f>IFERROR(VLOOKUP(BDREGISTROMINGA20256[[#This Row],[KARDEX]],BDPADRES[],8,FALSE),"Sin registrado")</f>
        <v>Sin registrado</v>
      </c>
      <c r="I240" s="157"/>
    </row>
    <row r="241" spans="2:9" x14ac:dyDescent="0.25">
      <c r="B241" s="151">
        <f t="shared" si="3"/>
        <v>233</v>
      </c>
      <c r="C241" s="150" t="str">
        <f>IFERROR(VLOOKUP(BDREGISTROMINGA20256[[#This Row],[KARDEX]],BDPADRES[],8,FALSE),"Sin registrado")</f>
        <v>MONICA MAMANI GONZALES</v>
      </c>
      <c r="I241" s="157"/>
    </row>
    <row r="242" spans="2:9" x14ac:dyDescent="0.25">
      <c r="B242" s="151">
        <f t="shared" si="3"/>
        <v>234</v>
      </c>
      <c r="C242" s="150" t="str">
        <f>IFERROR(VLOOKUP(BDREGISTROMINGA20256[[#This Row],[KARDEX]],BDPADRES[],8,FALSE),"Sin registrado")</f>
        <v>HILDA MAMANI EUGENIO</v>
      </c>
      <c r="I242" s="157"/>
    </row>
    <row r="243" spans="2:9" x14ac:dyDescent="0.25">
      <c r="B243" s="151">
        <f t="shared" si="3"/>
        <v>235</v>
      </c>
      <c r="C243" s="150" t="str">
        <f>IFERROR(VLOOKUP(BDREGISTROMINGA20256[[#This Row],[KARDEX]],BDPADRES[],8,FALSE),"Sin registrado")</f>
        <v>FARIDY ROMERO CALLAPA</v>
      </c>
      <c r="I243" s="157"/>
    </row>
    <row r="244" spans="2:9" x14ac:dyDescent="0.25">
      <c r="B244" s="151">
        <f t="shared" si="3"/>
        <v>236</v>
      </c>
      <c r="C244" s="150" t="str">
        <f>IFERROR(VLOOKUP(BDREGISTROMINGA20256[[#This Row],[KARDEX]],BDPADRES[],8,FALSE),"Sin registrado")</f>
        <v>NEOLID VARON ARANCIBIA</v>
      </c>
      <c r="I244" s="157"/>
    </row>
    <row r="245" spans="2:9" x14ac:dyDescent="0.25">
      <c r="B245" s="151">
        <f t="shared" si="3"/>
        <v>237</v>
      </c>
      <c r="C245" s="150" t="str">
        <f>IFERROR(VLOOKUP(BDREGISTROMINGA20256[[#This Row],[KARDEX]],BDPADRES[],8,FALSE),"Sin registrado")</f>
        <v>EVA DANCY FERNANDEZ LINO</v>
      </c>
      <c r="I245" s="157"/>
    </row>
    <row r="246" spans="2:9" x14ac:dyDescent="0.25">
      <c r="B246" s="151">
        <f t="shared" si="3"/>
        <v>238</v>
      </c>
      <c r="C246" s="150" t="str">
        <f>IFERROR(VLOOKUP(BDREGISTROMINGA20256[[#This Row],[KARDEX]],BDPADRES[],8,FALSE),"Sin registrado")</f>
        <v>LIDIA ACUÑA ARENA</v>
      </c>
      <c r="I246" s="157"/>
    </row>
    <row r="247" spans="2:9" x14ac:dyDescent="0.25">
      <c r="B247" s="151">
        <f t="shared" si="3"/>
        <v>239</v>
      </c>
      <c r="C247" s="150" t="str">
        <f>IFERROR(VLOOKUP(BDREGISTROMINGA20256[[#This Row],[KARDEX]],BDPADRES[],8,FALSE),"Sin registrado")</f>
        <v>NAGAY RINA ROMERO ACHO</v>
      </c>
      <c r="I247" s="157"/>
    </row>
    <row r="248" spans="2:9" x14ac:dyDescent="0.25">
      <c r="B248" s="151">
        <f t="shared" si="3"/>
        <v>240</v>
      </c>
      <c r="C248" s="150" t="str">
        <f>IFERROR(VLOOKUP(BDREGISTROMINGA20256[[#This Row],[KARDEX]],BDPADRES[],8,FALSE),"Sin registrado")</f>
        <v>MARTHA CHAUQUE TOLABA</v>
      </c>
      <c r="I248" s="157"/>
    </row>
    <row r="249" spans="2:9" x14ac:dyDescent="0.25">
      <c r="B249" s="151">
        <f t="shared" si="3"/>
        <v>241</v>
      </c>
      <c r="C249" s="150" t="str">
        <f>IFERROR(VLOOKUP(BDREGISTROMINGA20256[[#This Row],[KARDEX]],BDPADRES[],8,FALSE),"Sin registrado")</f>
        <v>LOURDES URQUIZO YUCRA</v>
      </c>
      <c r="I249" s="157"/>
    </row>
    <row r="250" spans="2:9" x14ac:dyDescent="0.25">
      <c r="B250" s="151">
        <f t="shared" si="3"/>
        <v>242</v>
      </c>
      <c r="C250" s="150" t="str">
        <f>IFERROR(VLOOKUP(BDREGISTROMINGA20256[[#This Row],[KARDEX]],BDPADRES[],8,FALSE),"Sin registrado")</f>
        <v>LENNY MARIELA FLORES ASINAGA</v>
      </c>
      <c r="I250" s="157"/>
    </row>
    <row r="251" spans="2:9" x14ac:dyDescent="0.25">
      <c r="B251" s="151">
        <f t="shared" si="3"/>
        <v>243</v>
      </c>
      <c r="C251" s="150" t="str">
        <f>IFERROR(VLOOKUP(BDREGISTROMINGA20256[[#This Row],[KARDEX]],BDPADRES[],8,FALSE),"Sin registrado")</f>
        <v>VIRGINIA ANTIVERROS MANRIQUE</v>
      </c>
      <c r="I251" s="157"/>
    </row>
    <row r="252" spans="2:9" x14ac:dyDescent="0.25">
      <c r="B252" s="151">
        <f t="shared" si="3"/>
        <v>244</v>
      </c>
      <c r="C252" s="150" t="str">
        <f>IFERROR(VLOOKUP(BDREGISTROMINGA20256[[#This Row],[KARDEX]],BDPADRES[],8,FALSE),"Sin registrado")</f>
        <v>SIXTA AGUILLAR TABUADA</v>
      </c>
      <c r="I252" s="157"/>
    </row>
    <row r="253" spans="2:9" x14ac:dyDescent="0.25">
      <c r="B253" s="151">
        <f t="shared" si="3"/>
        <v>245</v>
      </c>
      <c r="C253" s="150" t="str">
        <f>IFERROR(VLOOKUP(BDREGISTROMINGA20256[[#This Row],[KARDEX]],BDPADRES[],8,FALSE),"Sin registrado")</f>
        <v>ANTONIA CARABALLO BALLESTEROS</v>
      </c>
      <c r="I253" s="157"/>
    </row>
    <row r="254" spans="2:9" x14ac:dyDescent="0.25">
      <c r="B254" s="151">
        <f t="shared" si="3"/>
        <v>246</v>
      </c>
      <c r="C254" s="150" t="str">
        <f>IFERROR(VLOOKUP(BDREGISTROMINGA20256[[#This Row],[KARDEX]],BDPADRES[],8,FALSE),"Sin registrado")</f>
        <v>SEMIDA CUCHALLO TORRICO</v>
      </c>
      <c r="I254" s="157"/>
    </row>
    <row r="255" spans="2:9" x14ac:dyDescent="0.25">
      <c r="B255" s="151">
        <f t="shared" si="3"/>
        <v>247</v>
      </c>
      <c r="C255" s="150" t="str">
        <f>IFERROR(VLOOKUP(BDREGISTROMINGA20256[[#This Row],[KARDEX]],BDPADRES[],8,FALSE),"Sin registrado")</f>
        <v>DELIA MARCELA VARGAS RIVERA</v>
      </c>
      <c r="I255" s="157"/>
    </row>
    <row r="256" spans="2:9" x14ac:dyDescent="0.25">
      <c r="B256" s="151">
        <f t="shared" si="3"/>
        <v>248</v>
      </c>
      <c r="C256" s="150" t="str">
        <f>IFERROR(VLOOKUP(BDREGISTROMINGA20256[[#This Row],[KARDEX]],BDPADRES[],8,FALSE),"Sin registrado")</f>
        <v>Sin registrado</v>
      </c>
      <c r="I256" s="157"/>
    </row>
    <row r="257" spans="2:9" x14ac:dyDescent="0.25">
      <c r="B257" s="151">
        <f t="shared" si="3"/>
        <v>249</v>
      </c>
      <c r="C257" s="150" t="str">
        <f>IFERROR(VLOOKUP(BDREGISTROMINGA20256[[#This Row],[KARDEX]],BDPADRES[],8,FALSE),"Sin registrado")</f>
        <v>NEIDA MEJIA BEJARANO</v>
      </c>
      <c r="I257" s="157"/>
    </row>
    <row r="258" spans="2:9" x14ac:dyDescent="0.25">
      <c r="B258" s="151">
        <f t="shared" si="3"/>
        <v>250</v>
      </c>
      <c r="C258" s="150" t="str">
        <f>IFERROR(VLOOKUP(BDREGISTROMINGA20256[[#This Row],[KARDEX]],BDPADRES[],8,FALSE),"Sin registrado")</f>
        <v>MARIA LOURDES GARCIA LARA</v>
      </c>
      <c r="I258" s="157"/>
    </row>
    <row r="259" spans="2:9" x14ac:dyDescent="0.25">
      <c r="B259" s="151">
        <f t="shared" si="3"/>
        <v>251</v>
      </c>
      <c r="C259" s="150" t="str">
        <f>IFERROR(VLOOKUP(BDREGISTROMINGA20256[[#This Row],[KARDEX]],BDPADRES[],8,FALSE),"Sin registrado")</f>
        <v>Sin registrado</v>
      </c>
      <c r="I259" s="157"/>
    </row>
    <row r="260" spans="2:9" x14ac:dyDescent="0.25">
      <c r="B260" s="151">
        <f t="shared" si="3"/>
        <v>252</v>
      </c>
      <c r="C260" s="150" t="str">
        <f>IFERROR(VLOOKUP(BDREGISTROMINGA20256[[#This Row],[KARDEX]],BDPADRES[],8,FALSE),"Sin registrado")</f>
        <v>REYNA GALARZA PEREDO</v>
      </c>
      <c r="I260" s="157"/>
    </row>
    <row r="261" spans="2:9" x14ac:dyDescent="0.25">
      <c r="B261" s="151">
        <f t="shared" si="3"/>
        <v>253</v>
      </c>
      <c r="C261" s="150" t="str">
        <f>IFERROR(VLOOKUP(BDREGISTROMINGA20256[[#This Row],[KARDEX]],BDPADRES[],8,FALSE),"Sin registrado")</f>
        <v>MARISOL MORALES AÑEZ</v>
      </c>
      <c r="I261" s="157"/>
    </row>
    <row r="262" spans="2:9" x14ac:dyDescent="0.25">
      <c r="B262" s="151">
        <f t="shared" si="3"/>
        <v>254</v>
      </c>
      <c r="C262" s="150" t="str">
        <f>IFERROR(VLOOKUP(BDREGISTROMINGA20256[[#This Row],[KARDEX]],BDPADRES[],8,FALSE),"Sin registrado")</f>
        <v>FILOMENA ZAMBRANA COCA</v>
      </c>
      <c r="I262" s="157"/>
    </row>
    <row r="263" spans="2:9" x14ac:dyDescent="0.25">
      <c r="B263" s="151">
        <f t="shared" si="3"/>
        <v>255</v>
      </c>
      <c r="C263" s="150" t="str">
        <f>IFERROR(VLOOKUP(BDREGISTROMINGA20256[[#This Row],[KARDEX]],BDPADRES[],8,FALSE),"Sin registrado")</f>
        <v>SANDRA BALLESTEROS TORREZ</v>
      </c>
      <c r="I263" s="157"/>
    </row>
    <row r="264" spans="2:9" x14ac:dyDescent="0.25">
      <c r="B264" s="151">
        <f t="shared" si="3"/>
        <v>256</v>
      </c>
      <c r="C264" s="150" t="str">
        <f>IFERROR(VLOOKUP(BDREGISTROMINGA20256[[#This Row],[KARDEX]],BDPADRES[],8,FALSE),"Sin registrado")</f>
        <v>Sin registrado</v>
      </c>
      <c r="I264" s="157"/>
    </row>
    <row r="265" spans="2:9" x14ac:dyDescent="0.25">
      <c r="B265" s="151">
        <f t="shared" si="3"/>
        <v>257</v>
      </c>
      <c r="C265" s="150" t="str">
        <f>IFERROR(VLOOKUP(BDREGISTROMINGA20256[[#This Row],[KARDEX]],BDPADRES[],8,FALSE),"Sin registrado")</f>
        <v>RAUL MARTINEZ AGUANTA</v>
      </c>
      <c r="I265" s="157"/>
    </row>
    <row r="266" spans="2:9" x14ac:dyDescent="0.25">
      <c r="B266" s="151">
        <f t="shared" ref="B266:B329" si="4">ROW(A258)</f>
        <v>258</v>
      </c>
      <c r="C266" s="150" t="str">
        <f>IFERROR(VLOOKUP(BDREGISTROMINGA20256[[#This Row],[KARDEX]],BDPADRES[],8,FALSE),"Sin registrado")</f>
        <v>REBECA SANGREDE CONDORI</v>
      </c>
      <c r="I266" s="157"/>
    </row>
    <row r="267" spans="2:9" x14ac:dyDescent="0.25">
      <c r="B267" s="151">
        <f t="shared" si="4"/>
        <v>259</v>
      </c>
      <c r="C267" s="150" t="str">
        <f>IFERROR(VLOOKUP(BDREGISTROMINGA20256[[#This Row],[KARDEX]],BDPADRES[],8,FALSE),"Sin registrado")</f>
        <v>JUANA  CORTEZ ARAUZ</v>
      </c>
      <c r="I267" s="157"/>
    </row>
    <row r="268" spans="2:9" x14ac:dyDescent="0.25">
      <c r="B268" s="151">
        <f t="shared" si="4"/>
        <v>260</v>
      </c>
      <c r="C268" s="150" t="str">
        <f>IFERROR(VLOOKUP(BDREGISTROMINGA20256[[#This Row],[KARDEX]],BDPADRES[],8,FALSE),"Sin registrado")</f>
        <v>CELIA BEJARANO CHOQUE</v>
      </c>
      <c r="I268" s="157"/>
    </row>
    <row r="269" spans="2:9" x14ac:dyDescent="0.25">
      <c r="B269" s="151">
        <f t="shared" si="4"/>
        <v>261</v>
      </c>
      <c r="C269" s="150" t="str">
        <f>IFERROR(VLOOKUP(BDREGISTROMINGA20256[[#This Row],[KARDEX]],BDPADRES[],8,FALSE),"Sin registrado")</f>
        <v>BEATRIZ COA CHOQUE</v>
      </c>
      <c r="I269" s="157"/>
    </row>
    <row r="270" spans="2:9" x14ac:dyDescent="0.25">
      <c r="B270" s="151">
        <f t="shared" si="4"/>
        <v>262</v>
      </c>
      <c r="C270" s="150" t="str">
        <f>IFERROR(VLOOKUP(BDREGISTROMINGA20256[[#This Row],[KARDEX]],BDPADRES[],8,FALSE),"Sin registrado")</f>
        <v>MARICRUZ GUAYAO RIVERA</v>
      </c>
      <c r="I270" s="157"/>
    </row>
    <row r="271" spans="2:9" x14ac:dyDescent="0.25">
      <c r="B271" s="151">
        <f t="shared" si="4"/>
        <v>263</v>
      </c>
      <c r="C271" s="150" t="str">
        <f>IFERROR(VLOOKUP(BDREGISTROMINGA20256[[#This Row],[KARDEX]],BDPADRES[],8,FALSE),"Sin registrado")</f>
        <v>ELUTERIA CASTRO ARENAS</v>
      </c>
      <c r="I271" s="157"/>
    </row>
    <row r="272" spans="2:9" x14ac:dyDescent="0.25">
      <c r="B272" s="151">
        <f t="shared" si="4"/>
        <v>264</v>
      </c>
      <c r="C272" s="150" t="str">
        <f>IFERROR(VLOOKUP(BDREGISTROMINGA20256[[#This Row],[KARDEX]],BDPADRES[],8,FALSE),"Sin registrado")</f>
        <v>CATALINA ROMELIA GARCIA</v>
      </c>
      <c r="I272" s="157"/>
    </row>
    <row r="273" spans="2:9" x14ac:dyDescent="0.25">
      <c r="B273" s="151">
        <f t="shared" si="4"/>
        <v>265</v>
      </c>
      <c r="C273" s="150" t="str">
        <f>IFERROR(VLOOKUP(BDREGISTROMINGA20256[[#This Row],[KARDEX]],BDPADRES[],8,FALSE),"Sin registrado")</f>
        <v>ALBAIDA MANSILLA ALDANA</v>
      </c>
      <c r="I273" s="157"/>
    </row>
    <row r="274" spans="2:9" x14ac:dyDescent="0.25">
      <c r="B274" s="151">
        <f t="shared" si="4"/>
        <v>266</v>
      </c>
      <c r="C274" s="150" t="str">
        <f>IFERROR(VLOOKUP(BDREGISTROMINGA20256[[#This Row],[KARDEX]],BDPADRES[],8,FALSE),"Sin registrado")</f>
        <v>ROSA LEON TORREZ</v>
      </c>
      <c r="I274" s="157"/>
    </row>
    <row r="275" spans="2:9" x14ac:dyDescent="0.25">
      <c r="B275" s="151">
        <f t="shared" si="4"/>
        <v>267</v>
      </c>
      <c r="C275" s="150" t="str">
        <f>IFERROR(VLOOKUP(BDREGISTROMINGA20256[[#This Row],[KARDEX]],BDPADRES[],8,FALSE),"Sin registrado")</f>
        <v>JULIA  ALCARAZ SANABRIA</v>
      </c>
      <c r="I275" s="157"/>
    </row>
    <row r="276" spans="2:9" x14ac:dyDescent="0.25">
      <c r="B276" s="151">
        <f t="shared" si="4"/>
        <v>268</v>
      </c>
      <c r="C276" s="150" t="str">
        <f>IFERROR(VLOOKUP(BDREGISTROMINGA20256[[#This Row],[KARDEX]],BDPADRES[],8,FALSE),"Sin registrado")</f>
        <v>YINA DANIELA DORADO MONTENEGRO</v>
      </c>
      <c r="I276" s="157"/>
    </row>
    <row r="277" spans="2:9" x14ac:dyDescent="0.25">
      <c r="B277" s="151">
        <f t="shared" si="4"/>
        <v>269</v>
      </c>
      <c r="C277" s="150" t="str">
        <f>IFERROR(VLOOKUP(BDREGISTROMINGA20256[[#This Row],[KARDEX]],BDPADRES[],8,FALSE),"Sin registrado")</f>
        <v>LORENZA AMADOR SULLCA</v>
      </c>
      <c r="I277" s="157"/>
    </row>
    <row r="278" spans="2:9" x14ac:dyDescent="0.25">
      <c r="B278" s="151">
        <f t="shared" si="4"/>
        <v>270</v>
      </c>
      <c r="C278" s="150" t="str">
        <f>IFERROR(VLOOKUP(BDREGISTROMINGA20256[[#This Row],[KARDEX]],BDPADRES[],8,FALSE),"Sin registrado")</f>
        <v>Sin registrado</v>
      </c>
      <c r="I278" s="157"/>
    </row>
    <row r="279" spans="2:9" x14ac:dyDescent="0.25">
      <c r="B279" s="151">
        <f t="shared" si="4"/>
        <v>271</v>
      </c>
      <c r="C279" s="150" t="str">
        <f>IFERROR(VLOOKUP(BDREGISTROMINGA20256[[#This Row],[KARDEX]],BDPADRES[],8,FALSE),"Sin registrado")</f>
        <v>VICTORIA FIGUEROA SARDINAS</v>
      </c>
      <c r="I279" s="157"/>
    </row>
    <row r="280" spans="2:9" x14ac:dyDescent="0.25">
      <c r="B280" s="151">
        <f t="shared" si="4"/>
        <v>272</v>
      </c>
      <c r="C280" s="150" t="str">
        <f>IFERROR(VLOOKUP(BDREGISTROMINGA20256[[#This Row],[KARDEX]],BDPADRES[],8,FALSE),"Sin registrado")</f>
        <v>LEIDY FABIOLA CARRILLO CORONADO</v>
      </c>
      <c r="I280" s="157"/>
    </row>
    <row r="281" spans="2:9" x14ac:dyDescent="0.25">
      <c r="B281" s="151">
        <f t="shared" si="4"/>
        <v>273</v>
      </c>
      <c r="C281" s="150" t="str">
        <f>IFERROR(VLOOKUP(BDREGISTROMINGA20256[[#This Row],[KARDEX]],BDPADRES[],8,FALSE),"Sin registrado")</f>
        <v>REYNA ZARATE BARRIENTOS</v>
      </c>
      <c r="I281" s="157"/>
    </row>
    <row r="282" spans="2:9" x14ac:dyDescent="0.25">
      <c r="B282" s="151">
        <f t="shared" si="4"/>
        <v>274</v>
      </c>
      <c r="C282" s="150" t="str">
        <f>IFERROR(VLOOKUP(BDREGISTROMINGA20256[[#This Row],[KARDEX]],BDPADRES[],8,FALSE),"Sin registrado")</f>
        <v>EVELIN GUZMAN GARCIA</v>
      </c>
      <c r="I282" s="157"/>
    </row>
    <row r="283" spans="2:9" x14ac:dyDescent="0.25">
      <c r="B283" s="151">
        <f t="shared" si="4"/>
        <v>275</v>
      </c>
      <c r="C283" s="150" t="str">
        <f>IFERROR(VLOOKUP(BDREGISTROMINGA20256[[#This Row],[KARDEX]],BDPADRES[],8,FALSE),"Sin registrado")</f>
        <v>NELLY YASMINA ROBLES VALVERDE</v>
      </c>
      <c r="I283" s="157"/>
    </row>
    <row r="284" spans="2:9" x14ac:dyDescent="0.25">
      <c r="B284" s="151">
        <f t="shared" si="4"/>
        <v>276</v>
      </c>
      <c r="C284" s="150" t="str">
        <f>IFERROR(VLOOKUP(BDREGISTROMINGA20256[[#This Row],[KARDEX]],BDPADRES[],8,FALSE),"Sin registrado")</f>
        <v>ANA ROSY VACA NOGALES</v>
      </c>
      <c r="I284" s="157"/>
    </row>
    <row r="285" spans="2:9" x14ac:dyDescent="0.25">
      <c r="B285" s="151">
        <f t="shared" si="4"/>
        <v>277</v>
      </c>
      <c r="C285" s="150" t="str">
        <f>IFERROR(VLOOKUP(BDREGISTROMINGA20256[[#This Row],[KARDEX]],BDPADRES[],8,FALSE),"Sin registrado")</f>
        <v>MONICA MARTINEZ RICALDY</v>
      </c>
      <c r="I285" s="157"/>
    </row>
    <row r="286" spans="2:9" x14ac:dyDescent="0.25">
      <c r="B286" s="151">
        <f t="shared" si="4"/>
        <v>278</v>
      </c>
      <c r="C286" s="150" t="str">
        <f>IFERROR(VLOOKUP(BDREGISTROMINGA20256[[#This Row],[KARDEX]],BDPADRES[],8,FALSE),"Sin registrado")</f>
        <v>AGUSTINA HERRERA.</v>
      </c>
      <c r="I286" s="157"/>
    </row>
    <row r="287" spans="2:9" x14ac:dyDescent="0.25">
      <c r="B287" s="151">
        <f t="shared" si="4"/>
        <v>279</v>
      </c>
      <c r="C287" s="150" t="str">
        <f>IFERROR(VLOOKUP(BDREGISTROMINGA20256[[#This Row],[KARDEX]],BDPADRES[],8,FALSE),"Sin registrado")</f>
        <v>PASCUALA CHOQUE BEJARANO</v>
      </c>
      <c r="I287" s="157"/>
    </row>
    <row r="288" spans="2:9" x14ac:dyDescent="0.25">
      <c r="B288" s="151">
        <f t="shared" si="4"/>
        <v>280</v>
      </c>
      <c r="C288" s="150" t="str">
        <f>IFERROR(VLOOKUP(BDREGISTROMINGA20256[[#This Row],[KARDEX]],BDPADRES[],8,FALSE),"Sin registrado")</f>
        <v>ESPERANZA FIGUEROA ALVAREZ</v>
      </c>
      <c r="I288" s="157"/>
    </row>
    <row r="289" spans="2:9" x14ac:dyDescent="0.25">
      <c r="B289" s="151">
        <f t="shared" si="4"/>
        <v>281</v>
      </c>
      <c r="C289" s="150" t="str">
        <f>IFERROR(VLOOKUP(BDREGISTROMINGA20256[[#This Row],[KARDEX]],BDPADRES[],8,FALSE),"Sin registrado")</f>
        <v>SIMONA COPA SALAZAR</v>
      </c>
      <c r="I289" s="157"/>
    </row>
    <row r="290" spans="2:9" x14ac:dyDescent="0.25">
      <c r="B290" s="151">
        <f t="shared" si="4"/>
        <v>282</v>
      </c>
      <c r="C290" s="150" t="str">
        <f>IFERROR(VLOOKUP(BDREGISTROMINGA20256[[#This Row],[KARDEX]],BDPADRES[],8,FALSE),"Sin registrado")</f>
        <v>Sin registrado</v>
      </c>
      <c r="I290" s="157"/>
    </row>
    <row r="291" spans="2:9" x14ac:dyDescent="0.25">
      <c r="B291" s="151">
        <f t="shared" si="4"/>
        <v>283</v>
      </c>
      <c r="C291" s="150" t="str">
        <f>IFERROR(VLOOKUP(BDREGISTROMINGA20256[[#This Row],[KARDEX]],BDPADRES[],8,FALSE),"Sin registrado")</f>
        <v>SIRLEY CARABALLO OJEDA</v>
      </c>
      <c r="I291" s="157"/>
    </row>
    <row r="292" spans="2:9" x14ac:dyDescent="0.25">
      <c r="B292" s="151">
        <f t="shared" si="4"/>
        <v>284</v>
      </c>
      <c r="C292" s="150" t="str">
        <f>IFERROR(VLOOKUP(BDREGISTROMINGA20256[[#This Row],[KARDEX]],BDPADRES[],8,FALSE),"Sin registrado")</f>
        <v>ROXANA DURAN MICHEL</v>
      </c>
      <c r="I292" s="157"/>
    </row>
    <row r="293" spans="2:9" x14ac:dyDescent="0.25">
      <c r="B293" s="151">
        <f t="shared" si="4"/>
        <v>285</v>
      </c>
      <c r="C293" s="150" t="str">
        <f>IFERROR(VLOOKUP(BDREGISTROMINGA20256[[#This Row],[KARDEX]],BDPADRES[],8,FALSE),"Sin registrado")</f>
        <v>JULITT  ARATEA RIOS</v>
      </c>
      <c r="I293" s="157"/>
    </row>
    <row r="294" spans="2:9" x14ac:dyDescent="0.25">
      <c r="B294" s="151">
        <f t="shared" si="4"/>
        <v>286</v>
      </c>
      <c r="C294" s="150" t="str">
        <f>IFERROR(VLOOKUP(BDREGISTROMINGA20256[[#This Row],[KARDEX]],BDPADRES[],8,FALSE),"Sin registrado")</f>
        <v>ALVAIDA LARA GALVIZ</v>
      </c>
      <c r="I294" s="157"/>
    </row>
    <row r="295" spans="2:9" x14ac:dyDescent="0.25">
      <c r="B295" s="151">
        <f t="shared" si="4"/>
        <v>287</v>
      </c>
      <c r="C295" s="150" t="str">
        <f>IFERROR(VLOOKUP(BDREGISTROMINGA20256[[#This Row],[KARDEX]],BDPADRES[],8,FALSE),"Sin registrado")</f>
        <v>AGUSTINA CRUZ MATURANO</v>
      </c>
      <c r="I295" s="157"/>
    </row>
    <row r="296" spans="2:9" x14ac:dyDescent="0.25">
      <c r="B296" s="151">
        <f t="shared" si="4"/>
        <v>288</v>
      </c>
      <c r="C296" s="150" t="str">
        <f>IFERROR(VLOOKUP(BDREGISTROMINGA20256[[#This Row],[KARDEX]],BDPADRES[],8,FALSE),"Sin registrado")</f>
        <v>ARMINDA VELA GARCIA</v>
      </c>
      <c r="I296" s="157"/>
    </row>
    <row r="297" spans="2:9" x14ac:dyDescent="0.25">
      <c r="B297" s="151">
        <f t="shared" si="4"/>
        <v>289</v>
      </c>
      <c r="C297" s="150" t="str">
        <f>IFERROR(VLOOKUP(BDREGISTROMINGA20256[[#This Row],[KARDEX]],BDPADRES[],8,FALSE),"Sin registrado")</f>
        <v>ADALID ROSLIN VARGAS ACHO</v>
      </c>
      <c r="I297" s="157"/>
    </row>
    <row r="298" spans="2:9" x14ac:dyDescent="0.25">
      <c r="B298" s="151">
        <f t="shared" si="4"/>
        <v>290</v>
      </c>
      <c r="C298" s="150" t="str">
        <f>IFERROR(VLOOKUP(BDREGISTROMINGA20256[[#This Row],[KARDEX]],BDPADRES[],8,FALSE),"Sin registrado")</f>
        <v>Sin registrado</v>
      </c>
      <c r="I298" s="157"/>
    </row>
    <row r="299" spans="2:9" x14ac:dyDescent="0.25">
      <c r="B299" s="151">
        <f t="shared" si="4"/>
        <v>291</v>
      </c>
      <c r="C299" s="150" t="str">
        <f>IFERROR(VLOOKUP(BDREGISTROMINGA20256[[#This Row],[KARDEX]],BDPADRES[],8,FALSE),"Sin registrado")</f>
        <v>NEISA ARICOMA CORCHADO</v>
      </c>
      <c r="I299" s="157"/>
    </row>
    <row r="300" spans="2:9" x14ac:dyDescent="0.25">
      <c r="B300" s="151">
        <f t="shared" si="4"/>
        <v>292</v>
      </c>
      <c r="C300" s="150" t="str">
        <f>IFERROR(VLOOKUP(BDREGISTROMINGA20256[[#This Row],[KARDEX]],BDPADRES[],8,FALSE),"Sin registrado")</f>
        <v>LIDIA  LIMA VARGAS</v>
      </c>
      <c r="I300" s="157"/>
    </row>
    <row r="301" spans="2:9" x14ac:dyDescent="0.25">
      <c r="B301" s="151">
        <f t="shared" si="4"/>
        <v>293</v>
      </c>
      <c r="C301" s="150" t="str">
        <f>IFERROR(VLOOKUP(BDREGISTROMINGA20256[[#This Row],[KARDEX]],BDPADRES[],8,FALSE),"Sin registrado")</f>
        <v>CINTHIA ESPONOZA FARELL</v>
      </c>
      <c r="I301" s="157"/>
    </row>
    <row r="302" spans="2:9" x14ac:dyDescent="0.25">
      <c r="B302" s="151">
        <f t="shared" si="4"/>
        <v>294</v>
      </c>
      <c r="C302" s="150" t="str">
        <f>IFERROR(VLOOKUP(BDREGISTROMINGA20256[[#This Row],[KARDEX]],BDPADRES[],8,FALSE),"Sin registrado")</f>
        <v>MARIA FATIMA HERRERA REVOLLO</v>
      </c>
      <c r="I302" s="157"/>
    </row>
    <row r="303" spans="2:9" x14ac:dyDescent="0.25">
      <c r="B303" s="151">
        <f t="shared" si="4"/>
        <v>295</v>
      </c>
      <c r="C303" s="150" t="str">
        <f>IFERROR(VLOOKUP(BDREGISTROMINGA20256[[#This Row],[KARDEX]],BDPADRES[],8,FALSE),"Sin registrado")</f>
        <v>Sin registrado</v>
      </c>
      <c r="I303" s="157"/>
    </row>
    <row r="304" spans="2:9" x14ac:dyDescent="0.25">
      <c r="B304" s="151">
        <f t="shared" si="4"/>
        <v>296</v>
      </c>
      <c r="C304" s="150" t="str">
        <f>IFERROR(VLOOKUP(BDREGISTROMINGA20256[[#This Row],[KARDEX]],BDPADRES[],8,FALSE),"Sin registrado")</f>
        <v>NEYDA YANETH HEREDIA RUBIO</v>
      </c>
      <c r="I304" s="157"/>
    </row>
    <row r="305" spans="2:9" x14ac:dyDescent="0.25">
      <c r="B305" s="151">
        <f t="shared" si="4"/>
        <v>297</v>
      </c>
      <c r="C305" s="150" t="str">
        <f>IFERROR(VLOOKUP(BDREGISTROMINGA20256[[#This Row],[KARDEX]],BDPADRES[],8,FALSE),"Sin registrado")</f>
        <v>LILY MANGUTA ARARIYO</v>
      </c>
      <c r="I305" s="157"/>
    </row>
    <row r="306" spans="2:9" x14ac:dyDescent="0.25">
      <c r="B306" s="151">
        <f t="shared" si="4"/>
        <v>298</v>
      </c>
      <c r="C306" s="150" t="str">
        <f>IFERROR(VLOOKUP(BDREGISTROMINGA20256[[#This Row],[KARDEX]],BDPADRES[],8,FALSE),"Sin registrado")</f>
        <v>YESMY ALBA FLORES</v>
      </c>
      <c r="I306" s="157"/>
    </row>
    <row r="307" spans="2:9" x14ac:dyDescent="0.25">
      <c r="B307" s="151">
        <f t="shared" si="4"/>
        <v>299</v>
      </c>
      <c r="C307" s="150" t="str">
        <f>IFERROR(VLOOKUP(BDREGISTROMINGA20256[[#This Row],[KARDEX]],BDPADRES[],8,FALSE),"Sin registrado")</f>
        <v>CARLA PATRICIA SILES NUÑEZ</v>
      </c>
      <c r="I307" s="157"/>
    </row>
    <row r="308" spans="2:9" x14ac:dyDescent="0.25">
      <c r="B308" s="151">
        <f t="shared" si="4"/>
        <v>300</v>
      </c>
      <c r="C308" s="150" t="str">
        <f>IFERROR(VLOOKUP(BDREGISTROMINGA20256[[#This Row],[KARDEX]],BDPADRES[],8,FALSE),"Sin registrado")</f>
        <v>SAIDA QUENTA BARRIENTOS</v>
      </c>
      <c r="I308" s="157"/>
    </row>
    <row r="309" spans="2:9" x14ac:dyDescent="0.25">
      <c r="B309" s="151">
        <f t="shared" si="4"/>
        <v>301</v>
      </c>
      <c r="C309" s="150" t="str">
        <f>IFERROR(VLOOKUP(BDREGISTROMINGA20256[[#This Row],[KARDEX]],BDPADRES[],8,FALSE),"Sin registrado")</f>
        <v>VICTORIA BARRIGA VEDIA</v>
      </c>
      <c r="I309" s="157"/>
    </row>
    <row r="310" spans="2:9" x14ac:dyDescent="0.25">
      <c r="B310" s="151">
        <f t="shared" si="4"/>
        <v>302</v>
      </c>
      <c r="C310" s="150" t="str">
        <f>IFERROR(VLOOKUP(BDREGISTROMINGA20256[[#This Row],[KARDEX]],BDPADRES[],8,FALSE),"Sin registrado")</f>
        <v>JACKELIN TORREZ ROJAS</v>
      </c>
      <c r="I310" s="157"/>
    </row>
    <row r="311" spans="2:9" x14ac:dyDescent="0.25">
      <c r="B311" s="151">
        <f t="shared" si="4"/>
        <v>303</v>
      </c>
      <c r="C311" s="150" t="str">
        <f>IFERROR(VLOOKUP(BDREGISTROMINGA20256[[#This Row],[KARDEX]],BDPADRES[],8,FALSE),"Sin registrado")</f>
        <v>DOLLY SALAZAR</v>
      </c>
      <c r="I311" s="157"/>
    </row>
    <row r="312" spans="2:9" x14ac:dyDescent="0.25">
      <c r="B312" s="151">
        <f t="shared" si="4"/>
        <v>304</v>
      </c>
      <c r="C312" s="150" t="str">
        <f>IFERROR(VLOOKUP(BDREGISTROMINGA20256[[#This Row],[KARDEX]],BDPADRES[],8,FALSE),"Sin registrado")</f>
        <v>SUSANA PRADO ASCARRAGA</v>
      </c>
      <c r="I312" s="157"/>
    </row>
    <row r="313" spans="2:9" x14ac:dyDescent="0.25">
      <c r="B313" s="151">
        <f t="shared" si="4"/>
        <v>305</v>
      </c>
      <c r="C313" s="150" t="str">
        <f>IFERROR(VLOOKUP(BDREGISTROMINGA20256[[#This Row],[KARDEX]],BDPADRES[],8,FALSE),"Sin registrado")</f>
        <v>Sin registrado</v>
      </c>
      <c r="I313" s="157"/>
    </row>
    <row r="314" spans="2:9" x14ac:dyDescent="0.25">
      <c r="B314" s="151">
        <f t="shared" si="4"/>
        <v>306</v>
      </c>
      <c r="C314" s="150" t="str">
        <f>IFERROR(VLOOKUP(BDREGISTROMINGA20256[[#This Row],[KARDEX]],BDPADRES[],8,FALSE),"Sin registrado")</f>
        <v>REBECA COLQUE ROJAS</v>
      </c>
      <c r="I314" s="157"/>
    </row>
    <row r="315" spans="2:9" x14ac:dyDescent="0.25">
      <c r="B315" s="151">
        <f t="shared" si="4"/>
        <v>307</v>
      </c>
      <c r="C315" s="150" t="str">
        <f>IFERROR(VLOOKUP(BDREGISTROMINGA20256[[#This Row],[KARDEX]],BDPADRES[],8,FALSE),"Sin registrado")</f>
        <v>MARITZA VALLEJOS AGUILERA</v>
      </c>
      <c r="I315" s="157"/>
    </row>
    <row r="316" spans="2:9" x14ac:dyDescent="0.25">
      <c r="B316" s="151">
        <f t="shared" si="4"/>
        <v>308</v>
      </c>
      <c r="C316" s="150" t="str">
        <f>IFERROR(VLOOKUP(BDREGISTROMINGA20256[[#This Row],[KARDEX]],BDPADRES[],8,FALSE),"Sin registrado")</f>
        <v>YOLANDA ALARCON GUZMAN</v>
      </c>
      <c r="I316" s="157"/>
    </row>
    <row r="317" spans="2:9" x14ac:dyDescent="0.25">
      <c r="B317" s="151">
        <f t="shared" si="4"/>
        <v>309</v>
      </c>
      <c r="C317" s="150" t="str">
        <f>IFERROR(VLOOKUP(BDREGISTROMINGA20256[[#This Row],[KARDEX]],BDPADRES[],8,FALSE),"Sin registrado")</f>
        <v>ROSA  ESPINOZA LLANOS</v>
      </c>
      <c r="I317" s="157"/>
    </row>
    <row r="318" spans="2:9" x14ac:dyDescent="0.25">
      <c r="B318" s="151">
        <f t="shared" si="4"/>
        <v>310</v>
      </c>
      <c r="C318" s="150" t="str">
        <f>IFERROR(VLOOKUP(BDREGISTROMINGA20256[[#This Row],[KARDEX]],BDPADRES[],8,FALSE),"Sin registrado")</f>
        <v>MARTINA VILLCA FLORES</v>
      </c>
      <c r="I318" s="157"/>
    </row>
    <row r="319" spans="2:9" x14ac:dyDescent="0.25">
      <c r="B319" s="151">
        <f t="shared" si="4"/>
        <v>311</v>
      </c>
      <c r="C319" s="150" t="str">
        <f>IFERROR(VLOOKUP(BDREGISTROMINGA20256[[#This Row],[KARDEX]],BDPADRES[],8,FALSE),"Sin registrado")</f>
        <v>JUANITA GONZALES BANEGAS</v>
      </c>
      <c r="I319" s="157"/>
    </row>
    <row r="320" spans="2:9" x14ac:dyDescent="0.25">
      <c r="B320" s="151">
        <f t="shared" si="4"/>
        <v>312</v>
      </c>
      <c r="C320" s="150" t="str">
        <f>IFERROR(VLOOKUP(BDREGISTROMINGA20256[[#This Row],[KARDEX]],BDPADRES[],8,FALSE),"Sin registrado")</f>
        <v>MARCIANA APAZA FLORES</v>
      </c>
      <c r="I320" s="157"/>
    </row>
    <row r="321" spans="2:9" x14ac:dyDescent="0.25">
      <c r="B321" s="151">
        <f t="shared" si="4"/>
        <v>313</v>
      </c>
      <c r="C321" s="150" t="str">
        <f>IFERROR(VLOOKUP(BDREGISTROMINGA20256[[#This Row],[KARDEX]],BDPADRES[],8,FALSE),"Sin registrado")</f>
        <v>YULI MIRANDA PADILLA</v>
      </c>
      <c r="I321" s="157"/>
    </row>
    <row r="322" spans="2:9" x14ac:dyDescent="0.25">
      <c r="B322" s="151">
        <f t="shared" si="4"/>
        <v>314</v>
      </c>
      <c r="C322" s="150" t="str">
        <f>IFERROR(VLOOKUP(BDREGISTROMINGA20256[[#This Row],[KARDEX]],BDPADRES[],8,FALSE),"Sin registrado")</f>
        <v>LURDES GUZMAN LEDEZMA</v>
      </c>
      <c r="I322" s="157"/>
    </row>
    <row r="323" spans="2:9" x14ac:dyDescent="0.25">
      <c r="B323" s="151">
        <f t="shared" si="4"/>
        <v>315</v>
      </c>
      <c r="C323" s="150" t="str">
        <f>IFERROR(VLOOKUP(BDREGISTROMINGA20256[[#This Row],[KARDEX]],BDPADRES[],8,FALSE),"Sin registrado")</f>
        <v>BEATRIZ ESTRADA BOCANEGRA</v>
      </c>
      <c r="I323" s="157"/>
    </row>
    <row r="324" spans="2:9" x14ac:dyDescent="0.25">
      <c r="B324" s="151">
        <f t="shared" si="4"/>
        <v>316</v>
      </c>
      <c r="C324" s="150" t="str">
        <f>IFERROR(VLOOKUP(BDREGISTROMINGA20256[[#This Row],[KARDEX]],BDPADRES[],8,FALSE),"Sin registrado")</f>
        <v>HILARIA CRUZ ROMERO</v>
      </c>
      <c r="I324" s="157"/>
    </row>
    <row r="325" spans="2:9" x14ac:dyDescent="0.25">
      <c r="B325" s="151">
        <f t="shared" si="4"/>
        <v>317</v>
      </c>
      <c r="C325" s="150" t="str">
        <f>IFERROR(VLOOKUP(BDREGISTROMINGA20256[[#This Row],[KARDEX]],BDPADRES[],8,FALSE),"Sin registrado")</f>
        <v>Sin registrado</v>
      </c>
      <c r="I325" s="157"/>
    </row>
    <row r="326" spans="2:9" x14ac:dyDescent="0.25">
      <c r="B326" s="151">
        <f t="shared" si="4"/>
        <v>318</v>
      </c>
      <c r="C326" s="150" t="str">
        <f>IFERROR(VLOOKUP(BDREGISTROMINGA20256[[#This Row],[KARDEX]],BDPADRES[],8,FALSE),"Sin registrado")</f>
        <v>DIONICIA VASQUEZ HIDALGO</v>
      </c>
      <c r="I326" s="157"/>
    </row>
    <row r="327" spans="2:9" x14ac:dyDescent="0.25">
      <c r="B327" s="151">
        <f t="shared" si="4"/>
        <v>319</v>
      </c>
      <c r="C327" s="150" t="str">
        <f>IFERROR(VLOOKUP(BDREGISTROMINGA20256[[#This Row],[KARDEX]],BDPADRES[],8,FALSE),"Sin registrado")</f>
        <v>LUCY   FAREL GUEVARA</v>
      </c>
      <c r="I327" s="157"/>
    </row>
    <row r="328" spans="2:9" x14ac:dyDescent="0.25">
      <c r="B328" s="151">
        <f t="shared" si="4"/>
        <v>320</v>
      </c>
      <c r="C328" s="150" t="str">
        <f>IFERROR(VLOOKUP(BDREGISTROMINGA20256[[#This Row],[KARDEX]],BDPADRES[],8,FALSE),"Sin registrado")</f>
        <v>JUANA SORIA MORON</v>
      </c>
      <c r="I328" s="157"/>
    </row>
    <row r="329" spans="2:9" x14ac:dyDescent="0.25">
      <c r="B329" s="151">
        <f t="shared" si="4"/>
        <v>321</v>
      </c>
      <c r="C329" s="150" t="str">
        <f>IFERROR(VLOOKUP(BDREGISTROMINGA20256[[#This Row],[KARDEX]],BDPADRES[],8,FALSE),"Sin registrado")</f>
        <v>MARIA VILLARPANDO AVILA</v>
      </c>
      <c r="I329" s="157"/>
    </row>
    <row r="330" spans="2:9" x14ac:dyDescent="0.25">
      <c r="B330" s="151">
        <f t="shared" ref="B330:B393" si="5">ROW(A322)</f>
        <v>322</v>
      </c>
      <c r="C330" s="150" t="str">
        <f>IFERROR(VLOOKUP(BDREGISTROMINGA20256[[#This Row],[KARDEX]],BDPADRES[],8,FALSE),"Sin registrado")</f>
        <v>REINA SERRUDO GUERRA</v>
      </c>
      <c r="I330" s="157"/>
    </row>
    <row r="331" spans="2:9" x14ac:dyDescent="0.25">
      <c r="B331" s="151">
        <f t="shared" si="5"/>
        <v>323</v>
      </c>
      <c r="C331" s="150" t="str">
        <f>IFERROR(VLOOKUP(BDREGISTROMINGA20256[[#This Row],[KARDEX]],BDPADRES[],8,FALSE),"Sin registrado")</f>
        <v>Sin registrado</v>
      </c>
      <c r="I331" s="157"/>
    </row>
    <row r="332" spans="2:9" x14ac:dyDescent="0.25">
      <c r="B332" s="151">
        <f t="shared" si="5"/>
        <v>324</v>
      </c>
      <c r="C332" s="150" t="str">
        <f>IFERROR(VLOOKUP(BDREGISTROMINGA20256[[#This Row],[KARDEX]],BDPADRES[],8,FALSE),"Sin registrado")</f>
        <v>MILDREM ABIGAIL ANCASI ESPINOZA</v>
      </c>
      <c r="I332" s="157"/>
    </row>
    <row r="333" spans="2:9" x14ac:dyDescent="0.25">
      <c r="B333" s="151">
        <f t="shared" si="5"/>
        <v>325</v>
      </c>
      <c r="C333" s="150" t="str">
        <f>IFERROR(VLOOKUP(BDREGISTROMINGA20256[[#This Row],[KARDEX]],BDPADRES[],8,FALSE),"Sin registrado")</f>
        <v>VERONICA CHUMACERO MAMANI</v>
      </c>
      <c r="I333" s="157"/>
    </row>
    <row r="334" spans="2:9" x14ac:dyDescent="0.25">
      <c r="B334" s="151">
        <f t="shared" si="5"/>
        <v>326</v>
      </c>
      <c r="C334" s="150" t="str">
        <f>IFERROR(VLOOKUP(BDREGISTROMINGA20256[[#This Row],[KARDEX]],BDPADRES[],8,FALSE),"Sin registrado")</f>
        <v>ANGELICA GUDELIA SANDOVAL LOPEZ</v>
      </c>
      <c r="I334" s="157"/>
    </row>
    <row r="335" spans="2:9" x14ac:dyDescent="0.25">
      <c r="B335" s="151">
        <f t="shared" si="5"/>
        <v>327</v>
      </c>
      <c r="C335" s="150" t="str">
        <f>IFERROR(VLOOKUP(BDREGISTROMINGA20256[[#This Row],[KARDEX]],BDPADRES[],8,FALSE),"Sin registrado")</f>
        <v>JAQUELIN ROMAN MENCARI</v>
      </c>
      <c r="I335" s="157"/>
    </row>
    <row r="336" spans="2:9" x14ac:dyDescent="0.25">
      <c r="B336" s="151">
        <f t="shared" si="5"/>
        <v>328</v>
      </c>
      <c r="C336" s="150" t="str">
        <f>IFERROR(VLOOKUP(BDREGISTROMINGA20256[[#This Row],[KARDEX]],BDPADRES[],8,FALSE),"Sin registrado")</f>
        <v>PEREGRINA VARGAS CUCHALLO</v>
      </c>
      <c r="I336" s="157"/>
    </row>
    <row r="337" spans="2:9" x14ac:dyDescent="0.25">
      <c r="B337" s="151">
        <f t="shared" si="5"/>
        <v>329</v>
      </c>
      <c r="C337" s="150" t="str">
        <f>IFERROR(VLOOKUP(BDREGISTROMINGA20256[[#This Row],[KARDEX]],BDPADRES[],8,FALSE),"Sin registrado")</f>
        <v>NORMA ARANCIBIA FIGUEROA</v>
      </c>
      <c r="I337" s="157"/>
    </row>
    <row r="338" spans="2:9" x14ac:dyDescent="0.25">
      <c r="B338" s="151">
        <f t="shared" si="5"/>
        <v>330</v>
      </c>
      <c r="C338" s="150" t="str">
        <f>IFERROR(VLOOKUP(BDREGISTROMINGA20256[[#This Row],[KARDEX]],BDPADRES[],8,FALSE),"Sin registrado")</f>
        <v>Sin registrado</v>
      </c>
      <c r="I338" s="157"/>
    </row>
    <row r="339" spans="2:9" x14ac:dyDescent="0.25">
      <c r="B339" s="151">
        <f t="shared" si="5"/>
        <v>331</v>
      </c>
      <c r="C339" s="150" t="str">
        <f>IFERROR(VLOOKUP(BDREGISTROMINGA20256[[#This Row],[KARDEX]],BDPADRES[],8,FALSE),"Sin registrado")</f>
        <v>LAURA RIVERA ROSSEL</v>
      </c>
      <c r="I339" s="157"/>
    </row>
    <row r="340" spans="2:9" x14ac:dyDescent="0.25">
      <c r="B340" s="151">
        <f t="shared" si="5"/>
        <v>332</v>
      </c>
      <c r="C340" s="150" t="str">
        <f>IFERROR(VLOOKUP(BDREGISTROMINGA20256[[#This Row],[KARDEX]],BDPADRES[],8,FALSE),"Sin registrado")</f>
        <v>INGRID SAAVEDRA MANO</v>
      </c>
      <c r="I340" s="157"/>
    </row>
    <row r="341" spans="2:9" x14ac:dyDescent="0.25">
      <c r="B341" s="151">
        <f t="shared" si="5"/>
        <v>333</v>
      </c>
      <c r="C341" s="150" t="str">
        <f>IFERROR(VLOOKUP(BDREGISTROMINGA20256[[#This Row],[KARDEX]],BDPADRES[],8,FALSE),"Sin registrado")</f>
        <v>DOMINGA CABRERA ORTIZ</v>
      </c>
      <c r="I341" s="157"/>
    </row>
    <row r="342" spans="2:9" x14ac:dyDescent="0.25">
      <c r="B342" s="151">
        <f t="shared" si="5"/>
        <v>334</v>
      </c>
      <c r="C342" s="150" t="str">
        <f>IFERROR(VLOOKUP(BDREGISTROMINGA20256[[#This Row],[KARDEX]],BDPADRES[],8,FALSE),"Sin registrado")</f>
        <v>MARY LUZ CHAVEZ RODA</v>
      </c>
      <c r="I342" s="157"/>
    </row>
    <row r="343" spans="2:9" x14ac:dyDescent="0.25">
      <c r="B343" s="151">
        <f t="shared" si="5"/>
        <v>335</v>
      </c>
      <c r="C343" s="150" t="str">
        <f>IFERROR(VLOOKUP(BDREGISTROMINGA20256[[#This Row],[KARDEX]],BDPADRES[],8,FALSE),"Sin registrado")</f>
        <v>GABRIELA BANUS ESTRADA</v>
      </c>
      <c r="I343" s="157"/>
    </row>
    <row r="344" spans="2:9" x14ac:dyDescent="0.25">
      <c r="B344" s="151">
        <f t="shared" si="5"/>
        <v>336</v>
      </c>
      <c r="C344" s="150" t="str">
        <f>IFERROR(VLOOKUP(BDREGISTROMINGA20256[[#This Row],[KARDEX]],BDPADRES[],8,FALSE),"Sin registrado")</f>
        <v>ERNESTINA PADILLA GAMBOA</v>
      </c>
      <c r="I344" s="157"/>
    </row>
    <row r="345" spans="2:9" x14ac:dyDescent="0.25">
      <c r="B345" s="151">
        <f t="shared" si="5"/>
        <v>337</v>
      </c>
      <c r="C345" s="150" t="str">
        <f>IFERROR(VLOOKUP(BDREGISTROMINGA20256[[#This Row],[KARDEX]],BDPADRES[],8,FALSE),"Sin registrado")</f>
        <v>RAQUEL MARTINEZ PADILLA</v>
      </c>
      <c r="I345" s="157"/>
    </row>
    <row r="346" spans="2:9" x14ac:dyDescent="0.25">
      <c r="B346" s="151">
        <f t="shared" si="5"/>
        <v>338</v>
      </c>
      <c r="C346" s="150" t="str">
        <f>IFERROR(VLOOKUP(BDREGISTROMINGA20256[[#This Row],[KARDEX]],BDPADRES[],8,FALSE),"Sin registrado")</f>
        <v>JUANA BALDERRAMA ROQUE</v>
      </c>
      <c r="I346" s="157"/>
    </row>
    <row r="347" spans="2:9" x14ac:dyDescent="0.25">
      <c r="B347" s="151">
        <f t="shared" si="5"/>
        <v>339</v>
      </c>
      <c r="C347" s="150" t="str">
        <f>IFERROR(VLOOKUP(BDREGISTROMINGA20256[[#This Row],[KARDEX]],BDPADRES[],8,FALSE),"Sin registrado")</f>
        <v>CELIDA CESPEDES CARRIAZO</v>
      </c>
      <c r="I347" s="157"/>
    </row>
    <row r="348" spans="2:9" x14ac:dyDescent="0.25">
      <c r="B348" s="151">
        <f t="shared" si="5"/>
        <v>340</v>
      </c>
      <c r="C348" s="150" t="str">
        <f>IFERROR(VLOOKUP(BDREGISTROMINGA20256[[#This Row],[KARDEX]],BDPADRES[],8,FALSE),"Sin registrado")</f>
        <v>SILVIA GARCIA RODAS</v>
      </c>
      <c r="I348" s="157"/>
    </row>
    <row r="349" spans="2:9" x14ac:dyDescent="0.25">
      <c r="B349" s="151">
        <f t="shared" si="5"/>
        <v>341</v>
      </c>
      <c r="C349" s="150" t="str">
        <f>IFERROR(VLOOKUP(BDREGISTROMINGA20256[[#This Row],[KARDEX]],BDPADRES[],8,FALSE),"Sin registrado")</f>
        <v>VERONICA PINO FLORES</v>
      </c>
      <c r="I349" s="157"/>
    </row>
    <row r="350" spans="2:9" x14ac:dyDescent="0.25">
      <c r="B350" s="151">
        <f t="shared" si="5"/>
        <v>342</v>
      </c>
      <c r="C350" s="150" t="str">
        <f>IFERROR(VLOOKUP(BDREGISTROMINGA20256[[#This Row],[KARDEX]],BDPADRES[],8,FALSE),"Sin registrado")</f>
        <v>VALENTINA FLORES VARGAS</v>
      </c>
      <c r="I350" s="157"/>
    </row>
    <row r="351" spans="2:9" x14ac:dyDescent="0.25">
      <c r="B351" s="151">
        <f t="shared" si="5"/>
        <v>343</v>
      </c>
      <c r="C351" s="150" t="str">
        <f>IFERROR(VLOOKUP(BDREGISTROMINGA20256[[#This Row],[KARDEX]],BDPADRES[],8,FALSE),"Sin registrado")</f>
        <v>DEYSI SEGARRA VARGAS</v>
      </c>
      <c r="I351" s="157"/>
    </row>
    <row r="352" spans="2:9" x14ac:dyDescent="0.25">
      <c r="B352" s="151">
        <f t="shared" si="5"/>
        <v>344</v>
      </c>
      <c r="C352" s="150" t="str">
        <f>IFERROR(VLOOKUP(BDREGISTROMINGA20256[[#This Row],[KARDEX]],BDPADRES[],8,FALSE),"Sin registrado")</f>
        <v>LISBETH MAMANI FIGUEROA</v>
      </c>
      <c r="I352" s="157"/>
    </row>
    <row r="353" spans="2:9" x14ac:dyDescent="0.25">
      <c r="B353" s="151">
        <f t="shared" si="5"/>
        <v>345</v>
      </c>
      <c r="C353" s="150" t="str">
        <f>IFERROR(VLOOKUP(BDREGISTROMINGA20256[[#This Row],[KARDEX]],BDPADRES[],8,FALSE),"Sin registrado")</f>
        <v>LUCY MAR TAPIA LARA</v>
      </c>
      <c r="I353" s="157"/>
    </row>
    <row r="354" spans="2:9" x14ac:dyDescent="0.25">
      <c r="B354" s="151">
        <f t="shared" si="5"/>
        <v>346</v>
      </c>
      <c r="C354" s="150" t="str">
        <f>IFERROR(VLOOKUP(BDREGISTROMINGA20256[[#This Row],[KARDEX]],BDPADRES[],8,FALSE),"Sin registrado")</f>
        <v>Sin registrado</v>
      </c>
      <c r="I354" s="157"/>
    </row>
    <row r="355" spans="2:9" x14ac:dyDescent="0.25">
      <c r="B355" s="151">
        <f t="shared" si="5"/>
        <v>347</v>
      </c>
      <c r="C355" s="150" t="str">
        <f>IFERROR(VLOOKUP(BDREGISTROMINGA20256[[#This Row],[KARDEX]],BDPADRES[],8,FALSE),"Sin registrado")</f>
        <v>CONCEPCION MARINA MAMANI VALLEJOS</v>
      </c>
      <c r="I355" s="157"/>
    </row>
    <row r="356" spans="2:9" x14ac:dyDescent="0.25">
      <c r="B356" s="151">
        <f t="shared" si="5"/>
        <v>348</v>
      </c>
      <c r="C356" s="150" t="str">
        <f>IFERROR(VLOOKUP(BDREGISTROMINGA20256[[#This Row],[KARDEX]],BDPADRES[],8,FALSE),"Sin registrado")</f>
        <v>MARY LOURDES COLQUE QUISPE</v>
      </c>
      <c r="I356" s="157"/>
    </row>
    <row r="357" spans="2:9" x14ac:dyDescent="0.25">
      <c r="B357" s="151">
        <f t="shared" si="5"/>
        <v>349</v>
      </c>
      <c r="C357" s="150" t="str">
        <f>IFERROR(VLOOKUP(BDREGISTROMINGA20256[[#This Row],[KARDEX]],BDPADRES[],8,FALSE),"Sin registrado")</f>
        <v>VITALIA CONDORI CRISPIN</v>
      </c>
      <c r="I357" s="157"/>
    </row>
    <row r="358" spans="2:9" x14ac:dyDescent="0.25">
      <c r="B358" s="151">
        <f t="shared" si="5"/>
        <v>350</v>
      </c>
      <c r="C358" s="150" t="str">
        <f>IFERROR(VLOOKUP(BDREGISTROMINGA20256[[#This Row],[KARDEX]],BDPADRES[],8,FALSE),"Sin registrado")</f>
        <v>JUANA PACHACOPA TARDIO</v>
      </c>
      <c r="I358" s="157"/>
    </row>
    <row r="359" spans="2:9" x14ac:dyDescent="0.25">
      <c r="B359" s="151">
        <f t="shared" si="5"/>
        <v>351</v>
      </c>
      <c r="C359" s="150" t="str">
        <f>IFERROR(VLOOKUP(BDREGISTROMINGA20256[[#This Row],[KARDEX]],BDPADRES[],8,FALSE),"Sin registrado")</f>
        <v>ROSMERY MORALES RENTERIA</v>
      </c>
      <c r="I359" s="157"/>
    </row>
    <row r="360" spans="2:9" x14ac:dyDescent="0.25">
      <c r="B360" s="151">
        <f t="shared" si="5"/>
        <v>352</v>
      </c>
      <c r="C360" s="150" t="str">
        <f>IFERROR(VLOOKUP(BDREGISTROMINGA20256[[#This Row],[KARDEX]],BDPADRES[],8,FALSE),"Sin registrado")</f>
        <v>FLORA COPA MAMANI</v>
      </c>
      <c r="I360" s="157"/>
    </row>
    <row r="361" spans="2:9" x14ac:dyDescent="0.25">
      <c r="B361" s="151">
        <f t="shared" si="5"/>
        <v>353</v>
      </c>
      <c r="C361" s="150" t="str">
        <f>IFERROR(VLOOKUP(BDREGISTROMINGA20256[[#This Row],[KARDEX]],BDPADRES[],8,FALSE),"Sin registrado")</f>
        <v>LORENZA GONZALES SERRANO</v>
      </c>
      <c r="I361" s="157"/>
    </row>
    <row r="362" spans="2:9" x14ac:dyDescent="0.25">
      <c r="B362" s="151">
        <f t="shared" si="5"/>
        <v>354</v>
      </c>
      <c r="C362" s="150" t="str">
        <f>IFERROR(VLOOKUP(BDREGISTROMINGA20256[[#This Row],[KARDEX]],BDPADRES[],8,FALSE),"Sin registrado")</f>
        <v>SAVINA LLANOS GUZMAN</v>
      </c>
      <c r="I362" s="157"/>
    </row>
    <row r="363" spans="2:9" x14ac:dyDescent="0.25">
      <c r="B363" s="151">
        <f t="shared" si="5"/>
        <v>355</v>
      </c>
      <c r="C363" s="150" t="str">
        <f>IFERROR(VLOOKUP(BDREGISTROMINGA20256[[#This Row],[KARDEX]],BDPADRES[],8,FALSE),"Sin registrado")</f>
        <v>FELICIDAD PUMA ROSAS</v>
      </c>
      <c r="I363" s="157"/>
    </row>
    <row r="364" spans="2:9" x14ac:dyDescent="0.25">
      <c r="B364" s="151">
        <f t="shared" si="5"/>
        <v>356</v>
      </c>
      <c r="C364" s="150" t="str">
        <f>IFERROR(VLOOKUP(BDREGISTROMINGA20256[[#This Row],[KARDEX]],BDPADRES[],8,FALSE),"Sin registrado")</f>
        <v>LAURA ARACELY GOMEZ HIDALGO</v>
      </c>
      <c r="I364" s="157"/>
    </row>
    <row r="365" spans="2:9" x14ac:dyDescent="0.25">
      <c r="B365" s="151">
        <f t="shared" si="5"/>
        <v>357</v>
      </c>
      <c r="C365" s="150" t="str">
        <f>IFERROR(VLOOKUP(BDREGISTROMINGA20256[[#This Row],[KARDEX]],BDPADRES[],8,FALSE),"Sin registrado")</f>
        <v>Sin registrado</v>
      </c>
      <c r="I365" s="157"/>
    </row>
    <row r="366" spans="2:9" x14ac:dyDescent="0.25">
      <c r="B366" s="151">
        <f t="shared" si="5"/>
        <v>358</v>
      </c>
      <c r="C366" s="150" t="str">
        <f>IFERROR(VLOOKUP(BDREGISTROMINGA20256[[#This Row],[KARDEX]],BDPADRES[],8,FALSE),"Sin registrado")</f>
        <v>NELFY RODAS</v>
      </c>
      <c r="I366" s="157"/>
    </row>
    <row r="367" spans="2:9" x14ac:dyDescent="0.25">
      <c r="B367" s="151">
        <f t="shared" si="5"/>
        <v>359</v>
      </c>
      <c r="C367" s="150" t="str">
        <f>IFERROR(VLOOKUP(BDREGISTROMINGA20256[[#This Row],[KARDEX]],BDPADRES[],8,FALSE),"Sin registrado")</f>
        <v>Sin registrado</v>
      </c>
      <c r="I367" s="157"/>
    </row>
    <row r="368" spans="2:9" x14ac:dyDescent="0.25">
      <c r="B368" s="151">
        <f t="shared" si="5"/>
        <v>360</v>
      </c>
      <c r="C368" s="150" t="str">
        <f>IFERROR(VLOOKUP(BDREGISTROMINGA20256[[#This Row],[KARDEX]],BDPADRES[],8,FALSE),"Sin registrado")</f>
        <v>NOEMY TORRICO DAZA</v>
      </c>
      <c r="I368" s="157"/>
    </row>
    <row r="369" spans="2:9" x14ac:dyDescent="0.25">
      <c r="B369" s="151">
        <f t="shared" si="5"/>
        <v>361</v>
      </c>
      <c r="C369" s="150" t="str">
        <f>IFERROR(VLOOKUP(BDREGISTROMINGA20256[[#This Row],[KARDEX]],BDPADRES[],8,FALSE),"Sin registrado")</f>
        <v>Sin registrado</v>
      </c>
      <c r="I369" s="157"/>
    </row>
    <row r="370" spans="2:9" x14ac:dyDescent="0.25">
      <c r="B370" s="151">
        <f t="shared" si="5"/>
        <v>362</v>
      </c>
      <c r="C370" s="150" t="str">
        <f>IFERROR(VLOOKUP(BDREGISTROMINGA20256[[#This Row],[KARDEX]],BDPADRES[],8,FALSE),"Sin registrado")</f>
        <v>ROSALIA CONDORI ALANES</v>
      </c>
      <c r="I370" s="157"/>
    </row>
    <row r="371" spans="2:9" x14ac:dyDescent="0.25">
      <c r="B371" s="151">
        <f t="shared" si="5"/>
        <v>363</v>
      </c>
      <c r="C371" s="150" t="str">
        <f>IFERROR(VLOOKUP(BDREGISTROMINGA20256[[#This Row],[KARDEX]],BDPADRES[],8,FALSE),"Sin registrado")</f>
        <v>MARGARITA ABALOS</v>
      </c>
      <c r="I371" s="157"/>
    </row>
    <row r="372" spans="2:9" x14ac:dyDescent="0.25">
      <c r="B372" s="151">
        <f t="shared" si="5"/>
        <v>364</v>
      </c>
      <c r="C372" s="150" t="str">
        <f>IFERROR(VLOOKUP(BDREGISTROMINGA20256[[#This Row],[KARDEX]],BDPADRES[],8,FALSE),"Sin registrado")</f>
        <v>BENITA CUBA ROMERO</v>
      </c>
      <c r="I372" s="157"/>
    </row>
    <row r="373" spans="2:9" x14ac:dyDescent="0.25">
      <c r="B373" s="151">
        <f t="shared" si="5"/>
        <v>365</v>
      </c>
      <c r="C373" s="150" t="str">
        <f>IFERROR(VLOOKUP(BDREGISTROMINGA20256[[#This Row],[KARDEX]],BDPADRES[],8,FALSE),"Sin registrado")</f>
        <v>ROXANA RENGIPO ZAPATA</v>
      </c>
      <c r="I373" s="157"/>
    </row>
    <row r="374" spans="2:9" x14ac:dyDescent="0.25">
      <c r="B374" s="151">
        <f t="shared" si="5"/>
        <v>366</v>
      </c>
      <c r="C374" s="150" t="str">
        <f>IFERROR(VLOOKUP(BDREGISTROMINGA20256[[#This Row],[KARDEX]],BDPADRES[],8,FALSE),"Sin registrado")</f>
        <v>YAQUELIN CARRISALES GUTIERRES</v>
      </c>
      <c r="I374" s="157"/>
    </row>
    <row r="375" spans="2:9" x14ac:dyDescent="0.25">
      <c r="B375" s="151">
        <f t="shared" si="5"/>
        <v>367</v>
      </c>
      <c r="C375" s="150" t="str">
        <f>IFERROR(VLOOKUP(BDREGISTROMINGA20256[[#This Row],[KARDEX]],BDPADRES[],8,FALSE),"Sin registrado")</f>
        <v>CRISTINA  DIAZ ALVAREZ</v>
      </c>
      <c r="I375" s="157"/>
    </row>
    <row r="376" spans="2:9" x14ac:dyDescent="0.25">
      <c r="B376" s="151">
        <f t="shared" si="5"/>
        <v>368</v>
      </c>
      <c r="C376" s="150" t="str">
        <f>IFERROR(VLOOKUP(BDREGISTROMINGA20256[[#This Row],[KARDEX]],BDPADRES[],8,FALSE),"Sin registrado")</f>
        <v>SULMA TERESA COLQUE MIRANDA</v>
      </c>
      <c r="I376" s="157"/>
    </row>
    <row r="377" spans="2:9" x14ac:dyDescent="0.25">
      <c r="B377" s="151">
        <f t="shared" si="5"/>
        <v>369</v>
      </c>
      <c r="C377" s="150" t="str">
        <f>IFERROR(VLOOKUP(BDREGISTROMINGA20256[[#This Row],[KARDEX]],BDPADRES[],8,FALSE),"Sin registrado")</f>
        <v>ISABEL CRUZ BAUTISTA</v>
      </c>
      <c r="I377" s="157"/>
    </row>
    <row r="378" spans="2:9" x14ac:dyDescent="0.25">
      <c r="B378" s="151">
        <f t="shared" si="5"/>
        <v>370</v>
      </c>
      <c r="C378" s="150" t="str">
        <f>IFERROR(VLOOKUP(BDREGISTROMINGA20256[[#This Row],[KARDEX]],BDPADRES[],8,FALSE),"Sin registrado")</f>
        <v>MELVY EUGENIA SARACHO VILLAGOMEZ</v>
      </c>
      <c r="I378" s="157"/>
    </row>
    <row r="379" spans="2:9" x14ac:dyDescent="0.25">
      <c r="B379" s="151">
        <f t="shared" si="5"/>
        <v>371</v>
      </c>
      <c r="C379" s="150" t="str">
        <f>IFERROR(VLOOKUP(BDREGISTROMINGA20256[[#This Row],[KARDEX]],BDPADRES[],8,FALSE),"Sin registrado")</f>
        <v>Sin registrado</v>
      </c>
      <c r="I379" s="157"/>
    </row>
    <row r="380" spans="2:9" x14ac:dyDescent="0.25">
      <c r="B380" s="151">
        <f t="shared" si="5"/>
        <v>372</v>
      </c>
      <c r="C380" s="150" t="str">
        <f>IFERROR(VLOOKUP(BDREGISTROMINGA20256[[#This Row],[KARDEX]],BDPADRES[],8,FALSE),"Sin registrado")</f>
        <v>SANDRA ANDRADE ROBLES</v>
      </c>
      <c r="I380" s="157"/>
    </row>
    <row r="381" spans="2:9" x14ac:dyDescent="0.25">
      <c r="B381" s="151">
        <f t="shared" si="5"/>
        <v>373</v>
      </c>
      <c r="C381" s="150" t="str">
        <f>IFERROR(VLOOKUP(BDREGISTROMINGA20256[[#This Row],[KARDEX]],BDPADRES[],8,FALSE),"Sin registrado")</f>
        <v>NANCY MOJICA GONZALES</v>
      </c>
      <c r="I381" s="157"/>
    </row>
    <row r="382" spans="2:9" x14ac:dyDescent="0.25">
      <c r="B382" s="151">
        <f t="shared" si="5"/>
        <v>374</v>
      </c>
      <c r="C382" s="150" t="str">
        <f>IFERROR(VLOOKUP(BDREGISTROMINGA20256[[#This Row],[KARDEX]],BDPADRES[],8,FALSE),"Sin registrado")</f>
        <v>FILOMENA CABRERA PANOZO</v>
      </c>
      <c r="I382" s="157"/>
    </row>
    <row r="383" spans="2:9" x14ac:dyDescent="0.25">
      <c r="B383" s="151">
        <f t="shared" si="5"/>
        <v>375</v>
      </c>
      <c r="C383" s="150" t="str">
        <f>IFERROR(VLOOKUP(BDREGISTROMINGA20256[[#This Row],[KARDEX]],BDPADRES[],8,FALSE),"Sin registrado")</f>
        <v>Sin registrado</v>
      </c>
      <c r="I383" s="157"/>
    </row>
    <row r="384" spans="2:9" x14ac:dyDescent="0.25">
      <c r="B384" s="151">
        <f t="shared" si="5"/>
        <v>376</v>
      </c>
      <c r="C384" s="150" t="str">
        <f>IFERROR(VLOOKUP(BDREGISTROMINGA20256[[#This Row],[KARDEX]],BDPADRES[],8,FALSE),"Sin registrado")</f>
        <v>ISILDA ASILLO MAMANI</v>
      </c>
      <c r="I384" s="157"/>
    </row>
    <row r="385" spans="2:9" x14ac:dyDescent="0.25">
      <c r="B385" s="151">
        <f t="shared" si="5"/>
        <v>377</v>
      </c>
      <c r="C385" s="150" t="str">
        <f>IFERROR(VLOOKUP(BDREGISTROMINGA20256[[#This Row],[KARDEX]],BDPADRES[],8,FALSE),"Sin registrado")</f>
        <v>FELICIDAD MAMANI DE FLORES</v>
      </c>
      <c r="I385" s="157"/>
    </row>
    <row r="386" spans="2:9" x14ac:dyDescent="0.25">
      <c r="B386" s="151">
        <f t="shared" si="5"/>
        <v>378</v>
      </c>
      <c r="C386" s="150" t="str">
        <f>IFERROR(VLOOKUP(BDREGISTROMINGA20256[[#This Row],[KARDEX]],BDPADRES[],8,FALSE),"Sin registrado")</f>
        <v>OLGA ROQUE TARAÑA</v>
      </c>
      <c r="I386" s="157"/>
    </row>
    <row r="387" spans="2:9" x14ac:dyDescent="0.25">
      <c r="B387" s="151">
        <f t="shared" si="5"/>
        <v>379</v>
      </c>
      <c r="C387" s="150" t="str">
        <f>IFERROR(VLOOKUP(BDREGISTROMINGA20256[[#This Row],[KARDEX]],BDPADRES[],8,FALSE),"Sin registrado")</f>
        <v>MARLENY VALVERDE CHOQUE</v>
      </c>
      <c r="I387" s="157"/>
    </row>
    <row r="388" spans="2:9" x14ac:dyDescent="0.25">
      <c r="B388" s="151">
        <f t="shared" si="5"/>
        <v>380</v>
      </c>
      <c r="C388" s="150" t="str">
        <f>IFERROR(VLOOKUP(BDREGISTROMINGA20256[[#This Row],[KARDEX]],BDPADRES[],8,FALSE),"Sin registrado")</f>
        <v>GUEDY MARTINEZ ROMERO</v>
      </c>
      <c r="I388" s="157"/>
    </row>
    <row r="389" spans="2:9" x14ac:dyDescent="0.25">
      <c r="B389" s="151">
        <f t="shared" si="5"/>
        <v>381</v>
      </c>
      <c r="C389" s="150" t="str">
        <f>IFERROR(VLOOKUP(BDREGISTROMINGA20256[[#This Row],[KARDEX]],BDPADRES[],8,FALSE),"Sin registrado")</f>
        <v>Sin registrado</v>
      </c>
      <c r="I389" s="157"/>
    </row>
    <row r="390" spans="2:9" x14ac:dyDescent="0.25">
      <c r="B390" s="151">
        <f t="shared" si="5"/>
        <v>382</v>
      </c>
      <c r="C390" s="150" t="str">
        <f>IFERROR(VLOOKUP(BDREGISTROMINGA20256[[#This Row],[KARDEX]],BDPADRES[],8,FALSE),"Sin registrado")</f>
        <v>FANNY MARTINEZ AGUANTA</v>
      </c>
      <c r="I390" s="157"/>
    </row>
    <row r="391" spans="2:9" x14ac:dyDescent="0.25">
      <c r="B391" s="151">
        <f t="shared" si="5"/>
        <v>383</v>
      </c>
      <c r="C391" s="150" t="str">
        <f>IFERROR(VLOOKUP(BDREGISTROMINGA20256[[#This Row],[KARDEX]],BDPADRES[],8,FALSE),"Sin registrado")</f>
        <v>FRANCISCA  FIGUEROA LOAIZA</v>
      </c>
      <c r="I391" s="157"/>
    </row>
    <row r="392" spans="2:9" x14ac:dyDescent="0.25">
      <c r="B392" s="151">
        <f t="shared" si="5"/>
        <v>384</v>
      </c>
      <c r="C392" s="150" t="str">
        <f>IFERROR(VLOOKUP(BDREGISTROMINGA20256[[#This Row],[KARDEX]],BDPADRES[],8,FALSE),"Sin registrado")</f>
        <v>ARACELY RODRIGUEZ HURTADO</v>
      </c>
      <c r="I392" s="157"/>
    </row>
    <row r="393" spans="2:9" x14ac:dyDescent="0.25">
      <c r="B393" s="151">
        <f t="shared" si="5"/>
        <v>385</v>
      </c>
      <c r="C393" s="150" t="str">
        <f>IFERROR(VLOOKUP(BDREGISTROMINGA20256[[#This Row],[KARDEX]],BDPADRES[],8,FALSE),"Sin registrado")</f>
        <v>EMI LENI MONTAÑO CARDENAS</v>
      </c>
      <c r="I393" s="157"/>
    </row>
    <row r="394" spans="2:9" x14ac:dyDescent="0.25">
      <c r="B394" s="151">
        <f t="shared" ref="B394:B457" si="6">ROW(A386)</f>
        <v>386</v>
      </c>
      <c r="C394" s="150" t="str">
        <f>IFERROR(VLOOKUP(BDREGISTROMINGA20256[[#This Row],[KARDEX]],BDPADRES[],8,FALSE),"Sin registrado")</f>
        <v>FLORA GARCIA GOMEZ</v>
      </c>
      <c r="I394" s="157"/>
    </row>
    <row r="395" spans="2:9" x14ac:dyDescent="0.25">
      <c r="B395" s="151">
        <f t="shared" si="6"/>
        <v>387</v>
      </c>
      <c r="C395" s="150" t="str">
        <f>IFERROR(VLOOKUP(BDREGISTROMINGA20256[[#This Row],[KARDEX]],BDPADRES[],8,FALSE),"Sin registrado")</f>
        <v xml:space="preserve">SIN NOMBRE LLANOS  </v>
      </c>
      <c r="I395" s="157"/>
    </row>
    <row r="396" spans="2:9" x14ac:dyDescent="0.25">
      <c r="B396" s="151">
        <f t="shared" si="6"/>
        <v>388</v>
      </c>
      <c r="C396" s="150" t="str">
        <f>IFERROR(VLOOKUP(BDREGISTROMINGA20256[[#This Row],[KARDEX]],BDPADRES[],8,FALSE),"Sin registrado")</f>
        <v>ANGELICA CUELLAR MENDOZA</v>
      </c>
      <c r="I396" s="157"/>
    </row>
    <row r="397" spans="2:9" x14ac:dyDescent="0.25">
      <c r="B397" s="151">
        <f t="shared" si="6"/>
        <v>389</v>
      </c>
      <c r="C397" s="150" t="str">
        <f>IFERROR(VLOOKUP(BDREGISTROMINGA20256[[#This Row],[KARDEX]],BDPADRES[],8,FALSE),"Sin registrado")</f>
        <v>ELVA FLORES POLANCO</v>
      </c>
      <c r="I397" s="157"/>
    </row>
    <row r="398" spans="2:9" x14ac:dyDescent="0.25">
      <c r="B398" s="151">
        <f t="shared" si="6"/>
        <v>390</v>
      </c>
      <c r="C398" s="150" t="str">
        <f>IFERROR(VLOOKUP(BDREGISTROMINGA20256[[#This Row],[KARDEX]],BDPADRES[],8,FALSE),"Sin registrado")</f>
        <v>MARIA RODRIGUEZ CORTEZ</v>
      </c>
      <c r="I398" s="157"/>
    </row>
    <row r="399" spans="2:9" x14ac:dyDescent="0.25">
      <c r="B399" s="151">
        <f t="shared" si="6"/>
        <v>391</v>
      </c>
      <c r="C399" s="150" t="str">
        <f>IFERROR(VLOOKUP(BDREGISTROMINGA20256[[#This Row],[KARDEX]],BDPADRES[],8,FALSE),"Sin registrado")</f>
        <v>LEISY AGUADO CORTEZ</v>
      </c>
      <c r="I399" s="157"/>
    </row>
    <row r="400" spans="2:9" x14ac:dyDescent="0.25">
      <c r="B400" s="151">
        <f t="shared" si="6"/>
        <v>392</v>
      </c>
      <c r="C400" s="150" t="str">
        <f>IFERROR(VLOOKUP(BDREGISTROMINGA20256[[#This Row],[KARDEX]],BDPADRES[],8,FALSE),"Sin registrado")</f>
        <v>IRENIA RODRIGUEZ CORTEZ</v>
      </c>
      <c r="I400" s="157"/>
    </row>
    <row r="401" spans="2:9" x14ac:dyDescent="0.25">
      <c r="B401" s="151">
        <f t="shared" si="6"/>
        <v>393</v>
      </c>
      <c r="C401" s="150" t="str">
        <f>IFERROR(VLOOKUP(BDREGISTROMINGA20256[[#This Row],[KARDEX]],BDPADRES[],8,FALSE),"Sin registrado")</f>
        <v>AVIGAIL ELEYDE CIFUENTES</v>
      </c>
      <c r="I401" s="157"/>
    </row>
    <row r="402" spans="2:9" x14ac:dyDescent="0.25">
      <c r="B402" s="151">
        <f t="shared" si="6"/>
        <v>394</v>
      </c>
      <c r="C402" s="150" t="str">
        <f>IFERROR(VLOOKUP(BDREGISTROMINGA20256[[#This Row],[KARDEX]],BDPADRES[],8,FALSE),"Sin registrado")</f>
        <v>NILCA LEAÑO VERGARA</v>
      </c>
      <c r="I402" s="157"/>
    </row>
    <row r="403" spans="2:9" x14ac:dyDescent="0.25">
      <c r="B403" s="151">
        <f t="shared" si="6"/>
        <v>395</v>
      </c>
      <c r="C403" s="150" t="str">
        <f>IFERROR(VLOOKUP(BDREGISTROMINGA20256[[#This Row],[KARDEX]],BDPADRES[],8,FALSE),"Sin registrado")</f>
        <v>KARLA MICHELLE MENACHO MELGAR</v>
      </c>
      <c r="I403" s="157"/>
    </row>
    <row r="404" spans="2:9" x14ac:dyDescent="0.25">
      <c r="B404" s="151">
        <f t="shared" si="6"/>
        <v>396</v>
      </c>
      <c r="C404" s="150" t="str">
        <f>IFERROR(VLOOKUP(BDREGISTROMINGA20256[[#This Row],[KARDEX]],BDPADRES[],8,FALSE),"Sin registrado")</f>
        <v>ERLINDA MARTINEZ CRUZ</v>
      </c>
      <c r="I404" s="157"/>
    </row>
    <row r="405" spans="2:9" x14ac:dyDescent="0.25">
      <c r="B405" s="151">
        <f t="shared" si="6"/>
        <v>397</v>
      </c>
      <c r="C405" s="150" t="str">
        <f>IFERROR(VLOOKUP(BDREGISTROMINGA20256[[#This Row],[KARDEX]],BDPADRES[],8,FALSE),"Sin registrado")</f>
        <v xml:space="preserve">ZONIA VEDIA   </v>
      </c>
      <c r="I405" s="157"/>
    </row>
    <row r="406" spans="2:9" x14ac:dyDescent="0.25">
      <c r="B406" s="151">
        <f t="shared" si="6"/>
        <v>398</v>
      </c>
      <c r="C406" s="150" t="str">
        <f>IFERROR(VLOOKUP(BDREGISTROMINGA20256[[#This Row],[KARDEX]],BDPADRES[],8,FALSE),"Sin registrado")</f>
        <v>EULALIA  CORREA ZORAIDE</v>
      </c>
      <c r="I406" s="157"/>
    </row>
    <row r="407" spans="2:9" x14ac:dyDescent="0.25">
      <c r="B407" s="151">
        <f t="shared" si="6"/>
        <v>399</v>
      </c>
      <c r="C407" s="150" t="str">
        <f>IFERROR(VLOOKUP(BDREGISTROMINGA20256[[#This Row],[KARDEX]],BDPADRES[],8,FALSE),"Sin registrado")</f>
        <v>DELMA RAMIREZ PEREZ</v>
      </c>
      <c r="I407" s="157"/>
    </row>
    <row r="408" spans="2:9" x14ac:dyDescent="0.25">
      <c r="B408" s="151">
        <f t="shared" si="6"/>
        <v>400</v>
      </c>
      <c r="C408" s="150" t="str">
        <f>IFERROR(VLOOKUP(BDREGISTROMINGA20256[[#This Row],[KARDEX]],BDPADRES[],8,FALSE),"Sin registrado")</f>
        <v>VERONICA FERNANDEZ SANTILLAN</v>
      </c>
      <c r="I408" s="157"/>
    </row>
    <row r="409" spans="2:9" x14ac:dyDescent="0.25">
      <c r="B409" s="151">
        <f t="shared" si="6"/>
        <v>401</v>
      </c>
      <c r="C409" s="150" t="str">
        <f>IFERROR(VLOOKUP(BDREGISTROMINGA20256[[#This Row],[KARDEX]],BDPADRES[],8,FALSE),"Sin registrado")</f>
        <v>MIRIAM FUENTES HEREDIA</v>
      </c>
      <c r="I409" s="157"/>
    </row>
    <row r="410" spans="2:9" x14ac:dyDescent="0.25">
      <c r="B410" s="151">
        <f t="shared" si="6"/>
        <v>402</v>
      </c>
      <c r="C410" s="150" t="str">
        <f>IFERROR(VLOOKUP(BDREGISTROMINGA20256[[#This Row],[KARDEX]],BDPADRES[],8,FALSE),"Sin registrado")</f>
        <v>ERLINDA VARON ARANCIBIA</v>
      </c>
      <c r="I410" s="157"/>
    </row>
    <row r="411" spans="2:9" x14ac:dyDescent="0.25">
      <c r="B411" s="151">
        <f t="shared" si="6"/>
        <v>403</v>
      </c>
      <c r="C411" s="150" t="str">
        <f>IFERROR(VLOOKUP(BDREGISTROMINGA20256[[#This Row],[KARDEX]],BDPADRES[],8,FALSE),"Sin registrado")</f>
        <v>ANGELICA GARCIA MOSTACEDO</v>
      </c>
      <c r="I411" s="157"/>
    </row>
    <row r="412" spans="2:9" x14ac:dyDescent="0.25">
      <c r="B412" s="151">
        <f t="shared" si="6"/>
        <v>404</v>
      </c>
      <c r="C412" s="150" t="str">
        <f>IFERROR(VLOOKUP(BDREGISTROMINGA20256[[#This Row],[KARDEX]],BDPADRES[],8,FALSE),"Sin registrado")</f>
        <v>TANIA ANDREINA BURGOS ROBLES</v>
      </c>
      <c r="I412" s="157"/>
    </row>
    <row r="413" spans="2:9" x14ac:dyDescent="0.25">
      <c r="B413" s="151">
        <f t="shared" si="6"/>
        <v>405</v>
      </c>
      <c r="C413" s="150" t="str">
        <f>IFERROR(VLOOKUP(BDREGISTROMINGA20256[[#This Row],[KARDEX]],BDPADRES[],8,FALSE),"Sin registrado")</f>
        <v>YOUSELIN CRUZ LEAÑOS</v>
      </c>
      <c r="I413" s="157"/>
    </row>
    <row r="414" spans="2:9" x14ac:dyDescent="0.25">
      <c r="B414" s="151">
        <f t="shared" si="6"/>
        <v>406</v>
      </c>
      <c r="C414" s="150" t="str">
        <f>IFERROR(VLOOKUP(BDREGISTROMINGA20256[[#This Row],[KARDEX]],BDPADRES[],8,FALSE),"Sin registrado")</f>
        <v>ERLINDA PALENQUE BARRIGA</v>
      </c>
      <c r="I414" s="157"/>
    </row>
    <row r="415" spans="2:9" x14ac:dyDescent="0.25">
      <c r="B415" s="151">
        <f t="shared" si="6"/>
        <v>407</v>
      </c>
      <c r="C415" s="150" t="str">
        <f>IFERROR(VLOOKUP(BDREGISTROMINGA20256[[#This Row],[KARDEX]],BDPADRES[],8,FALSE),"Sin registrado")</f>
        <v>MARY LUZ CUCHALLO DURAN</v>
      </c>
      <c r="I415" s="157"/>
    </row>
    <row r="416" spans="2:9" x14ac:dyDescent="0.25">
      <c r="B416" s="151">
        <f t="shared" si="6"/>
        <v>408</v>
      </c>
      <c r="C416" s="150" t="str">
        <f>IFERROR(VLOOKUP(BDREGISTROMINGA20256[[#This Row],[KARDEX]],BDPADRES[],8,FALSE),"Sin registrado")</f>
        <v>RUBILINDA MORON CONTRERAS</v>
      </c>
      <c r="I416" s="157"/>
    </row>
    <row r="417" spans="2:9" x14ac:dyDescent="0.25">
      <c r="B417" s="151">
        <f t="shared" si="6"/>
        <v>409</v>
      </c>
      <c r="C417" s="150" t="str">
        <f>IFERROR(VLOOKUP(BDREGISTROMINGA20256[[#This Row],[KARDEX]],BDPADRES[],8,FALSE),"Sin registrado")</f>
        <v>TERESA FLORES CRUZ</v>
      </c>
      <c r="I417" s="157"/>
    </row>
    <row r="418" spans="2:9" x14ac:dyDescent="0.25">
      <c r="B418" s="151">
        <f t="shared" si="6"/>
        <v>410</v>
      </c>
      <c r="C418" s="150" t="str">
        <f>IFERROR(VLOOKUP(BDREGISTROMINGA20256[[#This Row],[KARDEX]],BDPADRES[],8,FALSE),"Sin registrado")</f>
        <v>RITA GONZALES FLORES</v>
      </c>
      <c r="I418" s="157"/>
    </row>
    <row r="419" spans="2:9" x14ac:dyDescent="0.25">
      <c r="B419" s="151">
        <f t="shared" si="6"/>
        <v>411</v>
      </c>
      <c r="C419" s="150" t="str">
        <f>IFERROR(VLOOKUP(BDREGISTROMINGA20256[[#This Row],[KARDEX]],BDPADRES[],8,FALSE),"Sin registrado")</f>
        <v>EDUVID OSINAGA NOVA</v>
      </c>
      <c r="I419" s="157"/>
    </row>
    <row r="420" spans="2:9" x14ac:dyDescent="0.25">
      <c r="B420" s="151">
        <f t="shared" si="6"/>
        <v>412</v>
      </c>
      <c r="C420" s="150" t="str">
        <f>IFERROR(VLOOKUP(BDREGISTROMINGA20256[[#This Row],[KARDEX]],BDPADRES[],8,FALSE),"Sin registrado")</f>
        <v>SANDRA JUANA FERNANDEZ CESPEDES</v>
      </c>
      <c r="I420" s="157"/>
    </row>
    <row r="421" spans="2:9" x14ac:dyDescent="0.25">
      <c r="B421" s="151">
        <f t="shared" si="6"/>
        <v>413</v>
      </c>
      <c r="C421" s="150" t="str">
        <f>IFERROR(VLOOKUP(BDREGISTROMINGA20256[[#This Row],[KARDEX]],BDPADRES[],8,FALSE),"Sin registrado")</f>
        <v>MARIA YANINE PRADO</v>
      </c>
      <c r="I421" s="157"/>
    </row>
    <row r="422" spans="2:9" x14ac:dyDescent="0.25">
      <c r="B422" s="151">
        <f t="shared" si="6"/>
        <v>414</v>
      </c>
      <c r="C422" s="150" t="str">
        <f>IFERROR(VLOOKUP(BDREGISTROMINGA20256[[#This Row],[KARDEX]],BDPADRES[],8,FALSE),"Sin registrado")</f>
        <v>MARIA NELA BARROZO ANGULO</v>
      </c>
      <c r="I422" s="157"/>
    </row>
    <row r="423" spans="2:9" x14ac:dyDescent="0.25">
      <c r="B423" s="151">
        <f t="shared" si="6"/>
        <v>415</v>
      </c>
      <c r="C423" s="150" t="str">
        <f>IFERROR(VLOOKUP(BDREGISTROMINGA20256[[#This Row],[KARDEX]],BDPADRES[],8,FALSE),"Sin registrado")</f>
        <v>CLAUDIA RAMIREZ CHOQUE</v>
      </c>
      <c r="I423" s="157"/>
    </row>
    <row r="424" spans="2:9" x14ac:dyDescent="0.25">
      <c r="B424" s="151">
        <f t="shared" si="6"/>
        <v>416</v>
      </c>
      <c r="C424" s="150" t="str">
        <f>IFERROR(VLOOKUP(BDREGISTROMINGA20256[[#This Row],[KARDEX]],BDPADRES[],8,FALSE),"Sin registrado")</f>
        <v>PAULITA ORTIZ MENDEZ</v>
      </c>
      <c r="I424" s="157"/>
    </row>
    <row r="425" spans="2:9" x14ac:dyDescent="0.25">
      <c r="B425" s="151">
        <f t="shared" si="6"/>
        <v>417</v>
      </c>
      <c r="C425" s="150" t="str">
        <f>IFERROR(VLOOKUP(BDREGISTROMINGA20256[[#This Row],[KARDEX]],BDPADRES[],8,FALSE),"Sin registrado")</f>
        <v>MARIA MAGDALENA FERNANDEZ ROJAS</v>
      </c>
      <c r="I425" s="157"/>
    </row>
    <row r="426" spans="2:9" x14ac:dyDescent="0.25">
      <c r="B426" s="151">
        <f t="shared" si="6"/>
        <v>418</v>
      </c>
      <c r="C426" s="150" t="str">
        <f>IFERROR(VLOOKUP(BDREGISTROMINGA20256[[#This Row],[KARDEX]],BDPADRES[],8,FALSE),"Sin registrado")</f>
        <v>TANIA MARCELA DELGADILLO RAMOS</v>
      </c>
      <c r="I426" s="157"/>
    </row>
    <row r="427" spans="2:9" x14ac:dyDescent="0.25">
      <c r="B427" s="151">
        <f t="shared" si="6"/>
        <v>419</v>
      </c>
      <c r="C427" s="150" t="str">
        <f>IFERROR(VLOOKUP(BDREGISTROMINGA20256[[#This Row],[KARDEX]],BDPADRES[],8,FALSE),"Sin registrado")</f>
        <v>CAROLITA GUZMAN GUZMAN</v>
      </c>
      <c r="I427" s="157"/>
    </row>
    <row r="428" spans="2:9" x14ac:dyDescent="0.25">
      <c r="B428" s="151">
        <f t="shared" si="6"/>
        <v>420</v>
      </c>
      <c r="C428" s="150" t="str">
        <f>IFERROR(VLOOKUP(BDREGISTROMINGA20256[[#This Row],[KARDEX]],BDPADRES[],8,FALSE),"Sin registrado")</f>
        <v>YULEIDY FERNANDEZ OSINAGA</v>
      </c>
      <c r="I428" s="157"/>
    </row>
    <row r="429" spans="2:9" x14ac:dyDescent="0.25">
      <c r="B429" s="151">
        <f t="shared" si="6"/>
        <v>421</v>
      </c>
      <c r="C429" s="150" t="str">
        <f>IFERROR(VLOOKUP(BDREGISTROMINGA20256[[#This Row],[KARDEX]],BDPADRES[],8,FALSE),"Sin registrado")</f>
        <v>NELIDA MARTINEZ PEREZ</v>
      </c>
      <c r="I429" s="157"/>
    </row>
    <row r="430" spans="2:9" x14ac:dyDescent="0.25">
      <c r="B430" s="151">
        <f t="shared" si="6"/>
        <v>422</v>
      </c>
      <c r="C430" s="150" t="str">
        <f>IFERROR(VLOOKUP(BDREGISTROMINGA20256[[#This Row],[KARDEX]],BDPADRES[],8,FALSE),"Sin registrado")</f>
        <v>ELFY MORALES MOSCOSO</v>
      </c>
      <c r="I430" s="157"/>
    </row>
    <row r="431" spans="2:9" x14ac:dyDescent="0.25">
      <c r="B431" s="151">
        <f t="shared" si="6"/>
        <v>423</v>
      </c>
      <c r="C431" s="150" t="str">
        <f>IFERROR(VLOOKUP(BDREGISTROMINGA20256[[#This Row],[KARDEX]],BDPADRES[],8,FALSE),"Sin registrado")</f>
        <v>SILVIA  CHOQUE ESPINOZA</v>
      </c>
      <c r="I431" s="157"/>
    </row>
    <row r="432" spans="2:9" x14ac:dyDescent="0.25">
      <c r="B432" s="151">
        <f t="shared" si="6"/>
        <v>424</v>
      </c>
      <c r="C432" s="150" t="str">
        <f>IFERROR(VLOOKUP(BDREGISTROMINGA20256[[#This Row],[KARDEX]],BDPADRES[],8,FALSE),"Sin registrado")</f>
        <v>Sin registrado</v>
      </c>
      <c r="I432" s="157"/>
    </row>
    <row r="433" spans="2:9" x14ac:dyDescent="0.25">
      <c r="B433" s="151">
        <f t="shared" si="6"/>
        <v>425</v>
      </c>
      <c r="C433" s="150" t="str">
        <f>IFERROR(VLOOKUP(BDREGISTROMINGA20256[[#This Row],[KARDEX]],BDPADRES[],8,FALSE),"Sin registrado")</f>
        <v>ALICIA MAMANI GARCIA</v>
      </c>
      <c r="I433" s="157"/>
    </row>
    <row r="434" spans="2:9" x14ac:dyDescent="0.25">
      <c r="B434" s="151">
        <f t="shared" si="6"/>
        <v>426</v>
      </c>
      <c r="C434" s="150" t="str">
        <f>IFERROR(VLOOKUP(BDREGISTROMINGA20256[[#This Row],[KARDEX]],BDPADRES[],8,FALSE),"Sin registrado")</f>
        <v>ELIANA CONDORI QUISPE</v>
      </c>
      <c r="I434" s="157"/>
    </row>
    <row r="435" spans="2:9" x14ac:dyDescent="0.25">
      <c r="B435" s="151">
        <f t="shared" si="6"/>
        <v>427</v>
      </c>
      <c r="C435" s="150" t="str">
        <f>IFERROR(VLOOKUP(BDREGISTROMINGA20256[[#This Row],[KARDEX]],BDPADRES[],8,FALSE),"Sin registrado")</f>
        <v>Sin registrado</v>
      </c>
      <c r="I435" s="157"/>
    </row>
    <row r="436" spans="2:9" x14ac:dyDescent="0.25">
      <c r="B436" s="151">
        <f t="shared" si="6"/>
        <v>428</v>
      </c>
      <c r="C436" s="150" t="str">
        <f>IFERROR(VLOOKUP(BDREGISTROMINGA20256[[#This Row],[KARDEX]],BDPADRES[],8,FALSE),"Sin registrado")</f>
        <v>VIVIANA RIVERA AVALOS</v>
      </c>
      <c r="I436" s="157"/>
    </row>
    <row r="437" spans="2:9" x14ac:dyDescent="0.25">
      <c r="B437" s="151">
        <f t="shared" si="6"/>
        <v>429</v>
      </c>
      <c r="C437" s="150" t="str">
        <f>IFERROR(VLOOKUP(BDREGISTROMINGA20256[[#This Row],[KARDEX]],BDPADRES[],8,FALSE),"Sin registrado")</f>
        <v>SALOME CASTRO PINTO</v>
      </c>
      <c r="I437" s="157"/>
    </row>
    <row r="438" spans="2:9" x14ac:dyDescent="0.25">
      <c r="B438" s="151">
        <f t="shared" si="6"/>
        <v>430</v>
      </c>
      <c r="C438" s="150" t="str">
        <f>IFERROR(VLOOKUP(BDREGISTROMINGA20256[[#This Row],[KARDEX]],BDPADRES[],8,FALSE),"Sin registrado")</f>
        <v>SANDRA MATURANO GARCIA</v>
      </c>
      <c r="I438" s="157"/>
    </row>
    <row r="439" spans="2:9" x14ac:dyDescent="0.25">
      <c r="B439" s="151">
        <f t="shared" si="6"/>
        <v>431</v>
      </c>
      <c r="C439" s="150" t="str">
        <f>IFERROR(VLOOKUP(BDREGISTROMINGA20256[[#This Row],[KARDEX]],BDPADRES[],8,FALSE),"Sin registrado")</f>
        <v>MARIBEL  ARROYO ESCOBAR</v>
      </c>
      <c r="I439" s="157"/>
    </row>
    <row r="440" spans="2:9" x14ac:dyDescent="0.25">
      <c r="B440" s="151">
        <f t="shared" si="6"/>
        <v>432</v>
      </c>
      <c r="C440" s="150" t="str">
        <f>IFERROR(VLOOKUP(BDREGISTROMINGA20256[[#This Row],[KARDEX]],BDPADRES[],8,FALSE),"Sin registrado")</f>
        <v>CONSUELO VANESA GARCIA ALVAREZ</v>
      </c>
      <c r="I440" s="157"/>
    </row>
    <row r="441" spans="2:9" x14ac:dyDescent="0.25">
      <c r="B441" s="151">
        <f t="shared" si="6"/>
        <v>433</v>
      </c>
      <c r="C441" s="150" t="str">
        <f>IFERROR(VLOOKUP(BDREGISTROMINGA20256[[#This Row],[KARDEX]],BDPADRES[],8,FALSE),"Sin registrado")</f>
        <v>ERCILIA PACHA ARCIBIA</v>
      </c>
      <c r="I441" s="157"/>
    </row>
    <row r="442" spans="2:9" x14ac:dyDescent="0.25">
      <c r="B442" s="151">
        <f t="shared" si="6"/>
        <v>434</v>
      </c>
      <c r="C442" s="150" t="str">
        <f>IFERROR(VLOOKUP(BDREGISTROMINGA20256[[#This Row],[KARDEX]],BDPADRES[],8,FALSE),"Sin registrado")</f>
        <v>IDE RODRIGUEZ LIZO</v>
      </c>
      <c r="I442" s="157"/>
    </row>
    <row r="443" spans="2:9" x14ac:dyDescent="0.25">
      <c r="B443" s="151">
        <f t="shared" si="6"/>
        <v>435</v>
      </c>
      <c r="C443" s="150" t="str">
        <f>IFERROR(VLOOKUP(BDREGISTROMINGA20256[[#This Row],[KARDEX]],BDPADRES[],8,FALSE),"Sin registrado")</f>
        <v>RUTH VIDAL</v>
      </c>
      <c r="I443" s="157"/>
    </row>
    <row r="444" spans="2:9" x14ac:dyDescent="0.25">
      <c r="B444" s="151">
        <f t="shared" si="6"/>
        <v>436</v>
      </c>
      <c r="C444" s="150" t="str">
        <f>IFERROR(VLOOKUP(BDREGISTROMINGA20256[[#This Row],[KARDEX]],BDPADRES[],8,FALSE),"Sin registrado")</f>
        <v>MARTHA HUISA ROMAN</v>
      </c>
      <c r="I444" s="157"/>
    </row>
    <row r="445" spans="2:9" x14ac:dyDescent="0.25">
      <c r="B445" s="151">
        <f t="shared" si="6"/>
        <v>437</v>
      </c>
      <c r="C445" s="150" t="str">
        <f>IFERROR(VLOOKUP(BDREGISTROMINGA20256[[#This Row],[KARDEX]],BDPADRES[],8,FALSE),"Sin registrado")</f>
        <v>SANTUSA MONCADA AMADOR</v>
      </c>
      <c r="I445" s="157"/>
    </row>
    <row r="446" spans="2:9" x14ac:dyDescent="0.25">
      <c r="B446" s="151">
        <f t="shared" si="6"/>
        <v>438</v>
      </c>
      <c r="C446" s="150" t="str">
        <f>IFERROR(VLOOKUP(BDREGISTROMINGA20256[[#This Row],[KARDEX]],BDPADRES[],8,FALSE),"Sin registrado")</f>
        <v>SABINA PADILLA ZENTENO</v>
      </c>
      <c r="I446" s="157"/>
    </row>
    <row r="447" spans="2:9" x14ac:dyDescent="0.25">
      <c r="B447" s="151">
        <f t="shared" si="6"/>
        <v>439</v>
      </c>
      <c r="C447" s="150" t="str">
        <f>IFERROR(VLOOKUP(BDREGISTROMINGA20256[[#This Row],[KARDEX]],BDPADRES[],8,FALSE),"Sin registrado")</f>
        <v>GIOVANA  MOREIRA VARGAS</v>
      </c>
      <c r="I447" s="157"/>
    </row>
    <row r="448" spans="2:9" x14ac:dyDescent="0.25">
      <c r="B448" s="151">
        <f t="shared" si="6"/>
        <v>440</v>
      </c>
      <c r="C448" s="150" t="str">
        <f>IFERROR(VLOOKUP(BDREGISTROMINGA20256[[#This Row],[KARDEX]],BDPADRES[],8,FALSE),"Sin registrado")</f>
        <v>GETHZY IVETH MAMANI FIGUEROA</v>
      </c>
      <c r="I448" s="157"/>
    </row>
    <row r="449" spans="2:9" x14ac:dyDescent="0.25">
      <c r="B449" s="151">
        <f t="shared" si="6"/>
        <v>441</v>
      </c>
      <c r="C449" s="150" t="str">
        <f>IFERROR(VLOOKUP(BDREGISTROMINGA20256[[#This Row],[KARDEX]],BDPADRES[],8,FALSE),"Sin registrado")</f>
        <v>DANIELA PEÑA PACHI</v>
      </c>
      <c r="I449" s="157"/>
    </row>
    <row r="450" spans="2:9" x14ac:dyDescent="0.25">
      <c r="B450" s="151">
        <f t="shared" si="6"/>
        <v>442</v>
      </c>
      <c r="C450" s="150" t="str">
        <f>IFERROR(VLOOKUP(BDREGISTROMINGA20256[[#This Row],[KARDEX]],BDPADRES[],8,FALSE),"Sin registrado")</f>
        <v>RILMA FIGUEROA HINOJOSA</v>
      </c>
      <c r="I450" s="157"/>
    </row>
    <row r="451" spans="2:9" x14ac:dyDescent="0.25">
      <c r="B451" s="151">
        <f t="shared" si="6"/>
        <v>443</v>
      </c>
      <c r="C451" s="150" t="str">
        <f>IFERROR(VLOOKUP(BDREGISTROMINGA20256[[#This Row],[KARDEX]],BDPADRES[],8,FALSE),"Sin registrado")</f>
        <v>KARINA CHURATA LAMAS</v>
      </c>
      <c r="I451" s="157"/>
    </row>
    <row r="452" spans="2:9" x14ac:dyDescent="0.25">
      <c r="B452" s="151">
        <f t="shared" si="6"/>
        <v>444</v>
      </c>
      <c r="C452" s="150" t="str">
        <f>IFERROR(VLOOKUP(BDREGISTROMINGA20256[[#This Row],[KARDEX]],BDPADRES[],8,FALSE),"Sin registrado")</f>
        <v>JAHEL  ROMERO ACHO</v>
      </c>
      <c r="I452" s="157"/>
    </row>
    <row r="453" spans="2:9" x14ac:dyDescent="0.25">
      <c r="B453" s="151">
        <f t="shared" si="6"/>
        <v>445</v>
      </c>
      <c r="C453" s="150" t="str">
        <f>IFERROR(VLOOKUP(BDREGISTROMINGA20256[[#This Row],[KARDEX]],BDPADRES[],8,FALSE),"Sin registrado")</f>
        <v>MARISOL CHAVARRIA SANCHEZ</v>
      </c>
      <c r="I453" s="157"/>
    </row>
    <row r="454" spans="2:9" x14ac:dyDescent="0.25">
      <c r="B454" s="151">
        <f t="shared" si="6"/>
        <v>446</v>
      </c>
      <c r="C454" s="150" t="str">
        <f>IFERROR(VLOOKUP(BDREGISTROMINGA20256[[#This Row],[KARDEX]],BDPADRES[],8,FALSE),"Sin registrado")</f>
        <v>JESIKA BONILLA GALVIZ</v>
      </c>
      <c r="I454" s="157"/>
    </row>
    <row r="455" spans="2:9" x14ac:dyDescent="0.25">
      <c r="B455" s="151">
        <f t="shared" si="6"/>
        <v>447</v>
      </c>
      <c r="C455" s="150" t="str">
        <f>IFERROR(VLOOKUP(BDREGISTROMINGA20256[[#This Row],[KARDEX]],BDPADRES[],8,FALSE),"Sin registrado")</f>
        <v>Sin registrado</v>
      </c>
      <c r="I455" s="157"/>
    </row>
    <row r="456" spans="2:9" x14ac:dyDescent="0.25">
      <c r="B456" s="151">
        <f t="shared" si="6"/>
        <v>448</v>
      </c>
      <c r="C456" s="150" t="str">
        <f>IFERROR(VLOOKUP(BDREGISTROMINGA20256[[#This Row],[KARDEX]],BDPADRES[],8,FALSE),"Sin registrado")</f>
        <v>Sin registrado</v>
      </c>
      <c r="I456" s="157"/>
    </row>
    <row r="457" spans="2:9" x14ac:dyDescent="0.25">
      <c r="B457" s="151">
        <f t="shared" si="6"/>
        <v>449</v>
      </c>
      <c r="C457" s="150" t="str">
        <f>IFERROR(VLOOKUP(BDREGISTROMINGA20256[[#This Row],[KARDEX]],BDPADRES[],8,FALSE),"Sin registrado")</f>
        <v>CINTHIA RODRIGUEZ MARISCAL</v>
      </c>
      <c r="I457" s="157"/>
    </row>
    <row r="458" spans="2:9" x14ac:dyDescent="0.25">
      <c r="B458" s="151">
        <f t="shared" ref="B458:B481" si="7">ROW(A450)</f>
        <v>450</v>
      </c>
      <c r="C458" s="150" t="str">
        <f>IFERROR(VLOOKUP(BDREGISTROMINGA20256[[#This Row],[KARDEX]],BDPADRES[],8,FALSE),"Sin registrado")</f>
        <v>Sin registrado</v>
      </c>
      <c r="I458" s="157"/>
    </row>
    <row r="459" spans="2:9" x14ac:dyDescent="0.25">
      <c r="B459" s="151">
        <f t="shared" si="7"/>
        <v>451</v>
      </c>
      <c r="C459" s="150" t="str">
        <f>IFERROR(VLOOKUP(BDREGISTROMINGA20256[[#This Row],[KARDEX]],BDPADRES[],8,FALSE),"Sin registrado")</f>
        <v>Sin registrado</v>
      </c>
      <c r="I459" s="157"/>
    </row>
    <row r="460" spans="2:9" x14ac:dyDescent="0.25">
      <c r="B460" s="151">
        <f t="shared" si="7"/>
        <v>452</v>
      </c>
      <c r="C460" s="150" t="str">
        <f>IFERROR(VLOOKUP(BDREGISTROMINGA20256[[#This Row],[KARDEX]],BDPADRES[],8,FALSE),"Sin registrado")</f>
        <v>LORENA RODRIGUEZ CAMACHO</v>
      </c>
      <c r="I460" s="157"/>
    </row>
    <row r="461" spans="2:9" x14ac:dyDescent="0.25">
      <c r="B461" s="151">
        <f t="shared" si="7"/>
        <v>453</v>
      </c>
      <c r="C461" s="150" t="str">
        <f>IFERROR(VLOOKUP(BDREGISTROMINGA20256[[#This Row],[KARDEX]],BDPADRES[],8,FALSE),"Sin registrado")</f>
        <v>Sin registrado</v>
      </c>
      <c r="I461" s="157"/>
    </row>
    <row r="462" spans="2:9" x14ac:dyDescent="0.25">
      <c r="B462" s="151">
        <f t="shared" si="7"/>
        <v>454</v>
      </c>
      <c r="C462" s="150" t="str">
        <f>IFERROR(VLOOKUP(BDREGISTROMINGA20256[[#This Row],[KARDEX]],BDPADRES[],8,FALSE),"Sin registrado")</f>
        <v>LOURDES ORIAS CALDERON</v>
      </c>
      <c r="I462" s="157"/>
    </row>
    <row r="463" spans="2:9" x14ac:dyDescent="0.25">
      <c r="B463" s="151">
        <f t="shared" si="7"/>
        <v>455</v>
      </c>
      <c r="C463" s="150" t="str">
        <f>IFERROR(VLOOKUP(BDREGISTROMINGA20256[[#This Row],[KARDEX]],BDPADRES[],8,FALSE),"Sin registrado")</f>
        <v>DAMIANA COLQUE QUISPE</v>
      </c>
      <c r="I463" s="157"/>
    </row>
    <row r="464" spans="2:9" x14ac:dyDescent="0.25">
      <c r="B464" s="151">
        <f t="shared" si="7"/>
        <v>456</v>
      </c>
      <c r="C464" s="150" t="str">
        <f>IFERROR(VLOOKUP(BDREGISTROMINGA20256[[#This Row],[KARDEX]],BDPADRES[],8,FALSE),"Sin registrado")</f>
        <v>Sin registrado</v>
      </c>
      <c r="I464" s="157"/>
    </row>
    <row r="465" spans="2:9" x14ac:dyDescent="0.25">
      <c r="B465" s="151">
        <f t="shared" si="7"/>
        <v>457</v>
      </c>
      <c r="C465" s="150" t="str">
        <f>IFERROR(VLOOKUP(BDREGISTROMINGA20256[[#This Row],[KARDEX]],BDPADRES[],8,FALSE),"Sin registrado")</f>
        <v>Sin registrado</v>
      </c>
      <c r="I465" s="157"/>
    </row>
    <row r="466" spans="2:9" x14ac:dyDescent="0.25">
      <c r="B466" s="151">
        <f t="shared" si="7"/>
        <v>458</v>
      </c>
      <c r="C466" s="150" t="str">
        <f>IFERROR(VLOOKUP(BDREGISTROMINGA20256[[#This Row],[KARDEX]],BDPADRES[],8,FALSE),"Sin registrado")</f>
        <v>Sin registrado</v>
      </c>
      <c r="I466" s="157"/>
    </row>
    <row r="467" spans="2:9" x14ac:dyDescent="0.25">
      <c r="B467" s="151">
        <f t="shared" si="7"/>
        <v>459</v>
      </c>
      <c r="C467" s="150" t="str">
        <f>IFERROR(VLOOKUP(BDREGISTROMINGA20256[[#This Row],[KARDEX]],BDPADRES[],8,FALSE),"Sin registrado")</f>
        <v>Sin registrado</v>
      </c>
      <c r="I467" s="157"/>
    </row>
    <row r="468" spans="2:9" x14ac:dyDescent="0.25">
      <c r="B468" s="151">
        <f t="shared" si="7"/>
        <v>460</v>
      </c>
      <c r="C468" s="150" t="str">
        <f>IFERROR(VLOOKUP(BDREGISTROMINGA20256[[#This Row],[KARDEX]],BDPADRES[],8,FALSE),"Sin registrado")</f>
        <v>Sin registrado</v>
      </c>
      <c r="I468" s="157"/>
    </row>
    <row r="469" spans="2:9" x14ac:dyDescent="0.25">
      <c r="B469" s="151">
        <f t="shared" si="7"/>
        <v>461</v>
      </c>
      <c r="C469" s="150" t="str">
        <f>IFERROR(VLOOKUP(BDREGISTROMINGA20256[[#This Row],[KARDEX]],BDPADRES[],8,FALSE),"Sin registrado")</f>
        <v>Sin registrado</v>
      </c>
      <c r="I469" s="157"/>
    </row>
    <row r="470" spans="2:9" x14ac:dyDescent="0.25">
      <c r="B470" s="151">
        <f t="shared" si="7"/>
        <v>462</v>
      </c>
      <c r="C470" s="150" t="str">
        <f>IFERROR(VLOOKUP(BDREGISTROMINGA20256[[#This Row],[KARDEX]],BDPADRES[],8,FALSE),"Sin registrado")</f>
        <v>Sin registrado</v>
      </c>
      <c r="I470" s="157"/>
    </row>
    <row r="471" spans="2:9" x14ac:dyDescent="0.25">
      <c r="B471" s="151">
        <f t="shared" si="7"/>
        <v>463</v>
      </c>
      <c r="C471" s="150" t="str">
        <f>IFERROR(VLOOKUP(BDREGISTROMINGA20256[[#This Row],[KARDEX]],BDPADRES[],8,FALSE),"Sin registrado")</f>
        <v>Sin registrado</v>
      </c>
      <c r="I471" s="157"/>
    </row>
    <row r="472" spans="2:9" x14ac:dyDescent="0.25">
      <c r="B472" s="151">
        <f t="shared" si="7"/>
        <v>464</v>
      </c>
      <c r="C472" s="150" t="str">
        <f>IFERROR(VLOOKUP(BDREGISTROMINGA20256[[#This Row],[KARDEX]],BDPADRES[],8,FALSE),"Sin registrado")</f>
        <v>Sin registrado</v>
      </c>
      <c r="I472" s="157"/>
    </row>
    <row r="473" spans="2:9" x14ac:dyDescent="0.25">
      <c r="B473" s="151">
        <f t="shared" si="7"/>
        <v>465</v>
      </c>
      <c r="C473" s="150" t="str">
        <f>IFERROR(VLOOKUP(BDREGISTROMINGA20256[[#This Row],[KARDEX]],BDPADRES[],8,FALSE),"Sin registrado")</f>
        <v>LINA SOLIS GARNICA</v>
      </c>
      <c r="I473" s="157"/>
    </row>
    <row r="474" spans="2:9" x14ac:dyDescent="0.25">
      <c r="B474" s="151">
        <f t="shared" si="7"/>
        <v>466</v>
      </c>
      <c r="C474" s="150" t="str">
        <f>IFERROR(VLOOKUP(BDREGISTROMINGA20256[[#This Row],[KARDEX]],BDPADRES[],8,FALSE),"Sin registrado")</f>
        <v>Sin registrado</v>
      </c>
      <c r="I474" s="157"/>
    </row>
    <row r="475" spans="2:9" x14ac:dyDescent="0.25">
      <c r="B475" s="151">
        <f t="shared" si="7"/>
        <v>467</v>
      </c>
      <c r="C475" s="150" t="str">
        <f>IFERROR(VLOOKUP(BDREGISTROMINGA20256[[#This Row],[KARDEX]],BDPADRES[],8,FALSE),"Sin registrado")</f>
        <v>Sin registrado</v>
      </c>
      <c r="I475" s="157"/>
    </row>
    <row r="476" spans="2:9" x14ac:dyDescent="0.25">
      <c r="B476" s="151">
        <f t="shared" si="7"/>
        <v>468</v>
      </c>
      <c r="C476" s="150" t="str">
        <f>IFERROR(VLOOKUP(BDREGISTROMINGA20256[[#This Row],[KARDEX]],BDPADRES[],8,FALSE),"Sin registrado")</f>
        <v>Sin registrado</v>
      </c>
      <c r="I476" s="157"/>
    </row>
    <row r="477" spans="2:9" x14ac:dyDescent="0.25">
      <c r="B477" s="151">
        <f t="shared" si="7"/>
        <v>469</v>
      </c>
      <c r="C477" s="150" t="str">
        <f>IFERROR(VLOOKUP(BDREGISTROMINGA20256[[#This Row],[KARDEX]],BDPADRES[],8,FALSE),"Sin registrado")</f>
        <v>Sin registrado</v>
      </c>
      <c r="I477" s="157"/>
    </row>
    <row r="478" spans="2:9" x14ac:dyDescent="0.25">
      <c r="B478" s="151">
        <f t="shared" si="7"/>
        <v>470</v>
      </c>
      <c r="C478" s="150" t="str">
        <f>IFERROR(VLOOKUP(BDREGISTROMINGA20256[[#This Row],[KARDEX]],BDPADRES[],8,FALSE),"Sin registrado")</f>
        <v>Sin registrado</v>
      </c>
      <c r="I478" s="157"/>
    </row>
    <row r="479" spans="2:9" x14ac:dyDescent="0.25">
      <c r="B479" s="151">
        <f t="shared" si="7"/>
        <v>471</v>
      </c>
      <c r="C479" s="150" t="str">
        <f>IFERROR(VLOOKUP(BDREGISTROMINGA20256[[#This Row],[KARDEX]],BDPADRES[],8,FALSE),"Sin registrado")</f>
        <v>Sin registrado</v>
      </c>
      <c r="I479" s="157"/>
    </row>
    <row r="480" spans="2:9" x14ac:dyDescent="0.25">
      <c r="B480" s="151">
        <f t="shared" si="7"/>
        <v>472</v>
      </c>
      <c r="C480" s="150" t="str">
        <f>IFERROR(VLOOKUP(BDREGISTROMINGA20256[[#This Row],[KARDEX]],BDPADRES[],8,FALSE),"Sin registrado")</f>
        <v>CATHIA ORTIZ CRUZ</v>
      </c>
      <c r="I480" s="157"/>
    </row>
    <row r="481" spans="2:9" x14ac:dyDescent="0.25">
      <c r="B481" s="151">
        <f t="shared" si="7"/>
        <v>473</v>
      </c>
      <c r="C481" s="150" t="str">
        <f>IFERROR(VLOOKUP(BDREGISTROMINGA20256[[#This Row],[KARDEX]],BDPADRES[],8,FALSE),"Sin registrado")</f>
        <v>Sin registrado</v>
      </c>
      <c r="I481" s="157"/>
    </row>
    <row r="482" spans="2:9" ht="14.4" x14ac:dyDescent="0.3">
      <c r="B482" s="1" t="s">
        <v>3114</v>
      </c>
      <c r="C482" s="150" t="str">
        <f>IFERROR(VLOOKUP(BDREGISTROMINGA20256[[#This Row],[KARDEX]],BDPADRES[],8,FALSE),"Sin registrado")</f>
        <v>ANA LUISA RIVERA MENESES</v>
      </c>
      <c r="I482" s="157"/>
    </row>
    <row r="483" spans="2:9" ht="14.4" x14ac:dyDescent="0.3">
      <c r="B483" s="1" t="s">
        <v>3115</v>
      </c>
      <c r="C483" s="150" t="str">
        <f>IFERROR(VLOOKUP(BDREGISTROMINGA20256[[#This Row],[KARDEX]],BDPADRES[],8,FALSE),"Sin registrado")</f>
        <v>BETANIA SICPORO RODRIGUEZ</v>
      </c>
      <c r="I483" s="157"/>
    </row>
    <row r="484" spans="2:9" ht="14.4" x14ac:dyDescent="0.3">
      <c r="B484" s="1" t="s">
        <v>3116</v>
      </c>
      <c r="C484" s="150" t="str">
        <f>IFERROR(VLOOKUP(BDREGISTROMINGA20256[[#This Row],[KARDEX]],BDPADRES[],8,FALSE),"Sin registrado")</f>
        <v>Sin registrado</v>
      </c>
      <c r="I484" s="157"/>
    </row>
    <row r="485" spans="2:9" ht="14.4" x14ac:dyDescent="0.3">
      <c r="B485" s="1" t="s">
        <v>3117</v>
      </c>
      <c r="C485" s="150" t="str">
        <f>IFERROR(VLOOKUP(BDREGISTROMINGA20256[[#This Row],[KARDEX]],BDPADRES[],8,FALSE),"Sin registrado")</f>
        <v>Sin registrado</v>
      </c>
      <c r="I485" s="157"/>
    </row>
    <row r="486" spans="2:9" ht="14.4" x14ac:dyDescent="0.3">
      <c r="B486" s="1" t="s">
        <v>3118</v>
      </c>
      <c r="C486" s="150" t="str">
        <f>IFERROR(VLOOKUP(BDREGISTROMINGA20256[[#This Row],[KARDEX]],BDPADRES[],8,FALSE),"Sin registrado")</f>
        <v>FIDELIA LAQUE RAMOS</v>
      </c>
      <c r="I486" s="157"/>
    </row>
    <row r="487" spans="2:9" ht="14.4" x14ac:dyDescent="0.3">
      <c r="B487" s="1" t="s">
        <v>3119</v>
      </c>
      <c r="C487" s="150" t="str">
        <f>IFERROR(VLOOKUP(BDREGISTROMINGA20256[[#This Row],[KARDEX]],BDPADRES[],8,FALSE),"Sin registrado")</f>
        <v>MARINA USCAMAYTA CONDORI</v>
      </c>
      <c r="I487" s="157"/>
    </row>
    <row r="488" spans="2:9" ht="14.4" x14ac:dyDescent="0.3">
      <c r="B488" s="1" t="s">
        <v>3120</v>
      </c>
      <c r="C488" s="150" t="str">
        <f>IFERROR(VLOOKUP(BDREGISTROMINGA20256[[#This Row],[KARDEX]],BDPADRES[],8,FALSE),"Sin registrado")</f>
        <v>PATRICIA SALVATIERRA JIMENEZ</v>
      </c>
      <c r="I488" s="157"/>
    </row>
    <row r="489" spans="2:9" ht="14.4" x14ac:dyDescent="0.3">
      <c r="B489" s="1" t="s">
        <v>3121</v>
      </c>
      <c r="C489" s="150" t="str">
        <f>IFERROR(VLOOKUP(BDREGISTROMINGA20256[[#This Row],[KARDEX]],BDPADRES[],8,FALSE),"Sin registrado")</f>
        <v>MARIELA MAMANI ACHAYA</v>
      </c>
      <c r="I489" s="157"/>
    </row>
    <row r="490" spans="2:9" ht="14.4" x14ac:dyDescent="0.3">
      <c r="B490" s="1" t="s">
        <v>3122</v>
      </c>
      <c r="C490" s="150" t="str">
        <f>IFERROR(VLOOKUP(BDREGISTROMINGA20256[[#This Row],[KARDEX]],BDPADRES[],8,FALSE),"Sin registrado")</f>
        <v>IVET BELTRAN GONZALES</v>
      </c>
      <c r="I490" s="157"/>
    </row>
    <row r="491" spans="2:9" ht="14.4" x14ac:dyDescent="0.3">
      <c r="B491" s="1" t="s">
        <v>3123</v>
      </c>
      <c r="C491" s="150" t="str">
        <f>IFERROR(VLOOKUP(BDREGISTROMINGA20256[[#This Row],[KARDEX]],BDPADRES[],8,FALSE),"Sin registrado")</f>
        <v>LOURDES FERNANDEZ ORTIZ</v>
      </c>
      <c r="I491" s="157"/>
    </row>
    <row r="492" spans="2:9" ht="14.4" x14ac:dyDescent="0.3">
      <c r="B492" s="1" t="s">
        <v>3124</v>
      </c>
      <c r="C492" s="150" t="str">
        <f>IFERROR(VLOOKUP(BDREGISTROMINGA20256[[#This Row],[KARDEX]],BDPADRES[],8,FALSE),"Sin registrado")</f>
        <v>DEYSY ROBLEDO AVALOS</v>
      </c>
      <c r="I492" s="157"/>
    </row>
    <row r="493" spans="2:9" ht="14.4" x14ac:dyDescent="0.3">
      <c r="B493" s="1" t="s">
        <v>3125</v>
      </c>
      <c r="C493" s="150" t="str">
        <f>IFERROR(VLOOKUP(BDREGISTROMINGA20256[[#This Row],[KARDEX]],BDPADRES[],8,FALSE),"Sin registrado")</f>
        <v>MARIANA VACA NOVA</v>
      </c>
      <c r="I493" s="157"/>
    </row>
    <row r="494" spans="2:9" ht="14.4" x14ac:dyDescent="0.3">
      <c r="B494" s="1" t="s">
        <v>3126</v>
      </c>
      <c r="C494" s="150" t="str">
        <f>IFERROR(VLOOKUP(BDREGISTROMINGA20256[[#This Row],[KARDEX]],BDPADRES[],8,FALSE),"Sin registrado")</f>
        <v>ADRIANA HUAILLA ORELLANA</v>
      </c>
      <c r="I494" s="157"/>
    </row>
    <row r="495" spans="2:9" ht="14.4" x14ac:dyDescent="0.3">
      <c r="B495" s="1" t="s">
        <v>3127</v>
      </c>
      <c r="C495" s="150" t="str">
        <f>IFERROR(VLOOKUP(BDREGISTROMINGA20256[[#This Row],[KARDEX]],BDPADRES[],8,FALSE),"Sin registrado")</f>
        <v>MIRIAN MENDOZA RIVERA</v>
      </c>
      <c r="I495" s="157"/>
    </row>
    <row r="496" spans="2:9" ht="14.4" x14ac:dyDescent="0.3">
      <c r="B496" s="1" t="s">
        <v>3128</v>
      </c>
      <c r="C496" s="150" t="str">
        <f>IFERROR(VLOOKUP(BDREGISTROMINGA20256[[#This Row],[KARDEX]],BDPADRES[],8,FALSE),"Sin registrado")</f>
        <v>HERMINIA QUEMAYA GARCIA</v>
      </c>
      <c r="I496" s="157"/>
    </row>
    <row r="497" spans="2:9" ht="14.4" x14ac:dyDescent="0.3">
      <c r="B497" s="1" t="s">
        <v>3129</v>
      </c>
      <c r="C497" s="150" t="str">
        <f>IFERROR(VLOOKUP(BDREGISTROMINGA20256[[#This Row],[KARDEX]],BDPADRES[],8,FALSE),"Sin registrado")</f>
        <v>DELMA MERUBIA AVILA</v>
      </c>
      <c r="I497" s="157"/>
    </row>
    <row r="498" spans="2:9" ht="14.4" x14ac:dyDescent="0.3">
      <c r="B498" s="1" t="s">
        <v>3130</v>
      </c>
      <c r="C498" s="150" t="str">
        <f>IFERROR(VLOOKUP(BDREGISTROMINGA20256[[#This Row],[KARDEX]],BDPADRES[],8,FALSE),"Sin registrado")</f>
        <v>YOVANA MARTINEZ ROMERO</v>
      </c>
      <c r="I498" s="157"/>
    </row>
    <row r="499" spans="2:9" ht="14.4" x14ac:dyDescent="0.3">
      <c r="B499" s="1" t="s">
        <v>3131</v>
      </c>
      <c r="C499" s="150" t="str">
        <f>IFERROR(VLOOKUP(BDREGISTROMINGA20256[[#This Row],[KARDEX]],BDPADRES[],8,FALSE),"Sin registrado")</f>
        <v>Sin registrado</v>
      </c>
      <c r="I499" s="157"/>
    </row>
    <row r="500" spans="2:9" ht="14.4" x14ac:dyDescent="0.3">
      <c r="B500" s="1" t="s">
        <v>3132</v>
      </c>
      <c r="C500" s="150" t="str">
        <f>IFERROR(VLOOKUP(BDREGISTROMINGA20256[[#This Row],[KARDEX]],BDPADRES[],8,FALSE),"Sin registrado")</f>
        <v>NORMA FLORES ABREGO</v>
      </c>
      <c r="I500" s="157"/>
    </row>
    <row r="501" spans="2:9" ht="14.4" x14ac:dyDescent="0.3">
      <c r="B501" s="1" t="s">
        <v>3133</v>
      </c>
      <c r="C501" s="150" t="str">
        <f>IFERROR(VLOOKUP(BDREGISTROMINGA20256[[#This Row],[KARDEX]],BDPADRES[],8,FALSE),"Sin registrado")</f>
        <v>MARGARITA COIMBRA SOLIZ</v>
      </c>
      <c r="I501" s="157"/>
    </row>
    <row r="502" spans="2:9" ht="14.4" x14ac:dyDescent="0.3">
      <c r="B502" s="1" t="s">
        <v>3134</v>
      </c>
      <c r="C502" s="150" t="str">
        <f>IFERROR(VLOOKUP(BDREGISTROMINGA20256[[#This Row],[KARDEX]],BDPADRES[],8,FALSE),"Sin registrado")</f>
        <v xml:space="preserve">NREG/NOMBRE PEREZ </v>
      </c>
      <c r="I502" s="157"/>
    </row>
    <row r="503" spans="2:9" ht="14.4" x14ac:dyDescent="0.3">
      <c r="B503" s="1" t="s">
        <v>3135</v>
      </c>
      <c r="C503" s="150" t="str">
        <f>IFERROR(VLOOKUP(BDREGISTROMINGA20256[[#This Row],[KARDEX]],BDPADRES[],8,FALSE),"Sin registrado")</f>
        <v>CIERIDEY CEREZO GARCIA</v>
      </c>
      <c r="I503" s="157"/>
    </row>
    <row r="504" spans="2:9" ht="14.4" x14ac:dyDescent="0.3">
      <c r="B504" s="1" t="s">
        <v>3136</v>
      </c>
      <c r="C504" s="150" t="str">
        <f>IFERROR(VLOOKUP(BDREGISTROMINGA20256[[#This Row],[KARDEX]],BDPADRES[],8,FALSE),"Sin registrado")</f>
        <v>CONSUELO MILENKA RAMOS VILLEGAS</v>
      </c>
      <c r="I504" s="157"/>
    </row>
    <row r="505" spans="2:9" ht="14.4" x14ac:dyDescent="0.3">
      <c r="B505" s="1" t="s">
        <v>3137</v>
      </c>
      <c r="C505" s="150" t="str">
        <f>IFERROR(VLOOKUP(BDREGISTROMINGA20256[[#This Row],[KARDEX]],BDPADRES[],8,FALSE),"Sin registrado")</f>
        <v>NICOLAZA BONIFAZ ALVAREZ</v>
      </c>
      <c r="I505" s="157"/>
    </row>
    <row r="506" spans="2:9" ht="14.4" x14ac:dyDescent="0.3">
      <c r="B506" s="1" t="s">
        <v>3138</v>
      </c>
      <c r="C506" s="150" t="str">
        <f>IFERROR(VLOOKUP(BDREGISTROMINGA20256[[#This Row],[KARDEX]],BDPADRES[],8,FALSE),"Sin registrado")</f>
        <v>MARIA CUELLAR MOSCOSO</v>
      </c>
      <c r="I506" s="157"/>
    </row>
    <row r="507" spans="2:9" ht="14.4" x14ac:dyDescent="0.3">
      <c r="B507" s="1" t="s">
        <v>3139</v>
      </c>
      <c r="C507" s="150" t="str">
        <f>IFERROR(VLOOKUP(BDREGISTROMINGA20256[[#This Row],[KARDEX]],BDPADRES[],8,FALSE),"Sin registrado")</f>
        <v>PATRICIA CLAUDIA SERRANO BANEGAS</v>
      </c>
      <c r="I507" s="157"/>
    </row>
    <row r="508" spans="2:9" ht="14.4" x14ac:dyDescent="0.3">
      <c r="B508" s="1" t="s">
        <v>3140</v>
      </c>
      <c r="C508" s="150" t="str">
        <f>IFERROR(VLOOKUP(BDREGISTROMINGA20256[[#This Row],[KARDEX]],BDPADRES[],8,FALSE),"Sin registrado")</f>
        <v>ISABELA CONDORI PATZI</v>
      </c>
      <c r="I508" s="157"/>
    </row>
    <row r="509" spans="2:9" ht="14.4" x14ac:dyDescent="0.3">
      <c r="B509" s="1" t="s">
        <v>3141</v>
      </c>
      <c r="C509" s="150" t="str">
        <f>IFERROR(VLOOKUP(BDREGISTROMINGA20256[[#This Row],[KARDEX]],BDPADRES[],8,FALSE),"Sin registrado")</f>
        <v>YANIRA  CARVALHO ESCOBAR</v>
      </c>
      <c r="I509" s="157"/>
    </row>
    <row r="510" spans="2:9" ht="14.4" x14ac:dyDescent="0.3">
      <c r="B510" s="1" t="s">
        <v>3142</v>
      </c>
      <c r="C510" s="150" t="str">
        <f>IFERROR(VLOOKUP(BDREGISTROMINGA20256[[#This Row],[KARDEX]],BDPADRES[],8,FALSE),"Sin registrado")</f>
        <v>CRISTINA  CRUZ OYOLA</v>
      </c>
      <c r="I510" s="157"/>
    </row>
    <row r="511" spans="2:9" ht="14.4" x14ac:dyDescent="0.3">
      <c r="B511" s="1" t="s">
        <v>3143</v>
      </c>
      <c r="C511" s="150" t="str">
        <f>IFERROR(VLOOKUP(BDREGISTROMINGA20256[[#This Row],[KARDEX]],BDPADRES[],8,FALSE),"Sin registrado")</f>
        <v>MARIELY HURTADO</v>
      </c>
      <c r="I511" s="157"/>
    </row>
    <row r="512" spans="2:9" ht="14.4" x14ac:dyDescent="0.3">
      <c r="B512" s="1" t="s">
        <v>3144</v>
      </c>
      <c r="C512" s="150" t="str">
        <f>IFERROR(VLOOKUP(BDREGISTROMINGA20256[[#This Row],[KARDEX]],BDPADRES[],8,FALSE),"Sin registrado")</f>
        <v>LORENA SANDOVAL ALGARAÑAZ</v>
      </c>
      <c r="I512" s="157"/>
    </row>
    <row r="513" spans="2:9" ht="14.4" x14ac:dyDescent="0.3">
      <c r="B513" s="1" t="s">
        <v>3145</v>
      </c>
      <c r="C513" s="150" t="str">
        <f>IFERROR(VLOOKUP(BDREGISTROMINGA20256[[#This Row],[KARDEX]],BDPADRES[],8,FALSE),"Sin registrado")</f>
        <v>MARLENI SOLEDAD ALDAPI GONZALES</v>
      </c>
      <c r="I513" s="157"/>
    </row>
    <row r="514" spans="2:9" ht="14.4" x14ac:dyDescent="0.3">
      <c r="B514" s="1" t="s">
        <v>3146</v>
      </c>
      <c r="C514" s="150" t="str">
        <f>IFERROR(VLOOKUP(BDREGISTROMINGA20256[[#This Row],[KARDEX]],BDPADRES[],8,FALSE),"Sin registrado")</f>
        <v>RICHARD JOSE VARGAS TELLEZ</v>
      </c>
      <c r="I514" s="157"/>
    </row>
    <row r="515" spans="2:9" ht="14.4" x14ac:dyDescent="0.3">
      <c r="B515" s="1" t="s">
        <v>3147</v>
      </c>
      <c r="C515" s="150" t="str">
        <f>IFERROR(VLOOKUP(BDREGISTROMINGA20256[[#This Row],[KARDEX]],BDPADRES[],8,FALSE),"Sin registrado")</f>
        <v>MARLENI   LAQUE RAMOS</v>
      </c>
      <c r="I515" s="157"/>
    </row>
    <row r="516" spans="2:9" ht="14.4" x14ac:dyDescent="0.3">
      <c r="B516" s="1" t="s">
        <v>3148</v>
      </c>
      <c r="C516" s="150" t="str">
        <f>IFERROR(VLOOKUP(BDREGISTROMINGA20256[[#This Row],[KARDEX]],BDPADRES[],8,FALSE),"Sin registrado")</f>
        <v>MIOLET CEREZO GARCIA</v>
      </c>
      <c r="I516" s="157"/>
    </row>
    <row r="517" spans="2:9" ht="14.4" x14ac:dyDescent="0.3">
      <c r="B517" s="1" t="s">
        <v>3149</v>
      </c>
      <c r="C517" s="150" t="str">
        <f>IFERROR(VLOOKUP(BDREGISTROMINGA20256[[#This Row],[KARDEX]],BDPADRES[],8,FALSE),"Sin registrado")</f>
        <v>MAIBER PESSOA GARCIA</v>
      </c>
      <c r="I517" s="157"/>
    </row>
    <row r="518" spans="2:9" ht="14.4" x14ac:dyDescent="0.3">
      <c r="B518" s="1" t="s">
        <v>3150</v>
      </c>
      <c r="C518" s="150" t="str">
        <f>IFERROR(VLOOKUP(BDREGISTROMINGA20256[[#This Row],[KARDEX]],BDPADRES[],8,FALSE),"Sin registrado")</f>
        <v>ELSA ALVAREZ ORELLANA</v>
      </c>
      <c r="I518" s="157"/>
    </row>
    <row r="519" spans="2:9" ht="14.4" x14ac:dyDescent="0.3">
      <c r="B519" s="1" t="s">
        <v>3151</v>
      </c>
      <c r="C519" s="150" t="str">
        <f>IFERROR(VLOOKUP(BDREGISTROMINGA20256[[#This Row],[KARDEX]],BDPADRES[],8,FALSE),"Sin registrado")</f>
        <v>MARY GULDING VILLAVICENCIO CONTRERAS</v>
      </c>
      <c r="I519" s="157"/>
    </row>
    <row r="520" spans="2:9" ht="14.4" x14ac:dyDescent="0.3">
      <c r="B520" s="1" t="s">
        <v>3155</v>
      </c>
      <c r="C520" s="150" t="str">
        <f>IFERROR(VLOOKUP(BDREGISTROMINGA20256[[#This Row],[KARDEX]],BDPADRES[],8,FALSE),"Sin registrado")</f>
        <v>MATILDE FLORES MAIZARES</v>
      </c>
      <c r="I520" s="157"/>
    </row>
    <row r="521" spans="2:9" ht="14.4" x14ac:dyDescent="0.3">
      <c r="B521" s="1" t="s">
        <v>3152</v>
      </c>
      <c r="C521" s="150" t="str">
        <f>IFERROR(VLOOKUP(BDREGISTROMINGA20256[[#This Row],[KARDEX]],BDPADRES[],8,FALSE),"Sin registrado")</f>
        <v>N/SINREGISTRO RODAS</v>
      </c>
      <c r="I521" s="157"/>
    </row>
    <row r="522" spans="2:9" ht="14.4" x14ac:dyDescent="0.3">
      <c r="B522" s="1" t="s">
        <v>3153</v>
      </c>
      <c r="C522" s="150" t="str">
        <f>IFERROR(VLOOKUP(BDREGISTROMINGA20256[[#This Row],[KARDEX]],BDPADRES[],8,FALSE),"Sin registrado")</f>
        <v xml:space="preserve"> ROBLEDO</v>
      </c>
      <c r="I522" s="157"/>
    </row>
    <row r="523" spans="2:9" ht="14.4" x14ac:dyDescent="0.3">
      <c r="B523" s="1" t="s">
        <v>3154</v>
      </c>
      <c r="C523" s="150" t="str">
        <f>IFERROR(VLOOKUP(BDREGISTROMINGA20256[[#This Row],[KARDEX]],BDPADRES[],8,FALSE),"Sin registrado")</f>
        <v>TERESA JIMENEZ CARRIAZO</v>
      </c>
      <c r="I523" s="157"/>
    </row>
    <row r="524" spans="2:9" ht="14.4" x14ac:dyDescent="0.3">
      <c r="B524" s="1"/>
      <c r="I524" s="157"/>
    </row>
    <row r="525" spans="2:9" x14ac:dyDescent="0.25">
      <c r="B525" s="151"/>
      <c r="I525" s="157"/>
    </row>
    <row r="526" spans="2:9" x14ac:dyDescent="0.25">
      <c r="B526" s="151"/>
      <c r="I526" s="157"/>
    </row>
    <row r="527" spans="2:9" x14ac:dyDescent="0.25">
      <c r="B527" s="151"/>
      <c r="I527" s="157"/>
    </row>
    <row r="528" spans="2:9" x14ac:dyDescent="0.25">
      <c r="B528" s="151"/>
      <c r="I528" s="157"/>
    </row>
    <row r="529" spans="2:9" x14ac:dyDescent="0.25">
      <c r="B529" s="151"/>
      <c r="I529" s="157"/>
    </row>
    <row r="530" spans="2:9" x14ac:dyDescent="0.25">
      <c r="B530" s="151"/>
      <c r="I530" s="157"/>
    </row>
    <row r="531" spans="2:9" x14ac:dyDescent="0.25">
      <c r="B531" s="151"/>
      <c r="I531" s="157"/>
    </row>
    <row r="532" spans="2:9" x14ac:dyDescent="0.25">
      <c r="B532" s="151"/>
      <c r="I532" s="157"/>
    </row>
    <row r="533" spans="2:9" x14ac:dyDescent="0.25">
      <c r="B533" s="151"/>
      <c r="I533" s="157"/>
    </row>
  </sheetData>
  <mergeCells count="2">
    <mergeCell ref="A1:L3"/>
    <mergeCell ref="C5:E5"/>
  </mergeCells>
  <phoneticPr fontId="5" type="noConversion"/>
  <conditionalFormatting sqref="C1:C1048576">
    <cfRule type="duplicateValues" dxfId="25" priority="1"/>
  </conditionalFormatting>
  <pageMargins left="0.25" right="0.25" top="0.75" bottom="0.75" header="0.3" footer="0.3"/>
  <pageSetup paperSize="5" orientation="landscape" horizontalDpi="360" verticalDpi="36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AA787-5233-4BE2-AE70-38163A524BAD}">
  <sheetPr codeName="Hoja9"/>
  <dimension ref="A1:I523"/>
  <sheetViews>
    <sheetView topLeftCell="A435" workbookViewId="0">
      <selection activeCell="A455" sqref="A455:XFD455"/>
    </sheetView>
  </sheetViews>
  <sheetFormatPr baseColWidth="10" defaultRowHeight="14.4" x14ac:dyDescent="0.3"/>
  <cols>
    <col min="1" max="1" width="2.44140625" customWidth="1"/>
    <col min="2" max="2" width="16.77734375" style="1" bestFit="1" customWidth="1"/>
    <col min="3" max="3" width="11.5546875" style="1" bestFit="1" customWidth="1"/>
    <col min="4" max="4" width="40" bestFit="1" customWidth="1"/>
    <col min="5" max="5" width="17.88671875" style="1" bestFit="1" customWidth="1"/>
    <col min="6" max="6" width="12.33203125" style="1" bestFit="1" customWidth="1"/>
    <col min="7" max="7" width="18.5546875" style="1" bestFit="1" customWidth="1"/>
    <col min="8" max="8" width="10.5546875" bestFit="1" customWidth="1"/>
  </cols>
  <sheetData>
    <row r="1" spans="1:9" ht="14.4" customHeight="1" x14ac:dyDescent="0.3">
      <c r="A1" s="166" t="s">
        <v>3083</v>
      </c>
      <c r="B1" s="166"/>
      <c r="C1" s="166"/>
      <c r="D1" s="166"/>
      <c r="E1" s="166"/>
      <c r="F1" s="166"/>
      <c r="G1" s="166"/>
      <c r="H1" s="166"/>
      <c r="I1" s="166"/>
    </row>
    <row r="2" spans="1:9" ht="14.4" customHeight="1" x14ac:dyDescent="0.3">
      <c r="A2" s="166"/>
      <c r="B2" s="166"/>
      <c r="C2" s="166"/>
      <c r="D2" s="166"/>
      <c r="E2" s="166"/>
      <c r="F2" s="166"/>
      <c r="G2" s="166"/>
      <c r="H2" s="166"/>
      <c r="I2" s="166"/>
    </row>
    <row r="3" spans="1:9" ht="14.4" customHeight="1" x14ac:dyDescent="0.3">
      <c r="A3" s="166"/>
      <c r="B3" s="166"/>
      <c r="C3" s="166"/>
      <c r="D3" s="166"/>
      <c r="E3" s="166"/>
      <c r="F3" s="166"/>
      <c r="G3" s="166"/>
      <c r="H3" s="166"/>
      <c r="I3" s="166"/>
    </row>
    <row r="5" spans="1:9" ht="18" x14ac:dyDescent="0.35">
      <c r="D5" s="142" t="s">
        <v>3070</v>
      </c>
      <c r="E5" s="149">
        <v>100</v>
      </c>
    </row>
    <row r="6" spans="1:9" x14ac:dyDescent="0.3">
      <c r="B6" s="1" t="s">
        <v>26</v>
      </c>
      <c r="C6" s="1" t="s">
        <v>3069</v>
      </c>
      <c r="D6" t="s">
        <v>3067</v>
      </c>
      <c r="E6" s="1" t="s">
        <v>3068</v>
      </c>
      <c r="F6" s="1" t="s">
        <v>2990</v>
      </c>
      <c r="G6" s="1" t="s">
        <v>3073</v>
      </c>
      <c r="H6" t="s">
        <v>3071</v>
      </c>
    </row>
    <row r="7" spans="1:9" x14ac:dyDescent="0.3">
      <c r="B7" s="1">
        <f>ROW(A1)</f>
        <v>1</v>
      </c>
      <c r="D7" t="str">
        <f>IFERROR(VLOOKUP(BDREGISTROBTH2025[[#This Row],[NROKARDEX]],BDPADRES[],8,FALSE),"Sin registrado")</f>
        <v>ZUNILDA ARANCIBIA ROSADO</v>
      </c>
      <c r="E7" s="1">
        <f>IFERROR(VLOOKUP(BDREGISTROBTH2025[[#This Row],[NROKARDEX]],Tabla3[],12,FALSE),"NO PAGO")</f>
        <v>82622</v>
      </c>
      <c r="F7" s="1" t="str">
        <f t="shared" ref="F7:F70" si="0">IF(E7="NO",0,"100")</f>
        <v>100</v>
      </c>
    </row>
    <row r="8" spans="1:9" x14ac:dyDescent="0.3">
      <c r="B8" s="1">
        <f t="shared" ref="B8:B71" si="1">ROW(A2)</f>
        <v>2</v>
      </c>
      <c r="D8" t="str">
        <f>IFERROR(VLOOKUP(BDREGISTROBTH2025[[#This Row],[NROKARDEX]],BDPADRES[],8,FALSE),"Sin registrado")</f>
        <v>GUISELA ULLOA MAMANI</v>
      </c>
      <c r="E8" s="1" t="str">
        <f>IFERROR(VLOOKUP(BDREGISTROBTH2025[[#This Row],[NROKARDEX]],Tabla3[],12,FALSE),"NO PAGO")</f>
        <v>NO</v>
      </c>
      <c r="F8" s="1">
        <f t="shared" si="0"/>
        <v>0</v>
      </c>
    </row>
    <row r="9" spans="1:9" x14ac:dyDescent="0.3">
      <c r="B9" s="1">
        <f t="shared" si="1"/>
        <v>3</v>
      </c>
      <c r="D9" t="str">
        <f>IFERROR(VLOOKUP(BDREGISTROBTH2025[[#This Row],[NROKARDEX]],BDPADRES[],8,FALSE),"Sin registrado")</f>
        <v>BENITA VILLARES PACHILE</v>
      </c>
      <c r="E9" s="1">
        <f>IFERROR(VLOOKUP(BDREGISTROBTH2025[[#This Row],[NROKARDEX]],Tabla3[],12,FALSE),"NO PAGO")</f>
        <v>56009</v>
      </c>
      <c r="F9" s="1" t="str">
        <f t="shared" si="0"/>
        <v>100</v>
      </c>
    </row>
    <row r="10" spans="1:9" x14ac:dyDescent="0.3">
      <c r="B10" s="1">
        <f t="shared" si="1"/>
        <v>4</v>
      </c>
      <c r="D10" t="str">
        <f>IFERROR(VLOOKUP(BDREGISTROBTH2025[[#This Row],[NROKARDEX]],BDPADRES[],8,FALSE),"Sin registrado")</f>
        <v>MARIELA ORELLANA ARANCIBIA</v>
      </c>
      <c r="E10" s="1">
        <f>IFERROR(VLOOKUP(BDREGISTROBTH2025[[#This Row],[NROKARDEX]],Tabla3[],12,FALSE),"NO PAGO")</f>
        <v>8689</v>
      </c>
      <c r="F10" s="1" t="str">
        <f t="shared" si="0"/>
        <v>100</v>
      </c>
    </row>
    <row r="11" spans="1:9" x14ac:dyDescent="0.3">
      <c r="B11" s="1">
        <f t="shared" si="1"/>
        <v>5</v>
      </c>
      <c r="D11" t="str">
        <f>IFERROR(VLOOKUP(BDREGISTROBTH2025[[#This Row],[NROKARDEX]],BDPADRES[],8,FALSE),"Sin registrado")</f>
        <v>YILDA ROSADO ARAUZ</v>
      </c>
      <c r="E11" s="1">
        <f>IFERROR(VLOOKUP(BDREGISTROBTH2025[[#This Row],[NROKARDEX]],Tabla3[],12,FALSE),"NO PAGO")</f>
        <v>8688</v>
      </c>
      <c r="F11" s="1" t="str">
        <f t="shared" si="0"/>
        <v>100</v>
      </c>
    </row>
    <row r="12" spans="1:9" x14ac:dyDescent="0.3">
      <c r="B12" s="1">
        <f t="shared" si="1"/>
        <v>6</v>
      </c>
      <c r="D12" t="str">
        <f>IFERROR(VLOOKUP(BDREGISTROBTH2025[[#This Row],[NROKARDEX]],BDPADRES[],8,FALSE),"Sin registrado")</f>
        <v>LEIDY KAROLA MEDINA BELTRAN</v>
      </c>
      <c r="E12" s="1">
        <f>IFERROR(VLOOKUP(BDREGISTROBTH2025[[#This Row],[NROKARDEX]],Tabla3[],12,FALSE),"NO PAGO")</f>
        <v>8585</v>
      </c>
      <c r="F12" s="1" t="str">
        <f t="shared" si="0"/>
        <v>100</v>
      </c>
    </row>
    <row r="13" spans="1:9" x14ac:dyDescent="0.3">
      <c r="B13" s="1">
        <f t="shared" si="1"/>
        <v>7</v>
      </c>
      <c r="D13" t="str">
        <f>IFERROR(VLOOKUP(BDREGISTROBTH2025[[#This Row],[NROKARDEX]],BDPADRES[],8,FALSE),"Sin registrado")</f>
        <v>LUZ CORAZON ALBORNOS ZABALAGA</v>
      </c>
      <c r="E13" s="1">
        <f>IFERROR(VLOOKUP(BDREGISTROBTH2025[[#This Row],[NROKARDEX]],Tabla3[],12,FALSE),"NO PAGO")</f>
        <v>8570</v>
      </c>
      <c r="F13" s="1" t="str">
        <f t="shared" si="0"/>
        <v>100</v>
      </c>
    </row>
    <row r="14" spans="1:9" x14ac:dyDescent="0.3">
      <c r="B14" s="1">
        <f t="shared" si="1"/>
        <v>8</v>
      </c>
      <c r="D14" t="str">
        <f>IFERROR(VLOOKUP(BDREGISTROBTH2025[[#This Row],[NROKARDEX]],BDPADRES[],8,FALSE),"Sin registrado")</f>
        <v>ANA KAREN ESTRADA URIONA</v>
      </c>
      <c r="E14" s="1">
        <f>IFERROR(VLOOKUP(BDREGISTROBTH2025[[#This Row],[NROKARDEX]],Tabla3[],12,FALSE),"NO PAGO")</f>
        <v>8574</v>
      </c>
      <c r="F14" s="1" t="str">
        <f t="shared" si="0"/>
        <v>100</v>
      </c>
    </row>
    <row r="15" spans="1:9" x14ac:dyDescent="0.3">
      <c r="B15" s="1">
        <f t="shared" si="1"/>
        <v>9</v>
      </c>
      <c r="D15" t="str">
        <f>IFERROR(VLOOKUP(BDREGISTROBTH2025[[#This Row],[NROKARDEX]],BDPADRES[],8,FALSE),"Sin registrado")</f>
        <v>PAMELA LEONESA MARTINEZ ROMERO</v>
      </c>
      <c r="E15" s="1">
        <f>IFERROR(VLOOKUP(BDREGISTROBTH2025[[#This Row],[NROKARDEX]],Tabla3[],12,FALSE),"NO PAGO")</f>
        <v>8685</v>
      </c>
      <c r="F15" s="1" t="str">
        <f t="shared" si="0"/>
        <v>100</v>
      </c>
    </row>
    <row r="16" spans="1:9" x14ac:dyDescent="0.3">
      <c r="B16" s="1">
        <f t="shared" si="1"/>
        <v>10</v>
      </c>
      <c r="D16" t="str">
        <f>IFERROR(VLOOKUP(BDREGISTROBTH2025[[#This Row],[NROKARDEX]],BDPADRES[],8,FALSE),"Sin registrado")</f>
        <v>EVELIN BALDERRAMA ROJAS</v>
      </c>
      <c r="E16" s="1">
        <f>IFERROR(VLOOKUP(BDREGISTROBTH2025[[#This Row],[NROKARDEX]],Tabla3[],12,FALSE),"NO PAGO")</f>
        <v>82588</v>
      </c>
      <c r="F16" s="1" t="str">
        <f t="shared" si="0"/>
        <v>100</v>
      </c>
    </row>
    <row r="17" spans="2:6" x14ac:dyDescent="0.3">
      <c r="B17" s="1">
        <f t="shared" si="1"/>
        <v>11</v>
      </c>
      <c r="D17" t="str">
        <f>IFERROR(VLOOKUP(BDREGISTROBTH2025[[#This Row],[NROKARDEX]],BDPADRES[],8,FALSE),"Sin registrado")</f>
        <v>CELIA ORELLANA GUTIERREZ</v>
      </c>
      <c r="E17" s="1">
        <f>IFERROR(VLOOKUP(BDREGISTROBTH2025[[#This Row],[NROKARDEX]],Tabla3[],12,FALSE),"NO PAGO")</f>
        <v>8554</v>
      </c>
      <c r="F17" s="1" t="str">
        <f t="shared" si="0"/>
        <v>100</v>
      </c>
    </row>
    <row r="18" spans="2:6" x14ac:dyDescent="0.3">
      <c r="B18" s="1">
        <f t="shared" si="1"/>
        <v>12</v>
      </c>
      <c r="D18" t="str">
        <f>IFERROR(VLOOKUP(BDREGISTROBTH2025[[#This Row],[NROKARDEX]],BDPADRES[],8,FALSE),"Sin registrado")</f>
        <v>MARCELINA MOJIANO MOSCOSO</v>
      </c>
      <c r="E18" s="1">
        <f>IFERROR(VLOOKUP(BDREGISTROBTH2025[[#This Row],[NROKARDEX]],Tabla3[],12,FALSE),"NO PAGO")</f>
        <v>8693</v>
      </c>
      <c r="F18" s="1" t="str">
        <f t="shared" si="0"/>
        <v>100</v>
      </c>
    </row>
    <row r="19" spans="2:6" x14ac:dyDescent="0.3">
      <c r="B19" s="1">
        <f t="shared" si="1"/>
        <v>13</v>
      </c>
      <c r="D19" t="str">
        <f>IFERROR(VLOOKUP(BDREGISTROBTH2025[[#This Row],[NROKARDEX]],BDPADRES[],8,FALSE),"Sin registrado")</f>
        <v>YOLANDA CRUZ AGUIRRE</v>
      </c>
      <c r="E19" s="1">
        <f>IFERROR(VLOOKUP(BDREGISTROBTH2025[[#This Row],[NROKARDEX]],Tabla3[],12,FALSE),"NO PAGO")</f>
        <v>8576</v>
      </c>
      <c r="F19" s="1" t="str">
        <f t="shared" si="0"/>
        <v>100</v>
      </c>
    </row>
    <row r="20" spans="2:6" x14ac:dyDescent="0.3">
      <c r="B20" s="1">
        <f t="shared" si="1"/>
        <v>14</v>
      </c>
      <c r="D20" t="str">
        <f>IFERROR(VLOOKUP(BDREGISTROBTH2025[[#This Row],[NROKARDEX]],BDPADRES[],8,FALSE),"Sin registrado")</f>
        <v>MARGARITA VARGAS BOBARIN</v>
      </c>
      <c r="E20" s="1">
        <f>IFERROR(VLOOKUP(BDREGISTROBTH2025[[#This Row],[NROKARDEX]],Tabla3[],12,FALSE),"NO PAGO")</f>
        <v>8686</v>
      </c>
      <c r="F20" s="1" t="str">
        <f t="shared" si="0"/>
        <v>100</v>
      </c>
    </row>
    <row r="21" spans="2:6" x14ac:dyDescent="0.3">
      <c r="B21" s="1">
        <f t="shared" si="1"/>
        <v>15</v>
      </c>
      <c r="D21" t="str">
        <f>IFERROR(VLOOKUP(BDREGISTROBTH2025[[#This Row],[NROKARDEX]],BDPADRES[],8,FALSE),"Sin registrado")</f>
        <v>CANDELARIA ZAPATA CRESPO</v>
      </c>
      <c r="E21" s="1">
        <f>IFERROR(VLOOKUP(BDREGISTROBTH2025[[#This Row],[NROKARDEX]],Tabla3[],12,FALSE),"NO PAGO")</f>
        <v>8690</v>
      </c>
      <c r="F21" s="1" t="str">
        <f t="shared" si="0"/>
        <v>100</v>
      </c>
    </row>
    <row r="22" spans="2:6" x14ac:dyDescent="0.3">
      <c r="B22" s="1">
        <f t="shared" si="1"/>
        <v>16</v>
      </c>
      <c r="D22" t="str">
        <f>IFERROR(VLOOKUP(BDREGISTROBTH2025[[#This Row],[NROKARDEX]],BDPADRES[],8,FALSE),"Sin registrado")</f>
        <v>DOLORES QUENTA BARRIENTOS</v>
      </c>
      <c r="E22" s="1">
        <f>IFERROR(VLOOKUP(BDREGISTROBTH2025[[#This Row],[NROKARDEX]],Tabla3[],12,FALSE),"NO PAGO")</f>
        <v>8571</v>
      </c>
      <c r="F22" s="1" t="str">
        <f t="shared" si="0"/>
        <v>100</v>
      </c>
    </row>
    <row r="23" spans="2:6" x14ac:dyDescent="0.3">
      <c r="B23" s="1">
        <f t="shared" si="1"/>
        <v>17</v>
      </c>
      <c r="D23" t="str">
        <f>IFERROR(VLOOKUP(BDREGISTROBTH2025[[#This Row],[NROKARDEX]],BDPADRES[],8,FALSE),"Sin registrado")</f>
        <v>ANA MARIA CHOQUE LEITON</v>
      </c>
      <c r="E23" s="1">
        <f>IFERROR(VLOOKUP(BDREGISTROBTH2025[[#This Row],[NROKARDEX]],Tabla3[],12,FALSE),"NO PAGO")</f>
        <v>8575</v>
      </c>
      <c r="F23" s="1" t="str">
        <f t="shared" si="0"/>
        <v>100</v>
      </c>
    </row>
    <row r="24" spans="2:6" x14ac:dyDescent="0.3">
      <c r="B24" s="1">
        <f t="shared" si="1"/>
        <v>18</v>
      </c>
      <c r="D24" t="str">
        <f>IFERROR(VLOOKUP(BDREGISTROBTH2025[[#This Row],[NROKARDEX]],BDPADRES[],8,FALSE),"Sin registrado")</f>
        <v>YASELY RUTH MURILLO CASTRO</v>
      </c>
      <c r="E24" s="1">
        <f>IFERROR(VLOOKUP(BDREGISTROBTH2025[[#This Row],[NROKARDEX]],Tabla3[],12,FALSE),"NO PAGO")</f>
        <v>82623</v>
      </c>
      <c r="F24" s="1" t="str">
        <f t="shared" si="0"/>
        <v>100</v>
      </c>
    </row>
    <row r="25" spans="2:6" x14ac:dyDescent="0.3">
      <c r="B25" s="1">
        <f t="shared" si="1"/>
        <v>19</v>
      </c>
      <c r="D25" t="str">
        <f>IFERROR(VLOOKUP(BDREGISTROBTH2025[[#This Row],[NROKARDEX]],BDPADRES[],8,FALSE),"Sin registrado")</f>
        <v>LIBERATA DIAZ CASTRO</v>
      </c>
      <c r="E25" s="1">
        <f>IFERROR(VLOOKUP(BDREGISTROBTH2025[[#This Row],[NROKARDEX]],Tabla3[],12,FALSE),"NO PAGO")</f>
        <v>82626</v>
      </c>
      <c r="F25" s="1" t="str">
        <f t="shared" si="0"/>
        <v>100</v>
      </c>
    </row>
    <row r="26" spans="2:6" x14ac:dyDescent="0.3">
      <c r="B26" s="1">
        <f t="shared" si="1"/>
        <v>20</v>
      </c>
      <c r="D26" t="str">
        <f>IFERROR(VLOOKUP(BDREGISTROBTH2025[[#This Row],[NROKARDEX]],BDPADRES[],8,FALSE),"Sin registrado")</f>
        <v>EMY RUDY MURILLO CASTRO</v>
      </c>
      <c r="E26" s="1">
        <f>IFERROR(VLOOKUP(BDREGISTROBTH2025[[#This Row],[NROKARDEX]],Tabla3[],12,FALSE),"NO PAGO")</f>
        <v>8597</v>
      </c>
      <c r="F26" s="1" t="str">
        <f t="shared" si="0"/>
        <v>100</v>
      </c>
    </row>
    <row r="27" spans="2:6" x14ac:dyDescent="0.3">
      <c r="B27" s="1">
        <f t="shared" si="1"/>
        <v>21</v>
      </c>
      <c r="D27" t="str">
        <f>IFERROR(VLOOKUP(BDREGISTROBTH2025[[#This Row],[NROKARDEX]],BDPADRES[],8,FALSE),"Sin registrado")</f>
        <v>ABIGAIL LEON SEAS</v>
      </c>
      <c r="E27" s="1">
        <f>IFERROR(VLOOKUP(BDREGISTROBTH2025[[#This Row],[NROKARDEX]],Tabla3[],12,FALSE),"NO PAGO")</f>
        <v>8583</v>
      </c>
      <c r="F27" s="1" t="str">
        <f t="shared" si="0"/>
        <v>100</v>
      </c>
    </row>
    <row r="28" spans="2:6" x14ac:dyDescent="0.3">
      <c r="B28" s="1">
        <f t="shared" si="1"/>
        <v>22</v>
      </c>
      <c r="D28" t="str">
        <f>IFERROR(VLOOKUP(BDREGISTROBTH2025[[#This Row],[NROKARDEX]],BDPADRES[],8,FALSE),"Sin registrado")</f>
        <v>SANDRA PUMA ROSAS</v>
      </c>
      <c r="E28" s="1">
        <f>IFERROR(VLOOKUP(BDREGISTROBTH2025[[#This Row],[NROKARDEX]],Tabla3[],12,FALSE),"NO PAGO")</f>
        <v>64188</v>
      </c>
      <c r="F28" s="1" t="str">
        <f t="shared" si="0"/>
        <v>100</v>
      </c>
    </row>
    <row r="29" spans="2:6" x14ac:dyDescent="0.3">
      <c r="B29" s="1">
        <f t="shared" si="1"/>
        <v>23</v>
      </c>
      <c r="D29" t="str">
        <f>IFERROR(VLOOKUP(BDREGISTROBTH2025[[#This Row],[NROKARDEX]],BDPADRES[],8,FALSE),"Sin registrado")</f>
        <v>VERONICA AIZA QUIROGA</v>
      </c>
      <c r="E29" s="1">
        <f>IFERROR(VLOOKUP(BDREGISTROBTH2025[[#This Row],[NROKARDEX]],Tabla3[],12,FALSE),"NO PAGO")</f>
        <v>64167</v>
      </c>
      <c r="F29" s="1" t="str">
        <f t="shared" si="0"/>
        <v>100</v>
      </c>
    </row>
    <row r="30" spans="2:6" x14ac:dyDescent="0.3">
      <c r="B30" s="1">
        <f t="shared" si="1"/>
        <v>24</v>
      </c>
      <c r="D30" t="str">
        <f>IFERROR(VLOOKUP(BDREGISTROBTH2025[[#This Row],[NROKARDEX]],BDPADRES[],8,FALSE),"Sin registrado")</f>
        <v>ESMERALDA MARINA BARRERA PUMA</v>
      </c>
      <c r="E30" s="1">
        <f>IFERROR(VLOOKUP(BDREGISTROBTH2025[[#This Row],[NROKARDEX]],Tabla3[],12,FALSE),"NO PAGO")</f>
        <v>8582</v>
      </c>
      <c r="F30" s="1" t="str">
        <f t="shared" si="0"/>
        <v>100</v>
      </c>
    </row>
    <row r="31" spans="2:6" x14ac:dyDescent="0.3">
      <c r="B31" s="1">
        <f t="shared" si="1"/>
        <v>25</v>
      </c>
      <c r="D31" t="str">
        <f>IFERROR(VLOOKUP(BDREGISTROBTH2025[[#This Row],[NROKARDEX]],BDPADRES[],8,FALSE),"Sin registrado")</f>
        <v>HEIDY PACO CASTRO</v>
      </c>
      <c r="E31" s="1">
        <f>IFERROR(VLOOKUP(BDREGISTROBTH2025[[#This Row],[NROKARDEX]],Tabla3[],12,FALSE),"NO PAGO")</f>
        <v>56265</v>
      </c>
      <c r="F31" s="1" t="str">
        <f t="shared" si="0"/>
        <v>100</v>
      </c>
    </row>
    <row r="32" spans="2:6" x14ac:dyDescent="0.3">
      <c r="B32" s="1">
        <f t="shared" si="1"/>
        <v>26</v>
      </c>
      <c r="D32" t="str">
        <f>IFERROR(VLOOKUP(BDREGISTROBTH2025[[#This Row],[NROKARDEX]],BDPADRES[],8,FALSE),"Sin registrado")</f>
        <v>PATRICIA LOPEZ CHOQUE</v>
      </c>
      <c r="E32" s="1">
        <f>IFERROR(VLOOKUP(BDREGISTROBTH2025[[#This Row],[NROKARDEX]],Tabla3[],12,FALSE),"NO PAGO")</f>
        <v>56284</v>
      </c>
      <c r="F32" s="1" t="str">
        <f t="shared" si="0"/>
        <v>100</v>
      </c>
    </row>
    <row r="33" spans="2:6" x14ac:dyDescent="0.3">
      <c r="B33" s="1">
        <f t="shared" si="1"/>
        <v>27</v>
      </c>
      <c r="D33" t="str">
        <f>IFERROR(VLOOKUP(BDREGISTROBTH2025[[#This Row],[NROKARDEX]],BDPADRES[],8,FALSE),"Sin registrado")</f>
        <v>BASILIA PADILLA REINA</v>
      </c>
      <c r="E33" s="1">
        <f>IFERROR(VLOOKUP(BDREGISTROBTH2025[[#This Row],[NROKARDEX]],Tabla3[],12,FALSE),"NO PAGO")</f>
        <v>8687</v>
      </c>
      <c r="F33" s="1" t="str">
        <f t="shared" si="0"/>
        <v>100</v>
      </c>
    </row>
    <row r="34" spans="2:6" x14ac:dyDescent="0.3">
      <c r="B34" s="1">
        <f t="shared" si="1"/>
        <v>28</v>
      </c>
      <c r="D34" t="str">
        <f>IFERROR(VLOOKUP(BDREGISTROBTH2025[[#This Row],[NROKARDEX]],BDPADRES[],8,FALSE),"Sin registrado")</f>
        <v>DALCY SILES ROSADO</v>
      </c>
      <c r="E34" s="1">
        <f>IFERROR(VLOOKUP(BDREGISTROBTH2025[[#This Row],[NROKARDEX]],Tabla3[],12,FALSE),"NO PAGO")</f>
        <v>8684</v>
      </c>
      <c r="F34" s="1" t="str">
        <f t="shared" si="0"/>
        <v>100</v>
      </c>
    </row>
    <row r="35" spans="2:6" x14ac:dyDescent="0.3">
      <c r="B35" s="1">
        <f t="shared" si="1"/>
        <v>29</v>
      </c>
      <c r="D35" t="str">
        <f>IFERROR(VLOOKUP(BDREGISTROBTH2025[[#This Row],[NROKARDEX]],BDPADRES[],8,FALSE),"Sin registrado")</f>
        <v>NICOLE PEREYRA CABRERA</v>
      </c>
      <c r="E35" s="1">
        <f>IFERROR(VLOOKUP(BDREGISTROBTH2025[[#This Row],[NROKARDEX]],Tabla3[],12,FALSE),"NO PAGO")</f>
        <v>8569</v>
      </c>
      <c r="F35" s="1" t="str">
        <f t="shared" si="0"/>
        <v>100</v>
      </c>
    </row>
    <row r="36" spans="2:6" x14ac:dyDescent="0.3">
      <c r="B36" s="1">
        <f t="shared" si="1"/>
        <v>30</v>
      </c>
      <c r="D36" t="str">
        <f>IFERROR(VLOOKUP(BDREGISTROBTH2025[[#This Row],[NROKARDEX]],BDPADRES[],8,FALSE),"Sin registrado")</f>
        <v>TERESA  ANDREA CONDORI LOPEZ</v>
      </c>
      <c r="E36" s="1">
        <f>IFERROR(VLOOKUP(BDREGISTROBTH2025[[#This Row],[NROKARDEX]],Tabla3[],12,FALSE),"NO PAGO")</f>
        <v>56021</v>
      </c>
      <c r="F36" s="1" t="str">
        <f t="shared" si="0"/>
        <v>100</v>
      </c>
    </row>
    <row r="37" spans="2:6" x14ac:dyDescent="0.3">
      <c r="B37" s="1">
        <f t="shared" si="1"/>
        <v>31</v>
      </c>
      <c r="D37" t="str">
        <f>IFERROR(VLOOKUP(BDREGISTROBTH2025[[#This Row],[NROKARDEX]],BDPADRES[],8,FALSE),"Sin registrado")</f>
        <v>Sin registrado</v>
      </c>
      <c r="E37" s="1" t="str">
        <f>IFERROR(VLOOKUP(BDREGISTROBTH2025[[#This Row],[NROKARDEX]],Tabla3[],12,FALSE),"NO PAGO")</f>
        <v>NO PAGO</v>
      </c>
      <c r="F37" s="1">
        <v>0</v>
      </c>
    </row>
    <row r="38" spans="2:6" x14ac:dyDescent="0.3">
      <c r="B38" s="1">
        <f t="shared" ref="B38:B43" si="2">ROW(A32)</f>
        <v>32</v>
      </c>
      <c r="D38" t="str">
        <f>IFERROR(VLOOKUP(BDREGISTROBTH2025[[#This Row],[NROKARDEX]],BDPADRES[],8,FALSE),"Sin registrado")</f>
        <v>RODEE FLORES TITO</v>
      </c>
      <c r="E38" s="1">
        <f>IFERROR(VLOOKUP(BDREGISTROBTH2025[[#This Row],[NROKARDEX]],Tabla3[],12,FALSE),"NO PAGO")</f>
        <v>56281</v>
      </c>
      <c r="F38" s="1" t="str">
        <f t="shared" si="0"/>
        <v>100</v>
      </c>
    </row>
    <row r="39" spans="2:6" x14ac:dyDescent="0.3">
      <c r="B39" s="1">
        <f t="shared" si="2"/>
        <v>33</v>
      </c>
      <c r="D39" t="str">
        <f>IFERROR(VLOOKUP(BDREGISTROBTH2025[[#This Row],[NROKARDEX]],BDPADRES[],8,FALSE),"Sin registrado")</f>
        <v>ANA ISABEL APAZA MAMANI</v>
      </c>
      <c r="E39" s="1">
        <f>IFERROR(VLOOKUP(BDREGISTROBTH2025[[#This Row],[NROKARDEX]],Tabla3[],12,FALSE),"NO PAGO")</f>
        <v>56046</v>
      </c>
      <c r="F39" s="1" t="str">
        <f t="shared" si="0"/>
        <v>100</v>
      </c>
    </row>
    <row r="40" spans="2:6" x14ac:dyDescent="0.3">
      <c r="B40" s="1">
        <f t="shared" si="2"/>
        <v>34</v>
      </c>
      <c r="D40" t="str">
        <f>IFERROR(VLOOKUP(BDREGISTROBTH2025[[#This Row],[NROKARDEX]],BDPADRES[],8,FALSE),"Sin registrado")</f>
        <v>JUANA FERNANDEZ LOPEZ</v>
      </c>
      <c r="E40" s="1">
        <f>IFERROR(VLOOKUP(BDREGISTROBTH2025[[#This Row],[NROKARDEX]],Tabla3[],12,FALSE),"NO PAGO")</f>
        <v>8579</v>
      </c>
      <c r="F40" s="1" t="str">
        <f t="shared" si="0"/>
        <v>100</v>
      </c>
    </row>
    <row r="41" spans="2:6" x14ac:dyDescent="0.3">
      <c r="B41" s="1">
        <f t="shared" si="2"/>
        <v>35</v>
      </c>
      <c r="D41" t="str">
        <f>IFERROR(VLOOKUP(BDREGISTROBTH2025[[#This Row],[NROKARDEX]],BDPADRES[],8,FALSE),"Sin registrado")</f>
        <v>OLIVIA FLORES SERRUTO</v>
      </c>
      <c r="E41" s="1">
        <f>IFERROR(VLOOKUP(BDREGISTROBTH2025[[#This Row],[NROKARDEX]],Tabla3[],12,FALSE),"NO PAGO")</f>
        <v>8580</v>
      </c>
      <c r="F41" s="1" t="str">
        <f t="shared" si="0"/>
        <v>100</v>
      </c>
    </row>
    <row r="42" spans="2:6" x14ac:dyDescent="0.3">
      <c r="B42" s="1">
        <f t="shared" si="2"/>
        <v>36</v>
      </c>
      <c r="D42" t="str">
        <f>IFERROR(VLOOKUP(BDREGISTROBTH2025[[#This Row],[NROKARDEX]],BDPADRES[],8,FALSE),"Sin registrado")</f>
        <v>MARLENE   VEDIA BALLESTEROS</v>
      </c>
      <c r="E42" s="1" t="str">
        <f>IFERROR(VLOOKUP(BDREGISTROBTH2025[[#This Row],[NROKARDEX]],Tabla3[],12,FALSE),"NO PAGO")</f>
        <v>NO</v>
      </c>
      <c r="F42" s="1">
        <f t="shared" si="0"/>
        <v>0</v>
      </c>
    </row>
    <row r="43" spans="2:6" x14ac:dyDescent="0.3">
      <c r="B43" s="1">
        <f t="shared" si="2"/>
        <v>37</v>
      </c>
      <c r="D43" t="str">
        <f>IFERROR(VLOOKUP(BDREGISTROBTH2025[[#This Row],[NROKARDEX]],BDPADRES[],8,FALSE),"Sin registrado")</f>
        <v>SEGUNDINA PEÑARRIETA BARVOLIN</v>
      </c>
      <c r="E43" s="1">
        <f>IFERROR(VLOOKUP(BDREGISTROBTH2025[[#This Row],[NROKARDEX]],Tabla3[],12,FALSE),"NO PAGO")</f>
        <v>64198</v>
      </c>
      <c r="F43" s="1" t="str">
        <f t="shared" si="0"/>
        <v>100</v>
      </c>
    </row>
    <row r="44" spans="2:6" x14ac:dyDescent="0.3">
      <c r="B44" s="1">
        <f t="shared" si="1"/>
        <v>38</v>
      </c>
      <c r="D44" t="str">
        <f>IFERROR(VLOOKUP(BDREGISTROBTH2025[[#This Row],[NROKARDEX]],BDPADRES[],8,FALSE),"Sin registrado")</f>
        <v>MERY AGUADO TORREZ</v>
      </c>
      <c r="E44" s="1">
        <f>IFERROR(VLOOKUP(BDREGISTROBTH2025[[#This Row],[NROKARDEX]],Tabla3[],12,FALSE),"NO PAGO")</f>
        <v>8698</v>
      </c>
      <c r="F44" s="1" t="str">
        <f t="shared" si="0"/>
        <v>100</v>
      </c>
    </row>
    <row r="45" spans="2:6" x14ac:dyDescent="0.3">
      <c r="B45" s="1">
        <f t="shared" si="1"/>
        <v>39</v>
      </c>
      <c r="D45" t="str">
        <f>IFERROR(VLOOKUP(BDREGISTROBTH2025[[#This Row],[NROKARDEX]],BDPADRES[],8,FALSE),"Sin registrado")</f>
        <v>JOVITA GARCIA TANTUTELA</v>
      </c>
      <c r="E45" s="1">
        <f>IFERROR(VLOOKUP(BDREGISTROBTH2025[[#This Row],[NROKARDEX]],Tabla3[],12,FALSE),"NO PAGO")</f>
        <v>8692</v>
      </c>
      <c r="F45" s="1" t="str">
        <f t="shared" si="0"/>
        <v>100</v>
      </c>
    </row>
    <row r="46" spans="2:6" x14ac:dyDescent="0.3">
      <c r="B46" s="1">
        <f t="shared" si="1"/>
        <v>40</v>
      </c>
      <c r="D46" t="str">
        <f>IFERROR(VLOOKUP(BDREGISTROBTH2025[[#This Row],[NROKARDEX]],BDPADRES[],8,FALSE),"Sin registrado")</f>
        <v>MARINA MEJIA BEJARANO</v>
      </c>
      <c r="E46" s="1" t="str">
        <f>IFERROR(VLOOKUP(BDREGISTROBTH2025[[#This Row],[NROKARDEX]],Tabla3[],12,FALSE),"NO PAGO")</f>
        <v>NO</v>
      </c>
      <c r="F46" s="1">
        <f t="shared" si="0"/>
        <v>0</v>
      </c>
    </row>
    <row r="47" spans="2:6" x14ac:dyDescent="0.3">
      <c r="B47" s="1">
        <f t="shared" si="1"/>
        <v>41</v>
      </c>
      <c r="D47" t="str">
        <f>IFERROR(VLOOKUP(BDREGISTROBTH2025[[#This Row],[NROKARDEX]],BDPADRES[],8,FALSE),"Sin registrado")</f>
        <v>ELSA TITO CABRERA</v>
      </c>
      <c r="E47" s="1">
        <f>IFERROR(VLOOKUP(BDREGISTROBTH2025[[#This Row],[NROKARDEX]],Tabla3[],12,FALSE),"NO PAGO")</f>
        <v>8695</v>
      </c>
      <c r="F47" s="1" t="str">
        <f t="shared" si="0"/>
        <v>100</v>
      </c>
    </row>
    <row r="48" spans="2:6" x14ac:dyDescent="0.3">
      <c r="B48" s="1">
        <f t="shared" si="1"/>
        <v>42</v>
      </c>
      <c r="D48" t="str">
        <f>IFERROR(VLOOKUP(BDREGISTROBTH2025[[#This Row],[NROKARDEX]],BDPADRES[],8,FALSE),"Sin registrado")</f>
        <v>MARINA  SANTOS PADILLA</v>
      </c>
      <c r="E48" s="1">
        <f>IFERROR(VLOOKUP(BDREGISTROBTH2025[[#This Row],[NROKARDEX]],Tabla3[],12,FALSE),"NO PAGO")</f>
        <v>8578</v>
      </c>
      <c r="F48" s="1" t="str">
        <f t="shared" si="0"/>
        <v>100</v>
      </c>
    </row>
    <row r="49" spans="2:6" x14ac:dyDescent="0.3">
      <c r="B49" s="1">
        <f t="shared" si="1"/>
        <v>43</v>
      </c>
      <c r="D49" t="str">
        <f>IFERROR(VLOOKUP(BDREGISTROBTH2025[[#This Row],[NROKARDEX]],BDPADRES[],8,FALSE),"Sin registrado")</f>
        <v>YOLANDA TORREZ ROJAS</v>
      </c>
      <c r="E49" s="1">
        <f>IFERROR(VLOOKUP(BDREGISTROBTH2025[[#This Row],[NROKARDEX]],Tabla3[],12,FALSE),"NO PAGO")</f>
        <v>56279</v>
      </c>
      <c r="F49" s="1" t="str">
        <f t="shared" si="0"/>
        <v>100</v>
      </c>
    </row>
    <row r="50" spans="2:6" x14ac:dyDescent="0.3">
      <c r="B50" s="1">
        <f t="shared" si="1"/>
        <v>44</v>
      </c>
      <c r="D50" t="str">
        <f>IFERROR(VLOOKUP(BDREGISTROBTH2025[[#This Row],[NROKARDEX]],BDPADRES[],8,FALSE),"Sin registrado")</f>
        <v>MARIA DEISY TERRAZAS GUTIERREZ</v>
      </c>
      <c r="E50" s="1">
        <f>IFERROR(VLOOKUP(BDREGISTROBTH2025[[#This Row],[NROKARDEX]],Tabla3[],12,FALSE),"NO PAGO")</f>
        <v>8590</v>
      </c>
      <c r="F50" s="1" t="str">
        <f t="shared" si="0"/>
        <v>100</v>
      </c>
    </row>
    <row r="51" spans="2:6" x14ac:dyDescent="0.3">
      <c r="B51" s="1">
        <f t="shared" si="1"/>
        <v>45</v>
      </c>
      <c r="D51" t="str">
        <f>IFERROR(VLOOKUP(BDREGISTROBTH2025[[#This Row],[NROKARDEX]],BDPADRES[],8,FALSE),"Sin registrado")</f>
        <v>LIDIA ALVAREZ MONTAÑO</v>
      </c>
      <c r="E51" s="1">
        <f>IFERROR(VLOOKUP(BDREGISTROBTH2025[[#This Row],[NROKARDEX]],Tabla3[],12,FALSE),"NO PAGO")</f>
        <v>8587</v>
      </c>
      <c r="F51" s="1" t="str">
        <f t="shared" si="0"/>
        <v>100</v>
      </c>
    </row>
    <row r="52" spans="2:6" x14ac:dyDescent="0.3">
      <c r="B52" s="1">
        <f t="shared" si="1"/>
        <v>46</v>
      </c>
      <c r="D52" t="str">
        <f>IFERROR(VLOOKUP(BDREGISTROBTH2025[[#This Row],[NROKARDEX]],BDPADRES[],8,FALSE),"Sin registrado")</f>
        <v>YESSICA AGUILAR ALVAREZ</v>
      </c>
      <c r="E52" s="1">
        <f>IFERROR(VLOOKUP(BDREGISTROBTH2025[[#This Row],[NROKARDEX]],Tabla3[],12,FALSE),"NO PAGO")</f>
        <v>56280</v>
      </c>
      <c r="F52" s="1" t="str">
        <f t="shared" si="0"/>
        <v>100</v>
      </c>
    </row>
    <row r="53" spans="2:6" x14ac:dyDescent="0.3">
      <c r="B53" s="1">
        <f t="shared" si="1"/>
        <v>47</v>
      </c>
      <c r="D53" t="str">
        <f>IFERROR(VLOOKUP(BDREGISTROBTH2025[[#This Row],[NROKARDEX]],BDPADRES[],8,FALSE),"Sin registrado")</f>
        <v>EUNICE CARTAGENA RUIZ</v>
      </c>
      <c r="E53" s="1">
        <f>IFERROR(VLOOKUP(BDREGISTROBTH2025[[#This Row],[NROKARDEX]],Tabla3[],12,FALSE),"NO PAGO")</f>
        <v>8566</v>
      </c>
      <c r="F53" s="1" t="str">
        <f t="shared" si="0"/>
        <v>100</v>
      </c>
    </row>
    <row r="54" spans="2:6" x14ac:dyDescent="0.3">
      <c r="B54" s="1">
        <f t="shared" si="1"/>
        <v>48</v>
      </c>
      <c r="D54" t="str">
        <f>IFERROR(VLOOKUP(BDREGISTROBTH2025[[#This Row],[NROKARDEX]],BDPADRES[],8,FALSE),"Sin registrado")</f>
        <v>SHEILA VANESSA VARGAS TITO</v>
      </c>
      <c r="E54" s="1">
        <f>IFERROR(VLOOKUP(BDREGISTROBTH2025[[#This Row],[NROKARDEX]],Tabla3[],12,FALSE),"NO PAGO")</f>
        <v>8584</v>
      </c>
      <c r="F54" s="1" t="str">
        <f t="shared" si="0"/>
        <v>100</v>
      </c>
    </row>
    <row r="55" spans="2:6" x14ac:dyDescent="0.3">
      <c r="B55" s="1">
        <f t="shared" si="1"/>
        <v>49</v>
      </c>
      <c r="D55" t="str">
        <f>IFERROR(VLOOKUP(BDREGISTROBTH2025[[#This Row],[NROKARDEX]],BDPADRES[],8,FALSE),"Sin registrado")</f>
        <v>REINA MAMANI IPORRE</v>
      </c>
      <c r="E55" s="1">
        <f>IFERROR(VLOOKUP(BDREGISTROBTH2025[[#This Row],[NROKARDEX]],Tabla3[],12,FALSE),"NO PAGO")</f>
        <v>8589</v>
      </c>
      <c r="F55" s="1" t="str">
        <f t="shared" si="0"/>
        <v>100</v>
      </c>
    </row>
    <row r="56" spans="2:6" x14ac:dyDescent="0.3">
      <c r="B56" s="1">
        <f t="shared" si="1"/>
        <v>50</v>
      </c>
      <c r="D56" t="str">
        <f>IFERROR(VLOOKUP(BDREGISTROBTH2025[[#This Row],[NROKARDEX]],BDPADRES[],8,FALSE),"Sin registrado")</f>
        <v>MARLENE TERESA GOMEZ CHOQUE</v>
      </c>
      <c r="E56" s="1">
        <f>IFERROR(VLOOKUP(BDREGISTROBTH2025[[#This Row],[NROKARDEX]],Tabla3[],12,FALSE),"NO PAGO")</f>
        <v>56031</v>
      </c>
      <c r="F56" s="1" t="str">
        <f t="shared" si="0"/>
        <v>100</v>
      </c>
    </row>
    <row r="57" spans="2:6" x14ac:dyDescent="0.3">
      <c r="B57" s="1">
        <f t="shared" si="1"/>
        <v>51</v>
      </c>
      <c r="D57" t="str">
        <f>IFERROR(VLOOKUP(BDREGISTROBTH2025[[#This Row],[NROKARDEX]],BDPADRES[],8,FALSE),"Sin registrado")</f>
        <v>ELVA LLENES SALAZAR</v>
      </c>
      <c r="E57" s="1">
        <f>IFERROR(VLOOKUP(BDREGISTROBTH2025[[#This Row],[NROKARDEX]],Tabla3[],12,FALSE),"NO PAGO")</f>
        <v>8591</v>
      </c>
      <c r="F57" s="1" t="str">
        <f t="shared" si="0"/>
        <v>100</v>
      </c>
    </row>
    <row r="58" spans="2:6" x14ac:dyDescent="0.3">
      <c r="B58" s="1">
        <f t="shared" si="1"/>
        <v>52</v>
      </c>
      <c r="D58" t="str">
        <f>IFERROR(VLOOKUP(BDREGISTROBTH2025[[#This Row],[NROKARDEX]],BDPADRES[],8,FALSE),"Sin registrado")</f>
        <v>MARTHA URQUIZU SALINAS</v>
      </c>
      <c r="E58" s="1">
        <f>IFERROR(VLOOKUP(BDREGISTROBTH2025[[#This Row],[NROKARDEX]],Tabla3[],12,FALSE),"NO PAGO")</f>
        <v>8588</v>
      </c>
      <c r="F58" s="1" t="str">
        <f t="shared" si="0"/>
        <v>100</v>
      </c>
    </row>
    <row r="59" spans="2:6" x14ac:dyDescent="0.3">
      <c r="B59" s="1">
        <f t="shared" si="1"/>
        <v>53</v>
      </c>
      <c r="D59" t="str">
        <f>IFERROR(VLOOKUP(BDREGISTROBTH2025[[#This Row],[NROKARDEX]],BDPADRES[],8,FALSE),"Sin registrado")</f>
        <v>MARGOT ZEGARRA NUÑEZ</v>
      </c>
      <c r="E59" s="1">
        <f>IFERROR(VLOOKUP(BDREGISTROBTH2025[[#This Row],[NROKARDEX]],Tabla3[],12,FALSE),"NO PAGO")</f>
        <v>82624</v>
      </c>
      <c r="F59" s="1" t="str">
        <f t="shared" si="0"/>
        <v>100</v>
      </c>
    </row>
    <row r="60" spans="2:6" x14ac:dyDescent="0.3">
      <c r="B60" s="1">
        <f t="shared" si="1"/>
        <v>54</v>
      </c>
      <c r="D60" t="str">
        <f>IFERROR(VLOOKUP(BDREGISTROBTH2025[[#This Row],[NROKARDEX]],BDPADRES[],8,FALSE),"Sin registrado")</f>
        <v>CECILIA CASTRO PINTO</v>
      </c>
      <c r="E60" s="1">
        <f>IFERROR(VLOOKUP(BDREGISTROBTH2025[[#This Row],[NROKARDEX]],Tabla3[],12,FALSE),"NO PAGO")</f>
        <v>8691</v>
      </c>
      <c r="F60" s="1" t="str">
        <f t="shared" si="0"/>
        <v>100</v>
      </c>
    </row>
    <row r="61" spans="2:6" x14ac:dyDescent="0.3">
      <c r="B61" s="1">
        <f t="shared" si="1"/>
        <v>55</v>
      </c>
      <c r="D61" t="str">
        <f>IFERROR(VLOOKUP(BDREGISTROBTH2025[[#This Row],[NROKARDEX]],BDPADRES[],8,FALSE),"Sin registrado")</f>
        <v>ROSSE MARY BALDELOMAR VEIZAGA</v>
      </c>
      <c r="E61" s="1">
        <f>IFERROR(VLOOKUP(BDREGISTROBTH2025[[#This Row],[NROKARDEX]],Tabla3[],12,FALSE),"NO PAGO")</f>
        <v>8568</v>
      </c>
      <c r="F61" s="1" t="str">
        <f t="shared" si="0"/>
        <v>100</v>
      </c>
    </row>
    <row r="62" spans="2:6" x14ac:dyDescent="0.3">
      <c r="B62" s="1">
        <f t="shared" si="1"/>
        <v>56</v>
      </c>
      <c r="D62" t="str">
        <f>IFERROR(VLOOKUP(BDREGISTROBTH2025[[#This Row],[NROKARDEX]],BDPADRES[],8,FALSE),"Sin registrado")</f>
        <v>CLAUDINA SANTOS</v>
      </c>
      <c r="E62" s="1">
        <f>IFERROR(VLOOKUP(BDREGISTROBTH2025[[#This Row],[NROKARDEX]],Tabla3[],12,FALSE),"NO PAGO")</f>
        <v>56277</v>
      </c>
      <c r="F62" s="1" t="str">
        <f t="shared" si="0"/>
        <v>100</v>
      </c>
    </row>
    <row r="63" spans="2:6" x14ac:dyDescent="0.3">
      <c r="B63" s="1">
        <f t="shared" si="1"/>
        <v>57</v>
      </c>
      <c r="D63" t="str">
        <f>IFERROR(VLOOKUP(BDREGISTROBTH2025[[#This Row],[NROKARDEX]],BDPADRES[],8,FALSE),"Sin registrado")</f>
        <v>ALISON CABRERA CRUZ</v>
      </c>
      <c r="E63" s="1" t="str">
        <f>IFERROR(VLOOKUP(BDREGISTROBTH2025[[#This Row],[NROKARDEX]],Tabla3[],12,FALSE),"NO PAGO")</f>
        <v>NO</v>
      </c>
      <c r="F63" s="1">
        <v>0</v>
      </c>
    </row>
    <row r="64" spans="2:6" x14ac:dyDescent="0.3">
      <c r="B64" s="1">
        <f t="shared" si="1"/>
        <v>58</v>
      </c>
      <c r="D64" t="str">
        <f>IFERROR(VLOOKUP(BDREGISTROBTH2025[[#This Row],[NROKARDEX]],BDPADRES[],8,FALSE),"Sin registrado")</f>
        <v>ANA MARIA ROMERO AVILA</v>
      </c>
      <c r="E64" s="1">
        <f>IFERROR(VLOOKUP(BDREGISTROBTH2025[[#This Row],[NROKARDEX]],Tabla3[],12,FALSE),"NO PAGO")</f>
        <v>8709</v>
      </c>
      <c r="F64" s="1" t="str">
        <f t="shared" si="0"/>
        <v>100</v>
      </c>
    </row>
    <row r="65" spans="2:6" x14ac:dyDescent="0.3">
      <c r="B65" s="1">
        <f t="shared" si="1"/>
        <v>59</v>
      </c>
      <c r="D65" t="str">
        <f>IFERROR(VLOOKUP(BDREGISTROBTH2025[[#This Row],[NROKARDEX]],BDPADRES[],8,FALSE),"Sin registrado")</f>
        <v>MARGARITA AVARIPA CRUZ</v>
      </c>
      <c r="E65" s="1">
        <f>IFERROR(VLOOKUP(BDREGISTROBTH2025[[#This Row],[NROKARDEX]],Tabla3[],12,FALSE),"NO PAGO")</f>
        <v>8697</v>
      </c>
      <c r="F65" s="1" t="str">
        <f t="shared" si="0"/>
        <v>100</v>
      </c>
    </row>
    <row r="66" spans="2:6" x14ac:dyDescent="0.3">
      <c r="B66" s="1">
        <f t="shared" si="1"/>
        <v>60</v>
      </c>
      <c r="D66" t="str">
        <f>IFERROR(VLOOKUP(BDREGISTROBTH2025[[#This Row],[NROKARDEX]],BDPADRES[],8,FALSE),"Sin registrado")</f>
        <v>ANAHI LIJERON RAMIREZ</v>
      </c>
      <c r="E66" s="1">
        <f>IFERROR(VLOOKUP(BDREGISTROBTH2025[[#This Row],[NROKARDEX]],Tabla3[],12,FALSE),"NO PAGO")</f>
        <v>82574</v>
      </c>
      <c r="F66" s="1" t="str">
        <f t="shared" si="0"/>
        <v>100</v>
      </c>
    </row>
    <row r="67" spans="2:6" x14ac:dyDescent="0.3">
      <c r="B67" s="1">
        <f t="shared" si="1"/>
        <v>61</v>
      </c>
      <c r="D67" t="str">
        <f>IFERROR(VLOOKUP(BDREGISTROBTH2025[[#This Row],[NROKARDEX]],BDPADRES[],8,FALSE),"Sin registrado")</f>
        <v>NILDA HUAYHUA ARENAS</v>
      </c>
      <c r="E67" s="1">
        <f>IFERROR(VLOOKUP(BDREGISTROBTH2025[[#This Row],[NROKARDEX]],Tabla3[],12,FALSE),"NO PAGO")</f>
        <v>8599</v>
      </c>
      <c r="F67" s="1" t="str">
        <f t="shared" si="0"/>
        <v>100</v>
      </c>
    </row>
    <row r="68" spans="2:6" x14ac:dyDescent="0.3">
      <c r="B68" s="1">
        <f t="shared" si="1"/>
        <v>62</v>
      </c>
      <c r="D68" t="str">
        <f>IFERROR(VLOOKUP(BDREGISTROBTH2025[[#This Row],[NROKARDEX]],BDPADRES[],8,FALSE),"Sin registrado")</f>
        <v>EDITH  ESCOBAR CESPEDES</v>
      </c>
      <c r="E68" s="1">
        <f>IFERROR(VLOOKUP(BDREGISTROBTH2025[[#This Row],[NROKARDEX]],Tabla3[],12,FALSE),"NO PAGO")</f>
        <v>8596</v>
      </c>
      <c r="F68" s="1" t="str">
        <f t="shared" si="0"/>
        <v>100</v>
      </c>
    </row>
    <row r="69" spans="2:6" x14ac:dyDescent="0.3">
      <c r="B69" s="1">
        <f t="shared" si="1"/>
        <v>63</v>
      </c>
      <c r="D69" t="str">
        <f>IFERROR(VLOOKUP(BDREGISTROBTH2025[[#This Row],[NROKARDEX]],BDPADRES[],8,FALSE),"Sin registrado")</f>
        <v>SIMONA ARIAS RENGIPO</v>
      </c>
      <c r="E69" s="1">
        <f>IFERROR(VLOOKUP(BDREGISTROBTH2025[[#This Row],[NROKARDEX]],Tabla3[],12,FALSE),"NO PAGO")</f>
        <v>8592</v>
      </c>
      <c r="F69" s="1" t="str">
        <f t="shared" si="0"/>
        <v>100</v>
      </c>
    </row>
    <row r="70" spans="2:6" x14ac:dyDescent="0.3">
      <c r="B70" s="1">
        <f t="shared" si="1"/>
        <v>64</v>
      </c>
      <c r="D70" t="str">
        <f>IFERROR(VLOOKUP(BDREGISTROBTH2025[[#This Row],[NROKARDEX]],BDPADRES[],8,FALSE),"Sin registrado")</f>
        <v>JUANA MARTINEZ FERNANDEZ</v>
      </c>
      <c r="E70" s="1">
        <f>IFERROR(VLOOKUP(BDREGISTROBTH2025[[#This Row],[NROKARDEX]],Tabla3[],12,FALSE),"NO PAGO")</f>
        <v>8593</v>
      </c>
      <c r="F70" s="1" t="str">
        <f t="shared" si="0"/>
        <v>100</v>
      </c>
    </row>
    <row r="71" spans="2:6" x14ac:dyDescent="0.3">
      <c r="B71" s="1">
        <f t="shared" si="1"/>
        <v>65</v>
      </c>
      <c r="D71" t="str">
        <f>IFERROR(VLOOKUP(BDREGISTROBTH2025[[#This Row],[NROKARDEX]],BDPADRES[],8,FALSE),"Sin registrado")</f>
        <v>MARGARITA DAZA VEDIA</v>
      </c>
      <c r="E71" s="1">
        <f>IFERROR(VLOOKUP(BDREGISTROBTH2025[[#This Row],[NROKARDEX]],Tabla3[],12,FALSE),"NO PAGO")</f>
        <v>8743</v>
      </c>
      <c r="F71" s="1" t="str">
        <f t="shared" ref="F71:F134" si="3">IF(E71="NO",0,"100")</f>
        <v>100</v>
      </c>
    </row>
    <row r="72" spans="2:6" x14ac:dyDescent="0.3">
      <c r="B72" s="1">
        <f t="shared" ref="B72:B135" si="4">ROW(A66)</f>
        <v>66</v>
      </c>
      <c r="D72" t="str">
        <f>IFERROR(VLOOKUP(BDREGISTROBTH2025[[#This Row],[NROKARDEX]],BDPADRES[],8,FALSE),"Sin registrado")</f>
        <v>JAHEL  ACHO RODRIGUEZ</v>
      </c>
      <c r="E72" s="1">
        <f>IFERROR(VLOOKUP(BDREGISTROBTH2025[[#This Row],[NROKARDEX]],Tabla3[],12,FALSE),"NO PAGO")</f>
        <v>82568</v>
      </c>
      <c r="F72" s="1" t="str">
        <f t="shared" si="3"/>
        <v>100</v>
      </c>
    </row>
    <row r="73" spans="2:6" x14ac:dyDescent="0.3">
      <c r="B73" s="1">
        <f t="shared" si="4"/>
        <v>67</v>
      </c>
      <c r="D73" t="str">
        <f>IFERROR(VLOOKUP(BDREGISTROBTH2025[[#This Row],[NROKARDEX]],BDPADRES[],8,FALSE),"Sin registrado")</f>
        <v>SIN NOMBRE PACO</v>
      </c>
      <c r="E73" s="1">
        <f>IFERROR(VLOOKUP(BDREGISTROBTH2025[[#This Row],[NROKARDEX]],Tabla3[],12,FALSE),"NO PAGO")</f>
        <v>8577</v>
      </c>
      <c r="F73" s="1" t="str">
        <f t="shared" si="3"/>
        <v>100</v>
      </c>
    </row>
    <row r="74" spans="2:6" x14ac:dyDescent="0.3">
      <c r="B74" s="1">
        <f t="shared" si="4"/>
        <v>68</v>
      </c>
      <c r="D74" t="str">
        <f>IFERROR(VLOOKUP(BDREGISTROBTH2025[[#This Row],[NROKARDEX]],BDPADRES[],8,FALSE),"Sin registrado")</f>
        <v>LISBETH ALCOBA CESPEDES</v>
      </c>
      <c r="E74" s="1" t="str">
        <f>IFERROR(VLOOKUP(BDREGISTROBTH2025[[#This Row],[NROKARDEX]],Tabla3[],12,FALSE),"NO PAGO")</f>
        <v>8719
82601</v>
      </c>
      <c r="F74" s="1" t="str">
        <f t="shared" si="3"/>
        <v>100</v>
      </c>
    </row>
    <row r="75" spans="2:6" x14ac:dyDescent="0.3">
      <c r="B75" s="1">
        <f t="shared" si="4"/>
        <v>69</v>
      </c>
      <c r="D75" t="str">
        <f>IFERROR(VLOOKUP(BDREGISTROBTH2025[[#This Row],[NROKARDEX]],BDPADRES[],8,FALSE),"Sin registrado")</f>
        <v>MARIA MERCEDES PUMACAYO PERALTA</v>
      </c>
      <c r="E75" s="1">
        <f>IFERROR(VLOOKUP(BDREGISTROBTH2025[[#This Row],[NROKARDEX]],Tabla3[],12,FALSE),"NO PAGO")</f>
        <v>8694</v>
      </c>
      <c r="F75" s="1" t="str">
        <f t="shared" si="3"/>
        <v>100</v>
      </c>
    </row>
    <row r="76" spans="2:6" x14ac:dyDescent="0.3">
      <c r="B76" s="1">
        <f t="shared" si="4"/>
        <v>70</v>
      </c>
      <c r="D76" t="str">
        <f>IFERROR(VLOOKUP(BDREGISTROBTH2025[[#This Row],[NROKARDEX]],BDPADRES[],8,FALSE),"Sin registrado")</f>
        <v>CRECENCIA AVALOS GARNICA</v>
      </c>
      <c r="E76" s="1">
        <f>IFERROR(VLOOKUP(BDREGISTROBTH2025[[#This Row],[NROKARDEX]],Tabla3[],12,FALSE),"NO PAGO")</f>
        <v>8562</v>
      </c>
      <c r="F76" s="1" t="str">
        <f t="shared" si="3"/>
        <v>100</v>
      </c>
    </row>
    <row r="77" spans="2:6" x14ac:dyDescent="0.3">
      <c r="B77" s="1">
        <f t="shared" si="4"/>
        <v>71</v>
      </c>
      <c r="D77" t="str">
        <f>IFERROR(VLOOKUP(BDREGISTROBTH2025[[#This Row],[NROKARDEX]],BDPADRES[],8,FALSE),"Sin registrado")</f>
        <v>TEOLINDA HUAILLA LOPEZ</v>
      </c>
      <c r="E77" s="1">
        <f>IFERROR(VLOOKUP(BDREGISTROBTH2025[[#This Row],[NROKARDEX]],Tabla3[],12,FALSE),"NO PAGO")</f>
        <v>8581</v>
      </c>
      <c r="F77" s="1" t="str">
        <f t="shared" si="3"/>
        <v>100</v>
      </c>
    </row>
    <row r="78" spans="2:6" x14ac:dyDescent="0.3">
      <c r="B78" s="1">
        <f t="shared" si="4"/>
        <v>72</v>
      </c>
      <c r="D78" t="str">
        <f>IFERROR(VLOOKUP(BDREGISTROBTH2025[[#This Row],[NROKARDEX]],BDPADRES[],8,FALSE),"Sin registrado")</f>
        <v xml:space="preserve">SIN NOMBRE  PUMACAYO  </v>
      </c>
      <c r="E78" s="1" t="str">
        <f>IFERROR(VLOOKUP(BDREGISTROBTH2025[[#This Row],[NROKARDEX]],Tabla3[],12,FALSE),"NO PAGO")</f>
        <v>NO</v>
      </c>
      <c r="F78" s="1">
        <f t="shared" si="3"/>
        <v>0</v>
      </c>
    </row>
    <row r="79" spans="2:6" x14ac:dyDescent="0.3">
      <c r="B79" s="1">
        <f t="shared" si="4"/>
        <v>73</v>
      </c>
      <c r="D79" t="str">
        <f>IFERROR(VLOOKUP(BDREGISTROBTH2025[[#This Row],[NROKARDEX]],BDPADRES[],8,FALSE),"Sin registrado")</f>
        <v>SIDELA RAMIREZ FLORES</v>
      </c>
      <c r="E79" s="1" t="str">
        <f>IFERROR(VLOOKUP(BDREGISTROBTH2025[[#This Row],[NROKARDEX]],Tabla3[],12,FALSE),"NO PAGO")</f>
        <v>8699
-8739</v>
      </c>
      <c r="F79" s="1" t="str">
        <f t="shared" si="3"/>
        <v>100</v>
      </c>
    </row>
    <row r="80" spans="2:6" x14ac:dyDescent="0.3">
      <c r="B80" s="1">
        <f t="shared" si="4"/>
        <v>74</v>
      </c>
      <c r="D80" t="str">
        <f>IFERROR(VLOOKUP(BDREGISTROBTH2025[[#This Row],[NROKARDEX]],BDPADRES[],8,FALSE),"Sin registrado")</f>
        <v>ELIZABETH RODRIGUEZ RODRIGUEZ</v>
      </c>
      <c r="E80" s="1" t="str">
        <f>IFERROR(VLOOKUP(BDREGISTROBTH2025[[#This Row],[NROKARDEX]],Tabla3[],12,FALSE),"NO PAGO")</f>
        <v>NO</v>
      </c>
      <c r="F80" s="1">
        <f t="shared" si="3"/>
        <v>0</v>
      </c>
    </row>
    <row r="81" spans="2:6" x14ac:dyDescent="0.3">
      <c r="B81" s="1">
        <f t="shared" si="4"/>
        <v>75</v>
      </c>
      <c r="D81" t="str">
        <f>IFERROR(VLOOKUP(BDREGISTROBTH2025[[#This Row],[NROKARDEX]],BDPADRES[],8,FALSE),"Sin registrado")</f>
        <v>MARGARITA ISABEL RIBERA TERCEROS</v>
      </c>
      <c r="E81" s="1">
        <f>IFERROR(VLOOKUP(BDREGISTROBTH2025[[#This Row],[NROKARDEX]],Tabla3[],12,FALSE),"NO PAGO")</f>
        <v>8660</v>
      </c>
      <c r="F81" s="1" t="str">
        <f t="shared" si="3"/>
        <v>100</v>
      </c>
    </row>
    <row r="82" spans="2:6" x14ac:dyDescent="0.3">
      <c r="B82" s="1">
        <f t="shared" si="4"/>
        <v>76</v>
      </c>
      <c r="D82" t="str">
        <f>IFERROR(VLOOKUP(BDREGISTROBTH2025[[#This Row],[NROKARDEX]],BDPADRES[],8,FALSE),"Sin registrado")</f>
        <v>YSABEL CEREZO RIVAS</v>
      </c>
      <c r="E82" s="1">
        <f>IFERROR(VLOOKUP(BDREGISTROBTH2025[[#This Row],[NROKARDEX]],Tabla3[],12,FALSE),"NO PAGO")</f>
        <v>56267</v>
      </c>
      <c r="F82" s="1" t="str">
        <f t="shared" si="3"/>
        <v>100</v>
      </c>
    </row>
    <row r="83" spans="2:6" x14ac:dyDescent="0.3">
      <c r="B83" s="1">
        <f t="shared" si="4"/>
        <v>77</v>
      </c>
      <c r="D83" t="str">
        <f>IFERROR(VLOOKUP(BDREGISTROBTH2025[[#This Row],[NROKARDEX]],BDPADRES[],8,FALSE),"Sin registrado")</f>
        <v>LIDIA MEDINA NOVA</v>
      </c>
      <c r="E83" s="1">
        <f>IFERROR(VLOOKUP(BDREGISTROBTH2025[[#This Row],[NROKARDEX]],Tabla3[],12,FALSE),"NO PAGO")</f>
        <v>8708</v>
      </c>
      <c r="F83" s="1" t="str">
        <f t="shared" si="3"/>
        <v>100</v>
      </c>
    </row>
    <row r="84" spans="2:6" x14ac:dyDescent="0.3">
      <c r="B84" s="1">
        <f t="shared" si="4"/>
        <v>78</v>
      </c>
      <c r="D84" t="str">
        <f>IFERROR(VLOOKUP(BDREGISTROBTH2025[[#This Row],[NROKARDEX]],BDPADRES[],8,FALSE),"Sin registrado")</f>
        <v>ROXANA PINTO FLORES</v>
      </c>
      <c r="E84" s="1">
        <f>IFERROR(VLOOKUP(BDREGISTROBTH2025[[#This Row],[NROKARDEX]],Tabla3[],12,FALSE),"NO PAGO")</f>
        <v>8740</v>
      </c>
      <c r="F84" s="1" t="str">
        <f t="shared" si="3"/>
        <v>100</v>
      </c>
    </row>
    <row r="85" spans="2:6" x14ac:dyDescent="0.3">
      <c r="B85" s="1">
        <f t="shared" si="4"/>
        <v>79</v>
      </c>
      <c r="D85" t="str">
        <f>IFERROR(VLOOKUP(BDREGISTROBTH2025[[#This Row],[NROKARDEX]],BDPADRES[],8,FALSE),"Sin registrado")</f>
        <v>AGUSTINA MARTINEZ MILLARES</v>
      </c>
      <c r="E85" s="1" t="str">
        <f>IFERROR(VLOOKUP(BDREGISTROBTH2025[[#This Row],[NROKARDEX]],Tabla3[],12,FALSE),"NO PAGO")</f>
        <v>NO</v>
      </c>
      <c r="F85" s="1">
        <f t="shared" si="3"/>
        <v>0</v>
      </c>
    </row>
    <row r="86" spans="2:6" x14ac:dyDescent="0.3">
      <c r="B86" s="1">
        <f t="shared" si="4"/>
        <v>80</v>
      </c>
      <c r="D86" t="str">
        <f>IFERROR(VLOOKUP(BDREGISTROBTH2025[[#This Row],[NROKARDEX]],BDPADRES[],8,FALSE),"Sin registrado")</f>
        <v>MIGUELINA GUERRERO RODA</v>
      </c>
      <c r="E86" s="1">
        <f>IFERROR(VLOOKUP(BDREGISTROBTH2025[[#This Row],[NROKARDEX]],Tabla3[],12,FALSE),"NO PAGO")</f>
        <v>56274</v>
      </c>
      <c r="F86" s="1" t="str">
        <f t="shared" si="3"/>
        <v>100</v>
      </c>
    </row>
    <row r="87" spans="2:6" x14ac:dyDescent="0.3">
      <c r="B87" s="1">
        <f t="shared" si="4"/>
        <v>81</v>
      </c>
      <c r="D87" t="str">
        <f>IFERROR(VLOOKUP(BDREGISTROBTH2025[[#This Row],[NROKARDEX]],BDPADRES[],8,FALSE),"Sin registrado")</f>
        <v>CATALINA MAMANI OCHOA</v>
      </c>
      <c r="E87" s="1">
        <f>IFERROR(VLOOKUP(BDREGISTROBTH2025[[#This Row],[NROKARDEX]],Tabla3[],12,FALSE),"NO PAGO")</f>
        <v>8674</v>
      </c>
      <c r="F87" s="1" t="str">
        <f t="shared" si="3"/>
        <v>100</v>
      </c>
    </row>
    <row r="88" spans="2:6" x14ac:dyDescent="0.3">
      <c r="B88" s="1">
        <f t="shared" si="4"/>
        <v>82</v>
      </c>
      <c r="D88" t="str">
        <f>IFERROR(VLOOKUP(BDREGISTROBTH2025[[#This Row],[NROKARDEX]],BDPADRES[],8,FALSE),"Sin registrado")</f>
        <v>MARTHA FIGUEROA GUZMAN</v>
      </c>
      <c r="E88" s="1">
        <f>IFERROR(VLOOKUP(BDREGISTROBTH2025[[#This Row],[NROKARDEX]],Tabla3[],12,FALSE),"NO PAGO")</f>
        <v>8654</v>
      </c>
      <c r="F88" s="1" t="str">
        <f t="shared" si="3"/>
        <v>100</v>
      </c>
    </row>
    <row r="89" spans="2:6" x14ac:dyDescent="0.3">
      <c r="B89" s="1">
        <f t="shared" si="4"/>
        <v>83</v>
      </c>
      <c r="D89" t="str">
        <f>IFERROR(VLOOKUP(BDREGISTROBTH2025[[#This Row],[NROKARDEX]],BDPADRES[],8,FALSE),"Sin registrado")</f>
        <v>ROSMERY CAMARGO CARBALLO</v>
      </c>
      <c r="E89" s="1">
        <f>IFERROR(VLOOKUP(BDREGISTROBTH2025[[#This Row],[NROKARDEX]],Tabla3[],12,FALSE),"NO PAGO")</f>
        <v>8705</v>
      </c>
      <c r="F89" s="1" t="str">
        <f t="shared" si="3"/>
        <v>100</v>
      </c>
    </row>
    <row r="90" spans="2:6" x14ac:dyDescent="0.3">
      <c r="B90" s="1">
        <f t="shared" si="4"/>
        <v>84</v>
      </c>
      <c r="D90" t="str">
        <f>IFERROR(VLOOKUP(BDREGISTROBTH2025[[#This Row],[NROKARDEX]],BDPADRES[],8,FALSE),"Sin registrado")</f>
        <v>ELIZABETH MERCADO LOPEZ</v>
      </c>
      <c r="E90" s="1">
        <f>IFERROR(VLOOKUP(BDREGISTROBTH2025[[#This Row],[NROKARDEX]],Tabla3[],12,FALSE),"NO PAGO")</f>
        <v>82603</v>
      </c>
      <c r="F90" s="1" t="str">
        <f t="shared" si="3"/>
        <v>100</v>
      </c>
    </row>
    <row r="91" spans="2:6" x14ac:dyDescent="0.3">
      <c r="B91" s="1">
        <f t="shared" si="4"/>
        <v>85</v>
      </c>
      <c r="D91" t="str">
        <f>IFERROR(VLOOKUP(BDREGISTROBTH2025[[#This Row],[NROKARDEX]],BDPADRES[],8,FALSE),"Sin registrado")</f>
        <v>ARACELI LIMON AVALOS</v>
      </c>
      <c r="E91" s="1" t="str">
        <f>IFERROR(VLOOKUP(BDREGISTROBTH2025[[#This Row],[NROKARDEX]],Tabla3[],12,FALSE),"NO PAGO")</f>
        <v>NO</v>
      </c>
      <c r="F91" s="1">
        <f t="shared" si="3"/>
        <v>0</v>
      </c>
    </row>
    <row r="92" spans="2:6" x14ac:dyDescent="0.3">
      <c r="B92" s="1">
        <f t="shared" si="4"/>
        <v>86</v>
      </c>
      <c r="D92" t="str">
        <f>IFERROR(VLOOKUP(BDREGISTROBTH2025[[#This Row],[NROKARDEX]],BDPADRES[],8,FALSE),"Sin registrado")</f>
        <v>VICENTA MOSCOSO ROMERO</v>
      </c>
      <c r="E92" s="1">
        <f>IFERROR(VLOOKUP(BDREGISTROBTH2025[[#This Row],[NROKARDEX]],Tabla3[],12,FALSE),"NO PAGO")</f>
        <v>64165</v>
      </c>
      <c r="F92" s="1" t="str">
        <f t="shared" si="3"/>
        <v>100</v>
      </c>
    </row>
    <row r="93" spans="2:6" x14ac:dyDescent="0.3">
      <c r="B93" s="1">
        <f t="shared" si="4"/>
        <v>87</v>
      </c>
      <c r="D93" t="str">
        <f>IFERROR(VLOOKUP(BDREGISTROBTH2025[[#This Row],[NROKARDEX]],BDPADRES[],8,FALSE),"Sin registrado")</f>
        <v>FLOR MARIA MOJICA GARCIA</v>
      </c>
      <c r="E93" s="1">
        <f>IFERROR(VLOOKUP(BDREGISTROBTH2025[[#This Row],[NROKARDEX]],Tabla3[],12,FALSE),"NO PAGO")</f>
        <v>82646</v>
      </c>
      <c r="F93" s="1" t="str">
        <f t="shared" si="3"/>
        <v>100</v>
      </c>
    </row>
    <row r="94" spans="2:6" x14ac:dyDescent="0.3">
      <c r="B94" s="1">
        <f t="shared" si="4"/>
        <v>88</v>
      </c>
      <c r="D94" t="str">
        <f>IFERROR(VLOOKUP(BDREGISTROBTH2025[[#This Row],[NROKARDEX]],BDPADRES[],8,FALSE),"Sin registrado")</f>
        <v>ROSXANA MOJIANO MOSCOSO</v>
      </c>
      <c r="E94" s="1">
        <f>IFERROR(VLOOKUP(BDREGISTROBTH2025[[#This Row],[NROKARDEX]],Tabla3[],12,FALSE),"NO PAGO")</f>
        <v>8556</v>
      </c>
      <c r="F94" s="1" t="str">
        <f t="shared" si="3"/>
        <v>100</v>
      </c>
    </row>
    <row r="95" spans="2:6" x14ac:dyDescent="0.3">
      <c r="B95" s="1">
        <f t="shared" si="4"/>
        <v>89</v>
      </c>
      <c r="D95" t="str">
        <f>IFERROR(VLOOKUP(BDREGISTROBTH2025[[#This Row],[NROKARDEX]],BDPADRES[],8,FALSE),"Sin registrado")</f>
        <v>YENNY ROJAS CLAURE</v>
      </c>
      <c r="E95" s="1" t="str">
        <f>IFERROR(VLOOKUP(BDREGISTROBTH2025[[#This Row],[NROKARDEX]],Tabla3[],12,FALSE),"NO PAGO")</f>
        <v>NO</v>
      </c>
      <c r="F95" s="1">
        <f t="shared" si="3"/>
        <v>0</v>
      </c>
    </row>
    <row r="96" spans="2:6" x14ac:dyDescent="0.3">
      <c r="B96" s="1">
        <f t="shared" si="4"/>
        <v>90</v>
      </c>
      <c r="D96" t="str">
        <f>IFERROR(VLOOKUP(BDREGISTROBTH2025[[#This Row],[NROKARDEX]],BDPADRES[],8,FALSE),"Sin registrado")</f>
        <v>SILVIA CARI CARI COLQUE</v>
      </c>
      <c r="E96" s="1" t="str">
        <f>IFERROR(VLOOKUP(BDREGISTROBTH2025[[#This Row],[NROKARDEX]],Tabla3[],12,FALSE),"NO PAGO")</f>
        <v>NO</v>
      </c>
      <c r="F96" s="1">
        <f t="shared" si="3"/>
        <v>0</v>
      </c>
    </row>
    <row r="97" spans="2:6" x14ac:dyDescent="0.3">
      <c r="B97" s="1">
        <f t="shared" si="4"/>
        <v>91</v>
      </c>
      <c r="D97" t="str">
        <f>IFERROR(VLOOKUP(BDREGISTROBTH2025[[#This Row],[NROKARDEX]],BDPADRES[],8,FALSE),"Sin registrado")</f>
        <v>VERENICE DORADO MONTENEGRO</v>
      </c>
      <c r="E97" s="1">
        <f>IFERROR(VLOOKUP(BDREGISTROBTH2025[[#This Row],[NROKARDEX]],Tabla3[],12,FALSE),"NO PAGO")</f>
        <v>82604</v>
      </c>
      <c r="F97" s="1" t="str">
        <f t="shared" si="3"/>
        <v>100</v>
      </c>
    </row>
    <row r="98" spans="2:6" x14ac:dyDescent="0.3">
      <c r="B98" s="1">
        <f t="shared" si="4"/>
        <v>92</v>
      </c>
      <c r="D98" t="str">
        <f>IFERROR(VLOOKUP(BDREGISTROBTH2025[[#This Row],[NROKARDEX]],BDPADRES[],8,FALSE),"Sin registrado")</f>
        <v>DANIELA APAZA MIRANDA</v>
      </c>
      <c r="E98" s="1">
        <f>IFERROR(VLOOKUP(BDREGISTROBTH2025[[#This Row],[NROKARDEX]],Tabla3[],12,FALSE),"NO PAGO")</f>
        <v>56045</v>
      </c>
      <c r="F98" s="1" t="str">
        <f t="shared" si="3"/>
        <v>100</v>
      </c>
    </row>
    <row r="99" spans="2:6" x14ac:dyDescent="0.3">
      <c r="B99" s="1">
        <f t="shared" si="4"/>
        <v>93</v>
      </c>
      <c r="D99" t="str">
        <f>IFERROR(VLOOKUP(BDREGISTROBTH2025[[#This Row],[NROKARDEX]],BDPADRES[],8,FALSE),"Sin registrado")</f>
        <v>DORA TERAN NOMTENEGRO</v>
      </c>
      <c r="E99" s="1">
        <f>IFERROR(VLOOKUP(BDREGISTROBTH2025[[#This Row],[NROKARDEX]],Tabla3[],12,FALSE),"NO PAGO")</f>
        <v>8712</v>
      </c>
      <c r="F99" s="1" t="str">
        <f t="shared" si="3"/>
        <v>100</v>
      </c>
    </row>
    <row r="100" spans="2:6" x14ac:dyDescent="0.3">
      <c r="B100" s="1">
        <f t="shared" si="4"/>
        <v>94</v>
      </c>
      <c r="D100" t="str">
        <f>IFERROR(VLOOKUP(BDREGISTROBTH2025[[#This Row],[NROKARDEX]],BDPADRES[],8,FALSE),"Sin registrado")</f>
        <v>Sin registrado</v>
      </c>
      <c r="E100" s="1" t="str">
        <f>IFERROR(VLOOKUP(BDREGISTROBTH2025[[#This Row],[NROKARDEX]],Tabla3[],12,FALSE),"NO PAGO")</f>
        <v>NO PAGO</v>
      </c>
      <c r="F100" s="1">
        <v>0</v>
      </c>
    </row>
    <row r="101" spans="2:6" x14ac:dyDescent="0.3">
      <c r="B101" s="1">
        <f t="shared" si="4"/>
        <v>95</v>
      </c>
      <c r="D101" t="str">
        <f>IFERROR(VLOOKUP(BDREGISTROBTH2025[[#This Row],[NROKARDEX]],BDPADRES[],8,FALSE),"Sin registrado")</f>
        <v>MARGARITA CHUMBE LOPEZ</v>
      </c>
      <c r="E101" s="1">
        <f>IFERROR(VLOOKUP(BDREGISTROBTH2025[[#This Row],[NROKARDEX]],Tabla3[],12,FALSE),"NO PAGO")</f>
        <v>8572</v>
      </c>
      <c r="F101" s="1" t="str">
        <f t="shared" si="3"/>
        <v>100</v>
      </c>
    </row>
    <row r="102" spans="2:6" x14ac:dyDescent="0.3">
      <c r="B102" s="1">
        <f t="shared" si="4"/>
        <v>96</v>
      </c>
      <c r="D102" t="str">
        <f>IFERROR(VLOOKUP(BDREGISTROBTH2025[[#This Row],[NROKARDEX]],BDPADRES[],8,FALSE),"Sin registrado")</f>
        <v>AURORA URIONA VELASQUEZ</v>
      </c>
      <c r="E102" s="1">
        <f>IFERROR(VLOOKUP(BDREGISTROBTH2025[[#This Row],[NROKARDEX]],Tabla3[],12,FALSE),"NO PAGO")</f>
        <v>56011</v>
      </c>
      <c r="F102" s="1" t="str">
        <f t="shared" si="3"/>
        <v>100</v>
      </c>
    </row>
    <row r="103" spans="2:6" x14ac:dyDescent="0.3">
      <c r="B103" s="1">
        <f t="shared" si="4"/>
        <v>97</v>
      </c>
      <c r="D103" t="str">
        <f>IFERROR(VLOOKUP(BDREGISTROBTH2025[[#This Row],[NROKARDEX]],BDPADRES[],8,FALSE),"Sin registrado")</f>
        <v>CELESTINA ARIMOZA CARBALLO</v>
      </c>
      <c r="E103" s="1">
        <f>IFERROR(VLOOKUP(BDREGISTROBTH2025[[#This Row],[NROKARDEX]],Tabla3[],12,FALSE),"NO PAGO")</f>
        <v>8573</v>
      </c>
      <c r="F103" s="1" t="str">
        <f t="shared" si="3"/>
        <v>100</v>
      </c>
    </row>
    <row r="104" spans="2:6" x14ac:dyDescent="0.3">
      <c r="B104" s="1">
        <f t="shared" si="4"/>
        <v>98</v>
      </c>
      <c r="D104" t="str">
        <f>IFERROR(VLOOKUP(BDREGISTROBTH2025[[#This Row],[NROKARDEX]],BDPADRES[],8,FALSE),"Sin registrado")</f>
        <v>CARMEN GALARZA GALVIS</v>
      </c>
      <c r="E104" s="1">
        <f>IFERROR(VLOOKUP(BDREGISTROBTH2025[[#This Row],[NROKARDEX]],Tabla3[],12,FALSE),"NO PAGO")</f>
        <v>82554</v>
      </c>
      <c r="F104" s="1" t="str">
        <f t="shared" si="3"/>
        <v>100</v>
      </c>
    </row>
    <row r="105" spans="2:6" x14ac:dyDescent="0.3">
      <c r="B105" s="1">
        <f t="shared" si="4"/>
        <v>99</v>
      </c>
      <c r="D105" t="str">
        <f>IFERROR(VLOOKUP(BDREGISTROBTH2025[[#This Row],[NROKARDEX]],BDPADRES[],8,FALSE),"Sin registrado")</f>
        <v>MARIA ELSA GARCIA CUCHALLO</v>
      </c>
      <c r="E105" s="1" t="str">
        <f>IFERROR(VLOOKUP(BDREGISTROBTH2025[[#This Row],[NROKARDEX]],Tabla3[],12,FALSE),"NO PAGO")</f>
        <v>NO</v>
      </c>
      <c r="F105" s="1">
        <f t="shared" si="3"/>
        <v>0</v>
      </c>
    </row>
    <row r="106" spans="2:6" x14ac:dyDescent="0.3">
      <c r="B106" s="1">
        <f t="shared" si="4"/>
        <v>100</v>
      </c>
      <c r="D106" t="str">
        <f>IFERROR(VLOOKUP(BDREGISTROBTH2025[[#This Row],[NROKARDEX]],BDPADRES[],8,FALSE),"Sin registrado")</f>
        <v>LOURDES BALDERAS VEDIA</v>
      </c>
      <c r="E106" s="1">
        <f>IFERROR(VLOOKUP(BDREGISTROBTH2025[[#This Row],[NROKARDEX]],Tabla3[],12,FALSE),"NO PAGO")</f>
        <v>64169</v>
      </c>
      <c r="F106" s="1" t="str">
        <f t="shared" si="3"/>
        <v>100</v>
      </c>
    </row>
    <row r="107" spans="2:6" x14ac:dyDescent="0.3">
      <c r="B107" s="1">
        <f t="shared" si="4"/>
        <v>101</v>
      </c>
      <c r="D107" t="str">
        <f>IFERROR(VLOOKUP(BDREGISTROBTH2025[[#This Row],[NROKARDEX]],BDPADRES[],8,FALSE),"Sin registrado")</f>
        <v>CLEOFE AZURDUY REVOLLO</v>
      </c>
      <c r="E107" s="1">
        <f>IFERROR(VLOOKUP(BDREGISTROBTH2025[[#This Row],[NROKARDEX]],Tabla3[],12,FALSE),"NO PAGO")</f>
        <v>8675</v>
      </c>
      <c r="F107" s="1" t="str">
        <f t="shared" si="3"/>
        <v>100</v>
      </c>
    </row>
    <row r="108" spans="2:6" x14ac:dyDescent="0.3">
      <c r="B108" s="1">
        <f t="shared" si="4"/>
        <v>102</v>
      </c>
      <c r="D108" t="str">
        <f>IFERROR(VLOOKUP(BDREGISTROBTH2025[[#This Row],[NROKARDEX]],BDPADRES[],8,FALSE),"Sin registrado")</f>
        <v>LAURA CORCHADO BEJARANO</v>
      </c>
      <c r="E108" s="1">
        <f>IFERROR(VLOOKUP(BDREGISTROBTH2025[[#This Row],[NROKARDEX]],Tabla3[],12,FALSE),"NO PAGO")</f>
        <v>64164</v>
      </c>
      <c r="F108" s="1" t="str">
        <f t="shared" si="3"/>
        <v>100</v>
      </c>
    </row>
    <row r="109" spans="2:6" x14ac:dyDescent="0.3">
      <c r="B109" s="1">
        <f t="shared" si="4"/>
        <v>103</v>
      </c>
      <c r="D109" t="str">
        <f>IFERROR(VLOOKUP(BDREGISTROBTH2025[[#This Row],[NROKARDEX]],BDPADRES[],8,FALSE),"Sin registrado")</f>
        <v>VERONICA CHAMBI PACO</v>
      </c>
      <c r="E109" s="1">
        <f>IFERROR(VLOOKUP(BDREGISTROBTH2025[[#This Row],[NROKARDEX]],Tabla3[],12,FALSE),"NO PAGO")</f>
        <v>64172</v>
      </c>
      <c r="F109" s="1" t="str">
        <f t="shared" si="3"/>
        <v>100</v>
      </c>
    </row>
    <row r="110" spans="2:6" x14ac:dyDescent="0.3">
      <c r="B110" s="1">
        <f t="shared" si="4"/>
        <v>104</v>
      </c>
      <c r="D110" t="str">
        <f>IFERROR(VLOOKUP(BDREGISTROBTH2025[[#This Row],[NROKARDEX]],BDPADRES[],8,FALSE),"Sin registrado")</f>
        <v>LUCI ROCIO ROMERO AVILA</v>
      </c>
      <c r="E110" s="1">
        <f>IFERROR(VLOOKUP(BDREGISTROBTH2025[[#This Row],[NROKARDEX]],Tabla3[],12,FALSE),"NO PAGO")</f>
        <v>82587</v>
      </c>
      <c r="F110" s="1" t="str">
        <f t="shared" si="3"/>
        <v>100</v>
      </c>
    </row>
    <row r="111" spans="2:6" x14ac:dyDescent="0.3">
      <c r="B111" s="1">
        <f t="shared" si="4"/>
        <v>105</v>
      </c>
      <c r="D111" t="str">
        <f>IFERROR(VLOOKUP(BDREGISTROBTH2025[[#This Row],[NROKARDEX]],BDPADRES[],8,FALSE),"Sin registrado")</f>
        <v>MARIBEL ROSARIO HERRERA REBOLLO</v>
      </c>
      <c r="E111" s="1">
        <f>IFERROR(VLOOKUP(BDREGISTROBTH2025[[#This Row],[NROKARDEX]],Tabla3[],12,FALSE),"NO PAGO")</f>
        <v>8555</v>
      </c>
      <c r="F111" s="1" t="str">
        <f t="shared" si="3"/>
        <v>100</v>
      </c>
    </row>
    <row r="112" spans="2:6" x14ac:dyDescent="0.3">
      <c r="B112" s="1">
        <f t="shared" si="4"/>
        <v>106</v>
      </c>
      <c r="D112" t="str">
        <f>IFERROR(VLOOKUP(BDREGISTROBTH2025[[#This Row],[NROKARDEX]],BDPADRES[],8,FALSE),"Sin registrado")</f>
        <v>ANABEL RUTH CHIRINO FLORES</v>
      </c>
      <c r="E112" s="1">
        <f>IFERROR(VLOOKUP(BDREGISTROBTH2025[[#This Row],[NROKARDEX]],Tabla3[],12,FALSE),"NO PAGO")</f>
        <v>8669</v>
      </c>
      <c r="F112" s="1" t="str">
        <f t="shared" si="3"/>
        <v>100</v>
      </c>
    </row>
    <row r="113" spans="2:6" x14ac:dyDescent="0.3">
      <c r="B113" s="1">
        <f t="shared" si="4"/>
        <v>107</v>
      </c>
      <c r="D113" t="str">
        <f>IFERROR(VLOOKUP(BDREGISTROBTH2025[[#This Row],[NROKARDEX]],BDPADRES[],8,FALSE),"Sin registrado")</f>
        <v>ELVIRA JUDITHY LUCANO UÑO</v>
      </c>
      <c r="E113" s="1">
        <f>IFERROR(VLOOKUP(BDREGISTROBTH2025[[#This Row],[NROKARDEX]],Tabla3[],12,FALSE),"NO PAGO")</f>
        <v>8716</v>
      </c>
      <c r="F113" s="1" t="str">
        <f t="shared" si="3"/>
        <v>100</v>
      </c>
    </row>
    <row r="114" spans="2:6" x14ac:dyDescent="0.3">
      <c r="B114" s="1">
        <f t="shared" si="4"/>
        <v>108</v>
      </c>
      <c r="D114" t="str">
        <f>IFERROR(VLOOKUP(BDREGISTROBTH2025[[#This Row],[NROKARDEX]],BDPADRES[],8,FALSE),"Sin registrado")</f>
        <v>CLAUDIA VERONICA FLORES TASEO</v>
      </c>
      <c r="E114" s="1">
        <f>IFERROR(VLOOKUP(BDREGISTROBTH2025[[#This Row],[NROKARDEX]],Tabla3[],12,FALSE),"NO PAGO")</f>
        <v>7838</v>
      </c>
      <c r="F114" s="1" t="str">
        <f t="shared" si="3"/>
        <v>100</v>
      </c>
    </row>
    <row r="115" spans="2:6" x14ac:dyDescent="0.3">
      <c r="B115" s="1">
        <f t="shared" si="4"/>
        <v>109</v>
      </c>
      <c r="D115" t="str">
        <f>IFERROR(VLOOKUP(BDREGISTROBTH2025[[#This Row],[NROKARDEX]],BDPADRES[],8,FALSE),"Sin registrado")</f>
        <v>ELVIRA MAMANI ANCASI</v>
      </c>
      <c r="E115" s="1">
        <f>IFERROR(VLOOKUP(BDREGISTROBTH2025[[#This Row],[NROKARDEX]],Tabla3[],12,FALSE),"NO PAGO")</f>
        <v>8748</v>
      </c>
      <c r="F115" s="1" t="str">
        <f t="shared" si="3"/>
        <v>100</v>
      </c>
    </row>
    <row r="116" spans="2:6" x14ac:dyDescent="0.3">
      <c r="B116" s="1">
        <f t="shared" si="4"/>
        <v>110</v>
      </c>
      <c r="D116" t="str">
        <f>IFERROR(VLOOKUP(BDREGISTROBTH2025[[#This Row],[NROKARDEX]],BDPADRES[],8,FALSE),"Sin registrado")</f>
        <v>JOSSELIN ROSARIO CLAURE</v>
      </c>
      <c r="E116" s="1" t="str">
        <f>IFERROR(VLOOKUP(BDREGISTROBTH2025[[#This Row],[NROKARDEX]],Tabla3[],12,FALSE),"NO PAGO")</f>
        <v>NO</v>
      </c>
      <c r="F116" s="1">
        <f t="shared" si="3"/>
        <v>0</v>
      </c>
    </row>
    <row r="117" spans="2:6" x14ac:dyDescent="0.3">
      <c r="B117" s="1">
        <f t="shared" si="4"/>
        <v>111</v>
      </c>
      <c r="D117" t="str">
        <f>IFERROR(VLOOKUP(BDREGISTROBTH2025[[#This Row],[NROKARDEX]],BDPADRES[],8,FALSE),"Sin registrado")</f>
        <v>MONICA PEÑA COPA</v>
      </c>
      <c r="E117" s="1">
        <f>IFERROR(VLOOKUP(BDREGISTROBTH2025[[#This Row],[NROKARDEX]],Tabla3[],12,FALSE),"NO PAGO")</f>
        <v>64159</v>
      </c>
      <c r="F117" s="1" t="str">
        <f t="shared" si="3"/>
        <v>100</v>
      </c>
    </row>
    <row r="118" spans="2:6" x14ac:dyDescent="0.3">
      <c r="B118" s="1">
        <f t="shared" si="4"/>
        <v>112</v>
      </c>
      <c r="D118" t="str">
        <f>IFERROR(VLOOKUP(BDREGISTROBTH2025[[#This Row],[NROKARDEX]],BDPADRES[],8,FALSE),"Sin registrado")</f>
        <v>ESTELA OSINAGA CASTRO</v>
      </c>
      <c r="E118" s="1">
        <f>IFERROR(VLOOKUP(BDREGISTROBTH2025[[#This Row],[NROKARDEX]],Tabla3[],12,FALSE),"NO PAGO")</f>
        <v>8711</v>
      </c>
      <c r="F118" s="1" t="str">
        <f t="shared" si="3"/>
        <v>100</v>
      </c>
    </row>
    <row r="119" spans="2:6" x14ac:dyDescent="0.3">
      <c r="B119" s="1">
        <f t="shared" si="4"/>
        <v>113</v>
      </c>
      <c r="D119" t="str">
        <f>IFERROR(VLOOKUP(BDREGISTROBTH2025[[#This Row],[NROKARDEX]],BDPADRES[],8,FALSE),"Sin registrado")</f>
        <v>FELIPA ACHACOLLO COLQUE</v>
      </c>
      <c r="E119" s="1">
        <f>IFERROR(VLOOKUP(BDREGISTROBTH2025[[#This Row],[NROKARDEX]],Tabla3[],12,FALSE),"NO PAGO")</f>
        <v>82632</v>
      </c>
      <c r="F119" s="1" t="str">
        <f t="shared" si="3"/>
        <v>100</v>
      </c>
    </row>
    <row r="120" spans="2:6" x14ac:dyDescent="0.3">
      <c r="B120" s="1">
        <f t="shared" si="4"/>
        <v>114</v>
      </c>
      <c r="D120" t="str">
        <f>IFERROR(VLOOKUP(BDREGISTROBTH2025[[#This Row],[NROKARDEX]],BDPADRES[],8,FALSE),"Sin registrado")</f>
        <v>GUADALUPE MENECES URIONA</v>
      </c>
      <c r="E120" s="1">
        <f>IFERROR(VLOOKUP(BDREGISTROBTH2025[[#This Row],[NROKARDEX]],Tabla3[],12,FALSE),"NO PAGO")</f>
        <v>8703</v>
      </c>
      <c r="F120" s="1" t="str">
        <f t="shared" si="3"/>
        <v>100</v>
      </c>
    </row>
    <row r="121" spans="2:6" x14ac:dyDescent="0.3">
      <c r="B121" s="1">
        <f t="shared" si="4"/>
        <v>115</v>
      </c>
      <c r="D121" t="str">
        <f>IFERROR(VLOOKUP(BDREGISTROBTH2025[[#This Row],[NROKARDEX]],BDPADRES[],8,FALSE),"Sin registrado")</f>
        <v>SIRLE YAQUELIN VARGAS RODRIGUEZ</v>
      </c>
      <c r="E121" s="1">
        <f>IFERROR(VLOOKUP(BDREGISTROBTH2025[[#This Row],[NROKARDEX]],Tabla3[],12,FALSE),"NO PAGO")</f>
        <v>82552</v>
      </c>
      <c r="F121" s="1" t="str">
        <f t="shared" si="3"/>
        <v>100</v>
      </c>
    </row>
    <row r="122" spans="2:6" x14ac:dyDescent="0.3">
      <c r="B122" s="1">
        <f t="shared" si="4"/>
        <v>116</v>
      </c>
      <c r="D122" t="str">
        <f>IFERROR(VLOOKUP(BDREGISTROBTH2025[[#This Row],[NROKARDEX]],BDPADRES[],8,FALSE),"Sin registrado")</f>
        <v>JUSTINA CUELLAR AVILA</v>
      </c>
      <c r="E122" s="1">
        <f>IFERROR(VLOOKUP(BDREGISTROBTH2025[[#This Row],[NROKARDEX]],Tabla3[],12,FALSE),"NO PAGO")</f>
        <v>56106</v>
      </c>
      <c r="F122" s="1" t="str">
        <f t="shared" si="3"/>
        <v>100</v>
      </c>
    </row>
    <row r="123" spans="2:6" x14ac:dyDescent="0.3">
      <c r="B123" s="1">
        <f t="shared" si="4"/>
        <v>117</v>
      </c>
      <c r="D123" t="str">
        <f>IFERROR(VLOOKUP(BDREGISTROBTH2025[[#This Row],[NROKARDEX]],BDPADRES[],8,FALSE),"Sin registrado")</f>
        <v>ANGELICA MARQUEZ ACHO</v>
      </c>
      <c r="E123" s="1">
        <f>IFERROR(VLOOKUP(BDREGISTROBTH2025[[#This Row],[NROKARDEX]],Tabla3[],12,FALSE),"NO PAGO")</f>
        <v>8736</v>
      </c>
      <c r="F123" s="1" t="str">
        <f t="shared" si="3"/>
        <v>100</v>
      </c>
    </row>
    <row r="124" spans="2:6" x14ac:dyDescent="0.3">
      <c r="B124" s="1">
        <f t="shared" si="4"/>
        <v>118</v>
      </c>
      <c r="D124" t="str">
        <f>IFERROR(VLOOKUP(BDREGISTROBTH2025[[#This Row],[NROKARDEX]],BDPADRES[],8,FALSE),"Sin registrado")</f>
        <v>MERCEDES ROCHA SANGUINO</v>
      </c>
      <c r="E124" s="1" t="str">
        <f>IFERROR(VLOOKUP(BDREGISTROBTH2025[[#This Row],[NROKARDEX]],Tabla3[],12,FALSE),"NO PAGO")</f>
        <v>NO</v>
      </c>
      <c r="F124" s="1">
        <f t="shared" si="3"/>
        <v>0</v>
      </c>
    </row>
    <row r="125" spans="2:6" x14ac:dyDescent="0.3">
      <c r="B125" s="1">
        <f t="shared" si="4"/>
        <v>119</v>
      </c>
      <c r="D125" t="str">
        <f>IFERROR(VLOOKUP(BDREGISTROBTH2025[[#This Row],[NROKARDEX]],BDPADRES[],8,FALSE),"Sin registrado")</f>
        <v>LIDIA GARCIA</v>
      </c>
      <c r="E125" s="1">
        <f>IFERROR(VLOOKUP(BDREGISTROBTH2025[[#This Row],[NROKARDEX]],Tabla3[],12,FALSE),"NO PAGO")</f>
        <v>64189</v>
      </c>
      <c r="F125" s="1" t="str">
        <f t="shared" si="3"/>
        <v>100</v>
      </c>
    </row>
    <row r="126" spans="2:6" x14ac:dyDescent="0.3">
      <c r="B126" s="1">
        <f t="shared" si="4"/>
        <v>120</v>
      </c>
      <c r="D126" t="str">
        <f>IFERROR(VLOOKUP(BDREGISTROBTH2025[[#This Row],[NROKARDEX]],BDPADRES[],8,FALSE),"Sin registrado")</f>
        <v>ELVA CLAROS ORELLANA</v>
      </c>
      <c r="E126" s="1">
        <f>IFERROR(VLOOKUP(BDREGISTROBTH2025[[#This Row],[NROKARDEX]],Tabla3[],12,FALSE),"NO PAGO")</f>
        <v>64166</v>
      </c>
      <c r="F126" s="1" t="str">
        <f t="shared" si="3"/>
        <v>100</v>
      </c>
    </row>
    <row r="127" spans="2:6" x14ac:dyDescent="0.3">
      <c r="B127" s="1">
        <f t="shared" si="4"/>
        <v>121</v>
      </c>
      <c r="D127" t="str">
        <f>IFERROR(VLOOKUP(BDREGISTROBTH2025[[#This Row],[NROKARDEX]],BDPADRES[],8,FALSE),"Sin registrado")</f>
        <v>MARIA JESUS BAIGORIA HURTADO</v>
      </c>
      <c r="E127" s="1">
        <f>IFERROR(VLOOKUP(BDREGISTROBTH2025[[#This Row],[NROKARDEX]],Tabla3[],12,FALSE),"NO PAGO")</f>
        <v>8683</v>
      </c>
      <c r="F127" s="1" t="str">
        <f t="shared" si="3"/>
        <v>100</v>
      </c>
    </row>
    <row r="128" spans="2:6" x14ac:dyDescent="0.3">
      <c r="B128" s="1">
        <f t="shared" si="4"/>
        <v>122</v>
      </c>
      <c r="D128" t="str">
        <f>IFERROR(VLOOKUP(BDREGISTROBTH2025[[#This Row],[NROKARDEX]],BDPADRES[],8,FALSE),"Sin registrado")</f>
        <v>ILDA PIZARRO COPA</v>
      </c>
      <c r="E128" s="1">
        <f>IFERROR(VLOOKUP(BDREGISTROBTH2025[[#This Row],[NROKARDEX]],Tabla3[],12,FALSE),"NO PAGO")</f>
        <v>64173</v>
      </c>
      <c r="F128" s="1" t="str">
        <f t="shared" si="3"/>
        <v>100</v>
      </c>
    </row>
    <row r="129" spans="2:6" x14ac:dyDescent="0.3">
      <c r="B129" s="1">
        <f t="shared" si="4"/>
        <v>123</v>
      </c>
      <c r="D129" t="str">
        <f>IFERROR(VLOOKUP(BDREGISTROBTH2025[[#This Row],[NROKARDEX]],BDPADRES[],8,FALSE),"Sin registrado")</f>
        <v>NERIA  CUBA ROMERO</v>
      </c>
      <c r="E129" s="1">
        <f>IFERROR(VLOOKUP(BDREGISTROBTH2025[[#This Row],[NROKARDEX]],Tabla3[],12,FALSE),"NO PAGO")</f>
        <v>8696</v>
      </c>
      <c r="F129" s="1" t="str">
        <f t="shared" si="3"/>
        <v>100</v>
      </c>
    </row>
    <row r="130" spans="2:6" x14ac:dyDescent="0.3">
      <c r="B130" s="1">
        <f t="shared" si="4"/>
        <v>124</v>
      </c>
      <c r="D130" t="str">
        <f>IFERROR(VLOOKUP(BDREGISTROBTH2025[[#This Row],[NROKARDEX]],BDPADRES[],8,FALSE),"Sin registrado")</f>
        <v>MARIA ISABEL CARABALLO FLORES</v>
      </c>
      <c r="E130" s="1" t="str">
        <f>IFERROR(VLOOKUP(BDREGISTROBTH2025[[#This Row],[NROKARDEX]],Tabla3[],12,FALSE),"NO PAGO")</f>
        <v>NO</v>
      </c>
      <c r="F130" s="1">
        <f t="shared" si="3"/>
        <v>0</v>
      </c>
    </row>
    <row r="131" spans="2:6" x14ac:dyDescent="0.3">
      <c r="B131" s="1">
        <f t="shared" si="4"/>
        <v>125</v>
      </c>
      <c r="D131" t="str">
        <f>IFERROR(VLOOKUP(BDREGISTROBTH2025[[#This Row],[NROKARDEX]],BDPADRES[],8,FALSE),"Sin registrado")</f>
        <v>JACQUELIN LILIAN FIGUEROA SARDINAS</v>
      </c>
      <c r="E131" s="1">
        <f>IFERROR(VLOOKUP(BDREGISTROBTH2025[[#This Row],[NROKARDEX]],Tabla3[],12,FALSE),"NO PAGO")</f>
        <v>82551</v>
      </c>
      <c r="F131" s="1" t="str">
        <f t="shared" si="3"/>
        <v>100</v>
      </c>
    </row>
    <row r="132" spans="2:6" x14ac:dyDescent="0.3">
      <c r="B132" s="1">
        <f t="shared" si="4"/>
        <v>126</v>
      </c>
      <c r="D132" t="str">
        <f>IFERROR(VLOOKUP(BDREGISTROBTH2025[[#This Row],[NROKARDEX]],BDPADRES[],8,FALSE),"Sin registrado")</f>
        <v>MARICELA FLORES GALVEZ</v>
      </c>
      <c r="E132" s="1">
        <f>IFERROR(VLOOKUP(BDREGISTROBTH2025[[#This Row],[NROKARDEX]],Tabla3[],12,FALSE),"NO PAGO")</f>
        <v>8713</v>
      </c>
      <c r="F132" s="1" t="str">
        <f t="shared" si="3"/>
        <v>100</v>
      </c>
    </row>
    <row r="133" spans="2:6" x14ac:dyDescent="0.3">
      <c r="B133" s="1">
        <f t="shared" si="4"/>
        <v>127</v>
      </c>
      <c r="D133" t="str">
        <f>IFERROR(VLOOKUP(BDREGISTROBTH2025[[#This Row],[NROKARDEX]],BDPADRES[],8,FALSE),"Sin registrado")</f>
        <v>YESSICA  PAOLA SILVESTRE CHOQUE</v>
      </c>
      <c r="E133" s="1">
        <f>IFERROR(VLOOKUP(BDREGISTROBTH2025[[#This Row],[NROKARDEX]],Tabla3[],12,FALSE),"NO PAGO")</f>
        <v>56037</v>
      </c>
      <c r="F133" s="1" t="str">
        <f t="shared" si="3"/>
        <v>100</v>
      </c>
    </row>
    <row r="134" spans="2:6" x14ac:dyDescent="0.3">
      <c r="B134" s="1">
        <f t="shared" si="4"/>
        <v>128</v>
      </c>
      <c r="D134" t="str">
        <f>IFERROR(VLOOKUP(BDREGISTROBTH2025[[#This Row],[NROKARDEX]],BDPADRES[],8,FALSE),"Sin registrado")</f>
        <v>ANGELICA CABRERA VEIZAGA</v>
      </c>
      <c r="E134" s="1">
        <f>IFERROR(VLOOKUP(BDREGISTROBTH2025[[#This Row],[NROKARDEX]],Tabla3[],12,FALSE),"NO PAGO")</f>
        <v>8742</v>
      </c>
      <c r="F134" s="1" t="str">
        <f t="shared" si="3"/>
        <v>100</v>
      </c>
    </row>
    <row r="135" spans="2:6" x14ac:dyDescent="0.3">
      <c r="B135" s="1">
        <f t="shared" si="4"/>
        <v>129</v>
      </c>
      <c r="D135" t="str">
        <f>IFERROR(VLOOKUP(BDREGISTROBTH2025[[#This Row],[NROKARDEX]],BDPADRES[],8,FALSE),"Sin registrado")</f>
        <v>MIREYA MARTINEZ VARGAS</v>
      </c>
      <c r="E135" s="1">
        <f>IFERROR(VLOOKUP(BDREGISTROBTH2025[[#This Row],[NROKARDEX]],Tabla3[],12,FALSE),"NO PAGO")</f>
        <v>56104</v>
      </c>
      <c r="F135" s="1" t="str">
        <f t="shared" ref="F135:F198" si="5">IF(E135="NO",0,"100")</f>
        <v>100</v>
      </c>
    </row>
    <row r="136" spans="2:6" x14ac:dyDescent="0.3">
      <c r="B136" s="1">
        <f t="shared" ref="B136:B199" si="6">ROW(A130)</f>
        <v>130</v>
      </c>
      <c r="D136" t="str">
        <f>IFERROR(VLOOKUP(BDREGISTROBTH2025[[#This Row],[NROKARDEX]],BDPADRES[],8,FALSE),"Sin registrado")</f>
        <v>REYNA ESPINOZA LLANOS</v>
      </c>
      <c r="E136" s="1">
        <f>IFERROR(VLOOKUP(BDREGISTROBTH2025[[#This Row],[NROKARDEX]],Tabla3[],12,FALSE),"NO PAGO")</f>
        <v>64181</v>
      </c>
      <c r="F136" s="1" t="str">
        <f t="shared" si="5"/>
        <v>100</v>
      </c>
    </row>
    <row r="137" spans="2:6" x14ac:dyDescent="0.3">
      <c r="B137" s="1">
        <f t="shared" si="6"/>
        <v>131</v>
      </c>
      <c r="D137" t="str">
        <f>IFERROR(VLOOKUP(BDREGISTROBTH2025[[#This Row],[NROKARDEX]],BDPADRES[],8,FALSE),"Sin registrado")</f>
        <v>SANTUSA LLANOS VELASQUEZ</v>
      </c>
      <c r="E137" s="1">
        <f>IFERROR(VLOOKUP(BDREGISTROBTH2025[[#This Row],[NROKARDEX]],Tabla3[],12,FALSE),"NO PAGO")</f>
        <v>8714</v>
      </c>
      <c r="F137" s="1" t="str">
        <f t="shared" si="5"/>
        <v>100</v>
      </c>
    </row>
    <row r="138" spans="2:6" x14ac:dyDescent="0.3">
      <c r="B138" s="1">
        <f t="shared" si="6"/>
        <v>132</v>
      </c>
      <c r="D138" t="str">
        <f>IFERROR(VLOOKUP(BDREGISTROBTH2025[[#This Row],[NROKARDEX]],BDPADRES[],8,FALSE),"Sin registrado")</f>
        <v>LISETH  VEQUI MAMANI</v>
      </c>
      <c r="E138" s="1">
        <f>IFERROR(VLOOKUP(BDREGISTROBTH2025[[#This Row],[NROKARDEX]],Tabla3[],12,FALSE),"NO PAGO")</f>
        <v>82647</v>
      </c>
      <c r="F138" s="1" t="str">
        <f t="shared" si="5"/>
        <v>100</v>
      </c>
    </row>
    <row r="139" spans="2:6" x14ac:dyDescent="0.3">
      <c r="B139" s="1">
        <f t="shared" si="6"/>
        <v>133</v>
      </c>
      <c r="D139" t="str">
        <f>IFERROR(VLOOKUP(BDREGISTROBTH2025[[#This Row],[NROKARDEX]],BDPADRES[],8,FALSE),"Sin registrado")</f>
        <v>HELEN JAEL MONTAÑO CUELLAR</v>
      </c>
      <c r="E139" s="1">
        <f>IFERROR(VLOOKUP(BDREGISTROBTH2025[[#This Row],[NROKARDEX]],Tabla3[],12,FALSE),"NO PAGO")</f>
        <v>64199</v>
      </c>
      <c r="F139" s="1" t="str">
        <f t="shared" si="5"/>
        <v>100</v>
      </c>
    </row>
    <row r="140" spans="2:6" x14ac:dyDescent="0.3">
      <c r="B140" s="1">
        <f t="shared" si="6"/>
        <v>134</v>
      </c>
      <c r="D140" t="str">
        <f>IFERROR(VLOOKUP(BDREGISTROBTH2025[[#This Row],[NROKARDEX]],BDPADRES[],8,FALSE),"Sin registrado")</f>
        <v>ESTHER MAMANI GIRA</v>
      </c>
      <c r="E140" s="1">
        <f>IFERROR(VLOOKUP(BDREGISTROBTH2025[[#This Row],[NROKARDEX]],Tabla3[],12,FALSE),"NO PAGO")</f>
        <v>8551</v>
      </c>
      <c r="F140" s="1" t="str">
        <f t="shared" si="5"/>
        <v>100</v>
      </c>
    </row>
    <row r="141" spans="2:6" x14ac:dyDescent="0.3">
      <c r="B141" s="1">
        <f t="shared" si="6"/>
        <v>135</v>
      </c>
      <c r="D141" t="str">
        <f>IFERROR(VLOOKUP(BDREGISTROBTH2025[[#This Row],[NROKARDEX]],BDPADRES[],8,FALSE),"Sin registrado")</f>
        <v>MARIBEL AGUADO ROJAS</v>
      </c>
      <c r="E141" s="1">
        <f>IFERROR(VLOOKUP(BDREGISTROBTH2025[[#This Row],[NROKARDEX]],Tabla3[],12,FALSE),"NO PAGO")</f>
        <v>64170</v>
      </c>
      <c r="F141" s="1" t="str">
        <f t="shared" si="5"/>
        <v>100</v>
      </c>
    </row>
    <row r="142" spans="2:6" x14ac:dyDescent="0.3">
      <c r="B142" s="1">
        <f t="shared" si="6"/>
        <v>136</v>
      </c>
      <c r="D142" t="str">
        <f>IFERROR(VLOOKUP(BDREGISTROBTH2025[[#This Row],[NROKARDEX]],BDPADRES[],8,FALSE),"Sin registrado")</f>
        <v>YINA YILCANA CASTRO BANEGAS</v>
      </c>
      <c r="E142" s="1">
        <f>IFERROR(VLOOKUP(BDREGISTROBTH2025[[#This Row],[NROKARDEX]],Tabla3[],12,FALSE),"NO PAGO")</f>
        <v>82553</v>
      </c>
      <c r="F142" s="1" t="str">
        <f t="shared" si="5"/>
        <v>100</v>
      </c>
    </row>
    <row r="143" spans="2:6" x14ac:dyDescent="0.3">
      <c r="B143" s="1">
        <f t="shared" si="6"/>
        <v>137</v>
      </c>
      <c r="D143" t="str">
        <f>IFERROR(VLOOKUP(BDREGISTROBTH2025[[#This Row],[NROKARDEX]],BDPADRES[],8,FALSE),"Sin registrado")</f>
        <v>MARIA ISABEL VELASQUEZ MORALES</v>
      </c>
      <c r="E143" s="1">
        <f>IFERROR(VLOOKUP(BDREGISTROBTH2025[[#This Row],[NROKARDEX]],Tabla3[],12,FALSE),"NO PAGO")</f>
        <v>56293</v>
      </c>
      <c r="F143" s="1" t="str">
        <f t="shared" si="5"/>
        <v>100</v>
      </c>
    </row>
    <row r="144" spans="2:6" x14ac:dyDescent="0.3">
      <c r="B144" s="1">
        <f t="shared" si="6"/>
        <v>138</v>
      </c>
      <c r="D144" t="str">
        <f>IFERROR(VLOOKUP(BDREGISTROBTH2025[[#This Row],[NROKARDEX]],BDPADRES[],8,FALSE),"Sin registrado")</f>
        <v>MARY LUZ LEIVA MARTINEZ</v>
      </c>
      <c r="E144" s="1">
        <f>IFERROR(VLOOKUP(BDREGISTROBTH2025[[#This Row],[NROKARDEX]],Tabla3[],12,FALSE),"NO PAGO")</f>
        <v>56289</v>
      </c>
      <c r="F144" s="1" t="str">
        <f t="shared" si="5"/>
        <v>100</v>
      </c>
    </row>
    <row r="145" spans="2:6" x14ac:dyDescent="0.3">
      <c r="B145" s="1">
        <f t="shared" si="6"/>
        <v>139</v>
      </c>
      <c r="D145" t="str">
        <f>IFERROR(VLOOKUP(BDREGISTROBTH2025[[#This Row],[NROKARDEX]],BDPADRES[],8,FALSE),"Sin registrado")</f>
        <v>JUANA CONDORI PATZI</v>
      </c>
      <c r="E145" s="1">
        <f>IFERROR(VLOOKUP(BDREGISTROBTH2025[[#This Row],[NROKARDEX]],Tabla3[],12,FALSE),"NO PAGO")</f>
        <v>82564</v>
      </c>
      <c r="F145" s="1" t="str">
        <f t="shared" si="5"/>
        <v>100</v>
      </c>
    </row>
    <row r="146" spans="2:6" x14ac:dyDescent="0.3">
      <c r="B146" s="1">
        <f t="shared" si="6"/>
        <v>140</v>
      </c>
      <c r="D146" t="str">
        <f>IFERROR(VLOOKUP(BDREGISTROBTH2025[[#This Row],[NROKARDEX]],BDPADRES[],8,FALSE),"Sin registrado")</f>
        <v>FIORELA PADILLA MONTAÑO</v>
      </c>
      <c r="E146" s="1">
        <f>IFERROR(VLOOKUP(BDREGISTROBTH2025[[#This Row],[NROKARDEX]],Tabla3[],12,FALSE),"NO PAGO")</f>
        <v>8663</v>
      </c>
      <c r="F146" s="1" t="str">
        <f t="shared" si="5"/>
        <v>100</v>
      </c>
    </row>
    <row r="147" spans="2:6" x14ac:dyDescent="0.3">
      <c r="B147" s="1">
        <f t="shared" si="6"/>
        <v>141</v>
      </c>
      <c r="D147" t="str">
        <f>IFERROR(VLOOKUP(BDREGISTROBTH2025[[#This Row],[NROKARDEX]],BDPADRES[],8,FALSE),"Sin registrado")</f>
        <v>MIRTA JACINTA ASILLO MAMANI</v>
      </c>
      <c r="E147" s="1" t="str">
        <f>IFERROR(VLOOKUP(BDREGISTROBTH2025[[#This Row],[NROKARDEX]],Tabla3[],12,FALSE),"NO PAGO")</f>
        <v>NO</v>
      </c>
      <c r="F147" s="1">
        <f t="shared" si="5"/>
        <v>0</v>
      </c>
    </row>
    <row r="148" spans="2:6" x14ac:dyDescent="0.3">
      <c r="B148" s="1">
        <f t="shared" si="6"/>
        <v>142</v>
      </c>
      <c r="D148" t="str">
        <f>IFERROR(VLOOKUP(BDREGISTROBTH2025[[#This Row],[NROKARDEX]],BDPADRES[],8,FALSE),"Sin registrado")</f>
        <v>MARIA ESTEFANI QUIROZ GONZALES</v>
      </c>
      <c r="E148" s="1">
        <f>IFERROR(VLOOKUP(BDREGISTROBTH2025[[#This Row],[NROKARDEX]],Tabla3[],12,FALSE),"NO PAGO")</f>
        <v>56043</v>
      </c>
      <c r="F148" s="1" t="str">
        <f t="shared" si="5"/>
        <v>100</v>
      </c>
    </row>
    <row r="149" spans="2:6" x14ac:dyDescent="0.3">
      <c r="B149" s="1">
        <f t="shared" si="6"/>
        <v>143</v>
      </c>
      <c r="D149" t="str">
        <f>IFERROR(VLOOKUP(BDREGISTROBTH2025[[#This Row],[NROKARDEX]],BDPADRES[],8,FALSE),"Sin registrado")</f>
        <v>FAUSTA CONDORI YARHUI</v>
      </c>
      <c r="E149" s="1">
        <f>IFERROR(VLOOKUP(BDREGISTROBTH2025[[#This Row],[NROKARDEX]],Tabla3[],12,FALSE),"NO PAGO")</f>
        <v>82558</v>
      </c>
      <c r="F149" s="1" t="str">
        <f t="shared" si="5"/>
        <v>100</v>
      </c>
    </row>
    <row r="150" spans="2:6" x14ac:dyDescent="0.3">
      <c r="B150" s="1">
        <f t="shared" si="6"/>
        <v>144</v>
      </c>
      <c r="D150" t="str">
        <f>IFERROR(VLOOKUP(BDREGISTROBTH2025[[#This Row],[NROKARDEX]],BDPADRES[],8,FALSE),"Sin registrado")</f>
        <v>SENAIDA MARTINEZ CHOQUE</v>
      </c>
      <c r="E150" s="1" t="str">
        <f>IFERROR(VLOOKUP(BDREGISTROBTH2025[[#This Row],[NROKARDEX]],Tabla3[],12,FALSE),"NO PAGO")</f>
        <v>82602
56034</v>
      </c>
      <c r="F150" s="1" t="str">
        <f t="shared" si="5"/>
        <v>100</v>
      </c>
    </row>
    <row r="151" spans="2:6" x14ac:dyDescent="0.3">
      <c r="B151" s="1">
        <f t="shared" si="6"/>
        <v>145</v>
      </c>
      <c r="D151" t="str">
        <f>IFERROR(VLOOKUP(BDREGISTROBTH2025[[#This Row],[NROKARDEX]],BDPADRES[],8,FALSE),"Sin registrado")</f>
        <v>ESTHER MORON YEPEZ</v>
      </c>
      <c r="E151" s="1">
        <f>IFERROR(VLOOKUP(BDREGISTROBTH2025[[#This Row],[NROKARDEX]],Tabla3[],12,FALSE),"NO PAGO")</f>
        <v>82557</v>
      </c>
      <c r="F151" s="1" t="str">
        <f t="shared" si="5"/>
        <v>100</v>
      </c>
    </row>
    <row r="152" spans="2:6" x14ac:dyDescent="0.3">
      <c r="B152" s="1">
        <f t="shared" si="6"/>
        <v>146</v>
      </c>
      <c r="D152" t="str">
        <f>IFERROR(VLOOKUP(BDREGISTROBTH2025[[#This Row],[NROKARDEX]],BDPADRES[],8,FALSE),"Sin registrado")</f>
        <v>LAURA OLLISCO SALAZAR</v>
      </c>
      <c r="E152" s="1">
        <f>IFERROR(VLOOKUP(BDREGISTROBTH2025[[#This Row],[NROKARDEX]],Tabla3[],12,FALSE),"NO PAGO")</f>
        <v>8664</v>
      </c>
      <c r="F152" s="1" t="str">
        <f t="shared" si="5"/>
        <v>100</v>
      </c>
    </row>
    <row r="153" spans="2:6" x14ac:dyDescent="0.3">
      <c r="B153" s="1">
        <f t="shared" si="6"/>
        <v>147</v>
      </c>
      <c r="D153" t="str">
        <f>IFERROR(VLOOKUP(BDREGISTROBTH2025[[#This Row],[NROKARDEX]],BDPADRES[],8,FALSE),"Sin registrado")</f>
        <v>RAQUEL FERNANDEZ CESPEDES</v>
      </c>
      <c r="E153" s="1">
        <f>IFERROR(VLOOKUP(BDREGISTROBTH2025[[#This Row],[NROKARDEX]],Tabla3[],12,FALSE),"NO PAGO")</f>
        <v>56017</v>
      </c>
      <c r="F153" s="1" t="str">
        <f t="shared" si="5"/>
        <v>100</v>
      </c>
    </row>
    <row r="154" spans="2:6" x14ac:dyDescent="0.3">
      <c r="B154" s="1">
        <f t="shared" si="6"/>
        <v>148</v>
      </c>
      <c r="D154" t="str">
        <f>IFERROR(VLOOKUP(BDREGISTROBTH2025[[#This Row],[NROKARDEX]],BDPADRES[],8,FALSE),"Sin registrado")</f>
        <v>MARGARITA SARDAN ROMERO</v>
      </c>
      <c r="E154" s="1">
        <f>IFERROR(VLOOKUP(BDREGISTROBTH2025[[#This Row],[NROKARDEX]],Tabla3[],12,FALSE),"NO PAGO")</f>
        <v>56260</v>
      </c>
      <c r="F154" s="1" t="str">
        <f t="shared" si="5"/>
        <v>100</v>
      </c>
    </row>
    <row r="155" spans="2:6" x14ac:dyDescent="0.3">
      <c r="B155" s="1">
        <f t="shared" si="6"/>
        <v>149</v>
      </c>
      <c r="D155" t="str">
        <f>IFERROR(VLOOKUP(BDREGISTROBTH2025[[#This Row],[NROKARDEX]],BDPADRES[],8,FALSE),"Sin registrado")</f>
        <v>KATHERINE TERCEROS LINO</v>
      </c>
      <c r="E155" s="1">
        <f>IFERROR(VLOOKUP(BDREGISTROBTH2025[[#This Row],[NROKARDEX]],Tabla3[],12,FALSE),"NO PAGO")</f>
        <v>8723</v>
      </c>
      <c r="F155" s="1" t="str">
        <f t="shared" si="5"/>
        <v>100</v>
      </c>
    </row>
    <row r="156" spans="2:6" x14ac:dyDescent="0.3">
      <c r="B156" s="1">
        <f t="shared" si="6"/>
        <v>150</v>
      </c>
      <c r="D156" t="str">
        <f>IFERROR(VLOOKUP(BDREGISTROBTH2025[[#This Row],[NROKARDEX]],BDPADRES[],8,FALSE),"Sin registrado")</f>
        <v>NELVY QUISPE LOPEZ</v>
      </c>
      <c r="E156" s="1">
        <f>IFERROR(VLOOKUP(BDREGISTROBTH2025[[#This Row],[NROKARDEX]],Tabla3[],12,FALSE),"NO PAGO")</f>
        <v>56255</v>
      </c>
      <c r="F156" s="1" t="str">
        <f t="shared" si="5"/>
        <v>100</v>
      </c>
    </row>
    <row r="157" spans="2:6" x14ac:dyDescent="0.3">
      <c r="B157" s="1">
        <f t="shared" si="6"/>
        <v>151</v>
      </c>
      <c r="D157" t="str">
        <f>IFERROR(VLOOKUP(BDREGISTROBTH2025[[#This Row],[NROKARDEX]],BDPADRES[],8,FALSE),"Sin registrado")</f>
        <v>SAIDA MENDOZA FLORES</v>
      </c>
      <c r="E157" s="1">
        <f>IFERROR(VLOOKUP(BDREGISTROBTH2025[[#This Row],[NROKARDEX]],Tabla3[],12,FALSE),"NO PAGO")</f>
        <v>82627</v>
      </c>
      <c r="F157" s="1" t="str">
        <f t="shared" si="5"/>
        <v>100</v>
      </c>
    </row>
    <row r="158" spans="2:6" x14ac:dyDescent="0.3">
      <c r="B158" s="1">
        <f t="shared" si="6"/>
        <v>152</v>
      </c>
      <c r="D158" t="str">
        <f>IFERROR(VLOOKUP(BDREGISTROBTH2025[[#This Row],[NROKARDEX]],BDPADRES[],8,FALSE),"Sin registrado")</f>
        <v>MARTINA BARJA CACERES</v>
      </c>
      <c r="E158" s="1">
        <f>IFERROR(VLOOKUP(BDREGISTROBTH2025[[#This Row],[NROKARDEX]],Tabla3[],12,FALSE),"NO PAGO")</f>
        <v>64184</v>
      </c>
      <c r="F158" s="1" t="str">
        <f t="shared" si="5"/>
        <v>100</v>
      </c>
    </row>
    <row r="159" spans="2:6" x14ac:dyDescent="0.3">
      <c r="B159" s="1">
        <f t="shared" si="6"/>
        <v>153</v>
      </c>
      <c r="D159" t="str">
        <f>IFERROR(VLOOKUP(BDREGISTROBTH2025[[#This Row],[NROKARDEX]],BDPADRES[],8,FALSE),"Sin registrado")</f>
        <v>ELENA JUDITH AGUADO TORREZ</v>
      </c>
      <c r="E159" s="1">
        <f>IFERROR(VLOOKUP(BDREGISTROBTH2025[[#This Row],[NROKARDEX]],Tabla3[],12,FALSE),"NO PAGO")</f>
        <v>8715</v>
      </c>
      <c r="F159" s="1" t="str">
        <f t="shared" si="5"/>
        <v>100</v>
      </c>
    </row>
    <row r="160" spans="2:6" x14ac:dyDescent="0.3">
      <c r="B160" s="1">
        <f t="shared" si="6"/>
        <v>154</v>
      </c>
      <c r="D160" t="str">
        <f>IFERROR(VLOOKUP(BDREGISTROBTH2025[[#This Row],[NROKARDEX]],BDPADRES[],8,FALSE),"Sin registrado")</f>
        <v>SEVERA RIVADENEIRA CRUZ</v>
      </c>
      <c r="E160" s="1">
        <f>IFERROR(VLOOKUP(BDREGISTROBTH2025[[#This Row],[NROKARDEX]],Tabla3[],12,FALSE),"NO PAGO")</f>
        <v>56013</v>
      </c>
      <c r="F160" s="1" t="str">
        <f t="shared" si="5"/>
        <v>100</v>
      </c>
    </row>
    <row r="161" spans="2:6" x14ac:dyDescent="0.3">
      <c r="B161" s="1">
        <f t="shared" si="6"/>
        <v>155</v>
      </c>
      <c r="D161" t="str">
        <f>IFERROR(VLOOKUP(BDREGISTROBTH2025[[#This Row],[NROKARDEX]],BDPADRES[],8,FALSE),"Sin registrado")</f>
        <v>ABIGAIL DURAN FLORES</v>
      </c>
      <c r="E161" s="1">
        <f>IFERROR(VLOOKUP(BDREGISTROBTH2025[[#This Row],[NROKARDEX]],Tabla3[],12,FALSE),"NO PAGO")</f>
        <v>8561</v>
      </c>
      <c r="F161" s="1" t="str">
        <f t="shared" si="5"/>
        <v>100</v>
      </c>
    </row>
    <row r="162" spans="2:6" x14ac:dyDescent="0.3">
      <c r="B162" s="1">
        <f t="shared" si="6"/>
        <v>156</v>
      </c>
      <c r="D162" t="str">
        <f>IFERROR(VLOOKUP(BDREGISTROBTH2025[[#This Row],[NROKARDEX]],BDPADRES[],8,FALSE),"Sin registrado")</f>
        <v>GRACIELA ORELLANA RISUEÑO</v>
      </c>
      <c r="E162" s="1">
        <f>IFERROR(VLOOKUP(BDREGISTROBTH2025[[#This Row],[NROKARDEX]],Tabla3[],12,FALSE),"NO PAGO")</f>
        <v>56272</v>
      </c>
      <c r="F162" s="1" t="str">
        <f t="shared" si="5"/>
        <v>100</v>
      </c>
    </row>
    <row r="163" spans="2:6" x14ac:dyDescent="0.3">
      <c r="B163" s="1">
        <f t="shared" si="6"/>
        <v>157</v>
      </c>
      <c r="D163" t="str">
        <f>IFERROR(VLOOKUP(BDREGISTROBTH2025[[#This Row],[NROKARDEX]],BDPADRES[],8,FALSE),"Sin registrado")</f>
        <v>ELBA ROJAS MORALES</v>
      </c>
      <c r="E163" s="1">
        <f>IFERROR(VLOOKUP(BDREGISTROBTH2025[[#This Row],[NROKARDEX]],Tabla3[],12,FALSE),"NO PAGO")</f>
        <v>82561</v>
      </c>
      <c r="F163" s="1" t="str">
        <f t="shared" si="5"/>
        <v>100</v>
      </c>
    </row>
    <row r="164" spans="2:6" x14ac:dyDescent="0.3">
      <c r="B164" s="1">
        <f t="shared" si="6"/>
        <v>158</v>
      </c>
      <c r="D164" t="str">
        <f>IFERROR(VLOOKUP(BDREGISTROBTH2025[[#This Row],[NROKARDEX]],BDPADRES[],8,FALSE),"Sin registrado")</f>
        <v>Sin registrado</v>
      </c>
      <c r="E164" s="1" t="str">
        <f>IFERROR(VLOOKUP(BDREGISTROBTH2025[[#This Row],[NROKARDEX]],Tabla3[],12,FALSE),"NO PAGO")</f>
        <v>NO PAGO</v>
      </c>
      <c r="F164" s="1">
        <v>0</v>
      </c>
    </row>
    <row r="165" spans="2:6" x14ac:dyDescent="0.3">
      <c r="B165" s="1">
        <f t="shared" si="6"/>
        <v>159</v>
      </c>
      <c r="D165" t="str">
        <f>IFERROR(VLOOKUP(BDREGISTROBTH2025[[#This Row],[NROKARDEX]],BDPADRES[],8,FALSE),"Sin registrado")</f>
        <v>CLARITA SLEN ALVAREZ ROJAS</v>
      </c>
      <c r="E165" s="1">
        <f>IFERROR(VLOOKUP(BDREGISTROBTH2025[[#This Row],[NROKARDEX]],Tabla3[],12,FALSE),"NO PAGO")</f>
        <v>8718</v>
      </c>
      <c r="F165" s="1" t="str">
        <f t="shared" si="5"/>
        <v>100</v>
      </c>
    </row>
    <row r="166" spans="2:6" x14ac:dyDescent="0.3">
      <c r="B166" s="1">
        <f t="shared" si="6"/>
        <v>160</v>
      </c>
      <c r="D166" t="str">
        <f>IFERROR(VLOOKUP(BDREGISTROBTH2025[[#This Row],[NROKARDEX]],BDPADRES[],8,FALSE),"Sin registrado")</f>
        <v>ANA EVELIN ESPINOZA FARREL</v>
      </c>
      <c r="E166" s="1">
        <f>IFERROR(VLOOKUP(BDREGISTROBTH2025[[#This Row],[NROKARDEX]],Tabla3[],12,FALSE),"NO PAGO")</f>
        <v>8728</v>
      </c>
      <c r="F166" s="1" t="str">
        <f t="shared" si="5"/>
        <v>100</v>
      </c>
    </row>
    <row r="167" spans="2:6" x14ac:dyDescent="0.3">
      <c r="B167" s="1">
        <f t="shared" si="6"/>
        <v>161</v>
      </c>
      <c r="D167" t="str">
        <f>IFERROR(VLOOKUP(BDREGISTROBTH2025[[#This Row],[NROKARDEX]],BDPADRES[],8,FALSE),"Sin registrado")</f>
        <v>LUANA WILMA ZAMBRANA ARANHA</v>
      </c>
      <c r="E167" s="1">
        <f>IFERROR(VLOOKUP(BDREGISTROBTH2025[[#This Row],[NROKARDEX]],Tabla3[],12,FALSE),"NO PAGO")</f>
        <v>8666</v>
      </c>
      <c r="F167" s="1" t="str">
        <f t="shared" si="5"/>
        <v>100</v>
      </c>
    </row>
    <row r="168" spans="2:6" x14ac:dyDescent="0.3">
      <c r="B168" s="1">
        <f t="shared" si="6"/>
        <v>162</v>
      </c>
      <c r="D168" t="str">
        <f>IFERROR(VLOOKUP(BDREGISTROBTH2025[[#This Row],[NROKARDEX]],BDPADRES[],8,FALSE),"Sin registrado")</f>
        <v>MIRIAM  CUETO SORUCO</v>
      </c>
      <c r="E168" s="1">
        <f>IFERROR(VLOOKUP(BDREGISTROBTH2025[[#This Row],[NROKARDEX]],Tabla3[],12,FALSE),"NO PAGO")</f>
        <v>8749</v>
      </c>
      <c r="F168" s="1" t="str">
        <f t="shared" si="5"/>
        <v>100</v>
      </c>
    </row>
    <row r="169" spans="2:6" x14ac:dyDescent="0.3">
      <c r="B169" s="1">
        <f t="shared" si="6"/>
        <v>163</v>
      </c>
      <c r="D169" t="str">
        <f>IFERROR(VLOOKUP(BDREGISTROBTH2025[[#This Row],[NROKARDEX]],BDPADRES[],8,FALSE),"Sin registrado")</f>
        <v>ROSA LENNY ZAPATA RODRIGUEZ</v>
      </c>
      <c r="E169" s="1" t="str">
        <f>IFERROR(VLOOKUP(BDREGISTROBTH2025[[#This Row],[NROKARDEX]],Tabla3[],12,FALSE),"NO PAGO")</f>
        <v>NO</v>
      </c>
      <c r="F169" s="1">
        <f t="shared" si="5"/>
        <v>0</v>
      </c>
    </row>
    <row r="170" spans="2:6" x14ac:dyDescent="0.3">
      <c r="B170" s="1">
        <f t="shared" si="6"/>
        <v>164</v>
      </c>
      <c r="D170" t="str">
        <f>IFERROR(VLOOKUP(BDREGISTROBTH2025[[#This Row],[NROKARDEX]],BDPADRES[],8,FALSE),"Sin registrado")</f>
        <v>MARITZA PEREYRA CABRERA</v>
      </c>
      <c r="E170" s="1">
        <f>IFERROR(VLOOKUP(BDREGISTROBTH2025[[#This Row],[NROKARDEX]],Tabla3[],12,FALSE),"NO PAGO")</f>
        <v>82560</v>
      </c>
      <c r="F170" s="1" t="str">
        <f t="shared" si="5"/>
        <v>100</v>
      </c>
    </row>
    <row r="171" spans="2:6" x14ac:dyDescent="0.3">
      <c r="B171" s="1">
        <f t="shared" si="6"/>
        <v>165</v>
      </c>
      <c r="D171" t="str">
        <f>IFERROR(VLOOKUP(BDREGISTROBTH2025[[#This Row],[NROKARDEX]],BDPADRES[],8,FALSE),"Sin registrado")</f>
        <v>NOHEMI GUZMAN GUZMAN</v>
      </c>
      <c r="E171" s="1" t="str">
        <f>IFERROR(VLOOKUP(BDREGISTROBTH2025[[#This Row],[NROKARDEX]],Tabla3[],12,FALSE),"NO PAGO")</f>
        <v>8657
56273</v>
      </c>
      <c r="F171" s="1" t="str">
        <f t="shared" si="5"/>
        <v>100</v>
      </c>
    </row>
    <row r="172" spans="2:6" x14ac:dyDescent="0.3">
      <c r="B172" s="1">
        <f t="shared" si="6"/>
        <v>166</v>
      </c>
      <c r="D172" t="str">
        <f>IFERROR(VLOOKUP(BDREGISTROBTH2025[[#This Row],[NROKARDEX]],BDPADRES[],8,FALSE),"Sin registrado")</f>
        <v>PAULINA SANDOVAL GONZALES</v>
      </c>
      <c r="E172" s="1">
        <f>IFERROR(VLOOKUP(BDREGISTROBTH2025[[#This Row],[NROKARDEX]],Tabla3[],12,FALSE),"NO PAGO")</f>
        <v>82628</v>
      </c>
      <c r="F172" s="1" t="str">
        <f t="shared" si="5"/>
        <v>100</v>
      </c>
    </row>
    <row r="173" spans="2:6" x14ac:dyDescent="0.3">
      <c r="B173" s="1">
        <f t="shared" si="6"/>
        <v>167</v>
      </c>
      <c r="D173" t="str">
        <f>IFERROR(VLOOKUP(BDREGISTROBTH2025[[#This Row],[NROKARDEX]],BDPADRES[],8,FALSE),"Sin registrado")</f>
        <v>FRANCISCA  CRUZ ARAUZ</v>
      </c>
      <c r="E173" s="1">
        <f>IFERROR(VLOOKUP(BDREGISTROBTH2025[[#This Row],[NROKARDEX]],Tabla3[],12,FALSE),"NO PAGO")</f>
        <v>64175</v>
      </c>
      <c r="F173" s="1" t="str">
        <f t="shared" si="5"/>
        <v>100</v>
      </c>
    </row>
    <row r="174" spans="2:6" x14ac:dyDescent="0.3">
      <c r="B174" s="1">
        <f t="shared" si="6"/>
        <v>168</v>
      </c>
      <c r="D174" t="str">
        <f>IFERROR(VLOOKUP(BDREGISTROBTH2025[[#This Row],[NROKARDEX]],BDPADRES[],8,FALSE),"Sin registrado")</f>
        <v>LEANDRA JOSE ROJAS</v>
      </c>
      <c r="E174" s="1">
        <f>IFERROR(VLOOKUP(BDREGISTROBTH2025[[#This Row],[NROKARDEX]],Tabla3[],12,FALSE),"NO PAGO")</f>
        <v>8704</v>
      </c>
      <c r="F174" s="1" t="str">
        <f t="shared" si="5"/>
        <v>100</v>
      </c>
    </row>
    <row r="175" spans="2:6" x14ac:dyDescent="0.3">
      <c r="B175" s="1">
        <f t="shared" si="6"/>
        <v>169</v>
      </c>
      <c r="D175" t="str">
        <f>IFERROR(VLOOKUP(BDREGISTROBTH2025[[#This Row],[NROKARDEX]],BDPADRES[],8,FALSE),"Sin registrado")</f>
        <v>DIANA RAPU NOZA</v>
      </c>
      <c r="E175" s="1">
        <f>IFERROR(VLOOKUP(BDREGISTROBTH2025[[#This Row],[NROKARDEX]],Tabla3[],12,FALSE),"NO PAGO")</f>
        <v>8661</v>
      </c>
      <c r="F175" s="1" t="str">
        <f t="shared" si="5"/>
        <v>100</v>
      </c>
    </row>
    <row r="176" spans="2:6" x14ac:dyDescent="0.3">
      <c r="B176" s="1">
        <f t="shared" si="6"/>
        <v>170</v>
      </c>
      <c r="D176" t="str">
        <f>IFERROR(VLOOKUP(BDREGISTROBTH2025[[#This Row],[NROKARDEX]],BDPADRES[],8,FALSE),"Sin registrado")</f>
        <v>BENITA TECO MORON</v>
      </c>
      <c r="E176" s="1">
        <f>IFERROR(VLOOKUP(BDREGISTROBTH2025[[#This Row],[NROKARDEX]],Tabla3[],12,FALSE),"NO PAGO")</f>
        <v>8745</v>
      </c>
      <c r="F176" s="1" t="str">
        <f t="shared" si="5"/>
        <v>100</v>
      </c>
    </row>
    <row r="177" spans="2:6" x14ac:dyDescent="0.3">
      <c r="B177" s="1">
        <f t="shared" si="6"/>
        <v>171</v>
      </c>
      <c r="D177" t="str">
        <f>IFERROR(VLOOKUP(BDREGISTROBTH2025[[#This Row],[NROKARDEX]],BDPADRES[],8,FALSE),"Sin registrado")</f>
        <v>MARIELA PEREZ MANCILLA</v>
      </c>
      <c r="E177" s="1">
        <f>IFERROR(VLOOKUP(BDREGISTROBTH2025[[#This Row],[NROKARDEX]],Tabla3[],12,FALSE),"NO PAGO")</f>
        <v>8598</v>
      </c>
      <c r="F177" s="1" t="str">
        <f t="shared" si="5"/>
        <v>100</v>
      </c>
    </row>
    <row r="178" spans="2:6" x14ac:dyDescent="0.3">
      <c r="B178" s="1">
        <f t="shared" si="6"/>
        <v>172</v>
      </c>
      <c r="D178" t="str">
        <f>IFERROR(VLOOKUP(BDREGISTROBTH2025[[#This Row],[NROKARDEX]],BDPADRES[],8,FALSE),"Sin registrado")</f>
        <v>VICTORIA FLORES MENDOZA</v>
      </c>
      <c r="E178" s="1">
        <f>IFERROR(VLOOKUP(BDREGISTROBTH2025[[#This Row],[NROKARDEX]],Tabla3[],12,FALSE),"NO PAGO")</f>
        <v>64168</v>
      </c>
      <c r="F178" s="1" t="str">
        <f t="shared" si="5"/>
        <v>100</v>
      </c>
    </row>
    <row r="179" spans="2:6" x14ac:dyDescent="0.3">
      <c r="B179" s="1">
        <f t="shared" si="6"/>
        <v>173</v>
      </c>
      <c r="D179" t="str">
        <f>IFERROR(VLOOKUP(BDREGISTROBTH2025[[#This Row],[NROKARDEX]],BDPADRES[],8,FALSE),"Sin registrado")</f>
        <v>CLAUDIA JHANET CARRISALES GUTIERRES</v>
      </c>
      <c r="E179" s="1">
        <f>IFERROR(VLOOKUP(BDREGISTROBTH2025[[#This Row],[NROKARDEX]],Tabla3[],12,FALSE),"NO PAGO")</f>
        <v>82563</v>
      </c>
      <c r="F179" s="1" t="str">
        <f t="shared" si="5"/>
        <v>100</v>
      </c>
    </row>
    <row r="180" spans="2:6" x14ac:dyDescent="0.3">
      <c r="B180" s="1">
        <f t="shared" si="6"/>
        <v>174</v>
      </c>
      <c r="D180" t="str">
        <f>IFERROR(VLOOKUP(BDREGISTROBTH2025[[#This Row],[NROKARDEX]],BDPADRES[],8,FALSE),"Sin registrado")</f>
        <v>YOSELIN MERCADO GONZALES</v>
      </c>
      <c r="E180" s="1" t="str">
        <f>IFERROR(VLOOKUP(BDREGISTROBTH2025[[#This Row],[NROKARDEX]],Tabla3[],12,FALSE),"NO PAGO")</f>
        <v>NO</v>
      </c>
      <c r="F180" s="1">
        <f t="shared" si="5"/>
        <v>0</v>
      </c>
    </row>
    <row r="181" spans="2:6" x14ac:dyDescent="0.3">
      <c r="B181" s="1">
        <f t="shared" si="6"/>
        <v>175</v>
      </c>
      <c r="D181" t="str">
        <f>IFERROR(VLOOKUP(BDREGISTROBTH2025[[#This Row],[NROKARDEX]],BDPADRES[],8,FALSE),"Sin registrado")</f>
        <v>ELISABED MAMANI ANCASI</v>
      </c>
      <c r="E181" s="1" t="str">
        <f>IFERROR(VLOOKUP(BDREGISTROBTH2025[[#This Row],[NROKARDEX]],Tabla3[],12,FALSE),"NO PAGO")</f>
        <v>82556
8746</v>
      </c>
      <c r="F181" s="1" t="str">
        <f t="shared" si="5"/>
        <v>100</v>
      </c>
    </row>
    <row r="182" spans="2:6" x14ac:dyDescent="0.3">
      <c r="B182" s="1">
        <f t="shared" si="6"/>
        <v>176</v>
      </c>
      <c r="D182" t="str">
        <f>IFERROR(VLOOKUP(BDREGISTROBTH2025[[#This Row],[NROKARDEX]],BDPADRES[],8,FALSE),"Sin registrado")</f>
        <v>ELIZABETH AVILA ORTUÑO</v>
      </c>
      <c r="E182" s="1">
        <f>IFERROR(VLOOKUP(BDREGISTROBTH2025[[#This Row],[NROKARDEX]],Tabla3[],12,FALSE),"NO PAGO")</f>
        <v>8653</v>
      </c>
      <c r="F182" s="1" t="str">
        <f t="shared" si="5"/>
        <v>100</v>
      </c>
    </row>
    <row r="183" spans="2:6" x14ac:dyDescent="0.3">
      <c r="B183" s="1">
        <f t="shared" si="6"/>
        <v>177</v>
      </c>
      <c r="D183" t="str">
        <f>IFERROR(VLOOKUP(BDREGISTROBTH2025[[#This Row],[NROKARDEX]],BDPADRES[],8,FALSE),"Sin registrado")</f>
        <v>CARLA PATRICIA LLANOS ESCOBAR</v>
      </c>
      <c r="E183" s="1">
        <f>IFERROR(VLOOKUP(BDREGISTROBTH2025[[#This Row],[NROKARDEX]],Tabla3[],12,FALSE),"NO PAGO")</f>
        <v>8700</v>
      </c>
      <c r="F183" s="1" t="str">
        <f t="shared" si="5"/>
        <v>100</v>
      </c>
    </row>
    <row r="184" spans="2:6" x14ac:dyDescent="0.3">
      <c r="B184" s="1">
        <f t="shared" si="6"/>
        <v>178</v>
      </c>
      <c r="D184" t="str">
        <f>IFERROR(VLOOKUP(BDREGISTROBTH2025[[#This Row],[NROKARDEX]],BDPADRES[],8,FALSE),"Sin registrado")</f>
        <v>JULIETA MOLLO CONDORI</v>
      </c>
      <c r="E184" s="1">
        <f>IFERROR(VLOOKUP(BDREGISTROBTH2025[[#This Row],[NROKARDEX]],Tabla3[],12,FALSE),"NO PAGO")</f>
        <v>56036</v>
      </c>
      <c r="F184" s="1" t="str">
        <f t="shared" si="5"/>
        <v>100</v>
      </c>
    </row>
    <row r="185" spans="2:6" x14ac:dyDescent="0.3">
      <c r="B185" s="1">
        <f t="shared" si="6"/>
        <v>179</v>
      </c>
      <c r="D185" t="str">
        <f>IFERROR(VLOOKUP(BDREGISTROBTH2025[[#This Row],[NROKARDEX]],BDPADRES[],8,FALSE),"Sin registrado")</f>
        <v>ELEONORA MAMANI RODRIGUEZ</v>
      </c>
      <c r="E185" s="1">
        <f>IFERROR(VLOOKUP(BDREGISTROBTH2025[[#This Row],[NROKARDEX]],Tabla3[],12,FALSE),"NO PAGO")</f>
        <v>82565</v>
      </c>
      <c r="F185" s="1" t="str">
        <f t="shared" si="5"/>
        <v>100</v>
      </c>
    </row>
    <row r="186" spans="2:6" x14ac:dyDescent="0.3">
      <c r="B186" s="1">
        <f t="shared" si="6"/>
        <v>180</v>
      </c>
      <c r="D186" t="str">
        <f>IFERROR(VLOOKUP(BDREGISTROBTH2025[[#This Row],[NROKARDEX]],BDPADRES[],8,FALSE),"Sin registrado")</f>
        <v>FILOMENA RODRIGUEZ MORALES</v>
      </c>
      <c r="E186" s="1">
        <f>IFERROR(VLOOKUP(BDREGISTROBTH2025[[#This Row],[NROKARDEX]],Tabla3[],12,FALSE),"NO PAGO")</f>
        <v>56269</v>
      </c>
      <c r="F186" s="1" t="str">
        <f t="shared" si="5"/>
        <v>100</v>
      </c>
    </row>
    <row r="187" spans="2:6" x14ac:dyDescent="0.3">
      <c r="B187" s="1">
        <f t="shared" si="6"/>
        <v>181</v>
      </c>
      <c r="D187" t="str">
        <f>IFERROR(VLOOKUP(BDREGISTROBTH2025[[#This Row],[NROKARDEX]],BDPADRES[],8,FALSE),"Sin registrado")</f>
        <v>YAQUELIN CHAVEZ AYAVIRI</v>
      </c>
      <c r="E187" s="1">
        <f>IFERROR(VLOOKUP(BDREGISTROBTH2025[[#This Row],[NROKARDEX]],Tabla3[],12,FALSE),"NO PAGO")</f>
        <v>82555</v>
      </c>
      <c r="F187" s="1" t="str">
        <f t="shared" si="5"/>
        <v>100</v>
      </c>
    </row>
    <row r="188" spans="2:6" x14ac:dyDescent="0.3">
      <c r="B188" s="1">
        <f t="shared" si="6"/>
        <v>182</v>
      </c>
      <c r="D188" t="str">
        <f>IFERROR(VLOOKUP(BDREGISTROBTH2025[[#This Row],[NROKARDEX]],BDPADRES[],8,FALSE),"Sin registrado")</f>
        <v>FRANCISCA  HERRERA ANDRADE</v>
      </c>
      <c r="E188" s="1">
        <f>IFERROR(VLOOKUP(BDREGISTROBTH2025[[#This Row],[NROKARDEX]],Tabla3[],12,FALSE),"NO PAGO")</f>
        <v>82605</v>
      </c>
      <c r="F188" s="1" t="str">
        <f t="shared" si="5"/>
        <v>100</v>
      </c>
    </row>
    <row r="189" spans="2:6" x14ac:dyDescent="0.3">
      <c r="B189" s="1">
        <f t="shared" si="6"/>
        <v>183</v>
      </c>
      <c r="D189" t="str">
        <f>IFERROR(VLOOKUP(BDREGISTROBTH2025[[#This Row],[NROKARDEX]],BDPADRES[],8,FALSE),"Sin registrado")</f>
        <v>JULIA  ACARAPI PORCEL</v>
      </c>
      <c r="E189" s="1">
        <f>IFERROR(VLOOKUP(BDREGISTROBTH2025[[#This Row],[NROKARDEX]],Tabla3[],12,FALSE),"NO PAGO")</f>
        <v>56292</v>
      </c>
      <c r="F189" s="1" t="str">
        <f t="shared" si="5"/>
        <v>100</v>
      </c>
    </row>
    <row r="190" spans="2:6" x14ac:dyDescent="0.3">
      <c r="B190" s="1">
        <f t="shared" si="6"/>
        <v>184</v>
      </c>
      <c r="D190" t="str">
        <f>IFERROR(VLOOKUP(BDREGISTROBTH2025[[#This Row],[NROKARDEX]],BDPADRES[],8,FALSE),"Sin registrado")</f>
        <v>REYNA CARRIAZO BALLESTEROS</v>
      </c>
      <c r="E190" s="1" t="str">
        <f>IFERROR(VLOOKUP(BDREGISTROBTH2025[[#This Row],[NROKARDEX]],Tabla3[],12,FALSE),"NO PAGO")</f>
        <v>NO</v>
      </c>
      <c r="F190" s="1">
        <f t="shared" si="5"/>
        <v>0</v>
      </c>
    </row>
    <row r="191" spans="2:6" x14ac:dyDescent="0.3">
      <c r="B191" s="1">
        <f t="shared" si="6"/>
        <v>185</v>
      </c>
      <c r="D191" t="str">
        <f>IFERROR(VLOOKUP(BDREGISTROBTH2025[[#This Row],[NROKARDEX]],BDPADRES[],8,FALSE),"Sin registrado")</f>
        <v>MIRTHA RUEDA LOPEZ</v>
      </c>
      <c r="E191" s="1">
        <f>IFERROR(VLOOKUP(BDREGISTROBTH2025[[#This Row],[NROKARDEX]],Tabla3[],12,FALSE),"NO PAGO")</f>
        <v>82575</v>
      </c>
      <c r="F191" s="1" t="str">
        <f t="shared" si="5"/>
        <v>100</v>
      </c>
    </row>
    <row r="192" spans="2:6" x14ac:dyDescent="0.3">
      <c r="B192" s="1">
        <f t="shared" si="6"/>
        <v>186</v>
      </c>
      <c r="D192" t="str">
        <f>IFERROR(VLOOKUP(BDREGISTROBTH2025[[#This Row],[NROKARDEX]],BDPADRES[],8,FALSE),"Sin registrado")</f>
        <v>MARTHA RODRIGUEZ SILES</v>
      </c>
      <c r="E192" s="1">
        <f>IFERROR(VLOOKUP(BDREGISTROBTH2025[[#This Row],[NROKARDEX]],Tabla3[],12,FALSE),"NO PAGO")</f>
        <v>64200</v>
      </c>
      <c r="F192" s="1" t="str">
        <f t="shared" si="5"/>
        <v>100</v>
      </c>
    </row>
    <row r="193" spans="2:6" x14ac:dyDescent="0.3">
      <c r="B193" s="1">
        <f t="shared" si="6"/>
        <v>187</v>
      </c>
      <c r="D193" t="str">
        <f>IFERROR(VLOOKUP(BDREGISTROBTH2025[[#This Row],[NROKARDEX]],BDPADRES[],8,FALSE),"Sin registrado")</f>
        <v>AURORA SOLIZ QUIROZ</v>
      </c>
      <c r="E193" s="1">
        <f>IFERROR(VLOOKUP(BDREGISTROBTH2025[[#This Row],[NROKARDEX]],Tabla3[],12,FALSE),"NO PAGO")</f>
        <v>56015</v>
      </c>
      <c r="F193" s="1" t="str">
        <f t="shared" si="5"/>
        <v>100</v>
      </c>
    </row>
    <row r="194" spans="2:6" x14ac:dyDescent="0.3">
      <c r="B194" s="1">
        <f t="shared" si="6"/>
        <v>188</v>
      </c>
      <c r="D194" t="str">
        <f>IFERROR(VLOOKUP(BDREGISTROBTH2025[[#This Row],[NROKARDEX]],BDPADRES[],8,FALSE),"Sin registrado")</f>
        <v>DEYSI YPURANI CARICARI</v>
      </c>
      <c r="E194" s="1">
        <f>IFERROR(VLOOKUP(BDREGISTROBTH2025[[#This Row],[NROKARDEX]],Tabla3[],12,FALSE),"NO PAGO")</f>
        <v>8721</v>
      </c>
      <c r="F194" s="1" t="str">
        <f t="shared" si="5"/>
        <v>100</v>
      </c>
    </row>
    <row r="195" spans="2:6" x14ac:dyDescent="0.3">
      <c r="B195" s="1">
        <f t="shared" si="6"/>
        <v>189</v>
      </c>
      <c r="D195" t="str">
        <f>IFERROR(VLOOKUP(BDREGISTROBTH2025[[#This Row],[NROKARDEX]],BDPADRES[],8,FALSE),"Sin registrado")</f>
        <v>ERLINDA PACO DURAN</v>
      </c>
      <c r="E195" s="1">
        <f>IFERROR(VLOOKUP(BDREGISTROBTH2025[[#This Row],[NROKARDEX]],Tabla3[],12,FALSE),"NO PAGO")</f>
        <v>82565</v>
      </c>
      <c r="F195" s="1" t="str">
        <f t="shared" si="5"/>
        <v>100</v>
      </c>
    </row>
    <row r="196" spans="2:6" x14ac:dyDescent="0.3">
      <c r="B196" s="1">
        <f t="shared" si="6"/>
        <v>190</v>
      </c>
      <c r="D196" t="str">
        <f>IFERROR(VLOOKUP(BDREGISTROBTH2025[[#This Row],[NROKARDEX]],BDPADRES[],8,FALSE),"Sin registrado")</f>
        <v>YOBANA GUTIERREZ VACA</v>
      </c>
      <c r="E196" s="1">
        <f>IFERROR(VLOOKUP(BDREGISTROBTH2025[[#This Row],[NROKARDEX]],Tabla3[],12,FALSE),"NO PAGO")</f>
        <v>82566</v>
      </c>
      <c r="F196" s="1" t="str">
        <f t="shared" si="5"/>
        <v>100</v>
      </c>
    </row>
    <row r="197" spans="2:6" x14ac:dyDescent="0.3">
      <c r="B197" s="1">
        <f t="shared" si="6"/>
        <v>191</v>
      </c>
      <c r="D197" t="str">
        <f>IFERROR(VLOOKUP(BDREGISTROBTH2025[[#This Row],[NROKARDEX]],BDPADRES[],8,FALSE),"Sin registrado")</f>
        <v>VERONICA CHOQUE LLANOS</v>
      </c>
      <c r="E197" s="1">
        <f>IFERROR(VLOOKUP(BDREGISTROBTH2025[[#This Row],[NROKARDEX]],Tabla3[],12,FALSE),"NO PAGO")</f>
        <v>8567</v>
      </c>
      <c r="F197" s="1" t="str">
        <f t="shared" si="5"/>
        <v>100</v>
      </c>
    </row>
    <row r="198" spans="2:6" x14ac:dyDescent="0.3">
      <c r="B198" s="1">
        <f t="shared" si="6"/>
        <v>192</v>
      </c>
      <c r="D198" t="str">
        <f>IFERROR(VLOOKUP(BDREGISTROBTH2025[[#This Row],[NROKARDEX]],BDPADRES[],8,FALSE),"Sin registrado")</f>
        <v>SONIA CUEBAS VILLAGOMES</v>
      </c>
      <c r="E198" s="1" t="str">
        <f>IFERROR(VLOOKUP(BDREGISTROBTH2025[[#This Row],[NROKARDEX]],Tabla3[],12,FALSE),"NO PAGO")</f>
        <v>8658
-82571</v>
      </c>
      <c r="F198" s="1" t="str">
        <f t="shared" si="5"/>
        <v>100</v>
      </c>
    </row>
    <row r="199" spans="2:6" x14ac:dyDescent="0.3">
      <c r="B199" s="1">
        <f t="shared" si="6"/>
        <v>193</v>
      </c>
      <c r="D199" t="str">
        <f>IFERROR(VLOOKUP(BDREGISTROBTH2025[[#This Row],[NROKARDEX]],BDPADRES[],8,FALSE),"Sin registrado")</f>
        <v>YUELY FERNANDEZ OSINAGA</v>
      </c>
      <c r="E199" s="1">
        <f>IFERROR(VLOOKUP(BDREGISTROBTH2025[[#This Row],[NROKARDEX]],Tabla3[],12,FALSE),"NO PAGO")</f>
        <v>8750</v>
      </c>
      <c r="F199" s="1" t="str">
        <f t="shared" ref="F199:F261" si="7">IF(E199="NO",0,"100")</f>
        <v>100</v>
      </c>
    </row>
    <row r="200" spans="2:6" x14ac:dyDescent="0.3">
      <c r="B200" s="1">
        <f t="shared" ref="B200:B263" si="8">ROW(A194)</f>
        <v>194</v>
      </c>
      <c r="D200" t="str">
        <f>IFERROR(VLOOKUP(BDREGISTROBTH2025[[#This Row],[NROKARDEX]],BDPADRES[],8,FALSE),"Sin registrado")</f>
        <v>JACINTA RAMOS REINA</v>
      </c>
      <c r="E200" s="1">
        <f>IFERROR(VLOOKUP(BDREGISTROBTH2025[[#This Row],[NROKARDEX]],Tabla3[],12,FALSE),"NO PAGO")</f>
        <v>64185</v>
      </c>
      <c r="F200" s="1" t="str">
        <f t="shared" si="7"/>
        <v>100</v>
      </c>
    </row>
    <row r="201" spans="2:6" x14ac:dyDescent="0.3">
      <c r="B201" s="1">
        <f t="shared" si="8"/>
        <v>195</v>
      </c>
      <c r="D201" t="str">
        <f>IFERROR(VLOOKUP(BDREGISTROBTH2025[[#This Row],[NROKARDEX]],BDPADRES[],8,FALSE),"Sin registrado")</f>
        <v>JUANA EDITH SALAZAR</v>
      </c>
      <c r="E201" s="1">
        <f>IFERROR(VLOOKUP(BDREGISTROBTH2025[[#This Row],[NROKARDEX]],Tabla3[],12,FALSE),"NO PAGO")</f>
        <v>8565</v>
      </c>
      <c r="F201" s="1" t="str">
        <f t="shared" si="7"/>
        <v>100</v>
      </c>
    </row>
    <row r="202" spans="2:6" x14ac:dyDescent="0.3">
      <c r="B202" s="1">
        <f t="shared" si="8"/>
        <v>196</v>
      </c>
      <c r="D202" t="str">
        <f>IFERROR(VLOOKUP(BDREGISTROBTH2025[[#This Row],[NROKARDEX]],BDPADRES[],8,FALSE),"Sin registrado")</f>
        <v>MARIA ESTHER MAMANI ORELLANA</v>
      </c>
      <c r="E202" s="1">
        <f>IFERROR(VLOOKUP(BDREGISTROBTH2025[[#This Row],[NROKARDEX]],Tabla3[],12,FALSE),"NO PAGO")</f>
        <v>82562</v>
      </c>
      <c r="F202" s="1" t="str">
        <f t="shared" si="7"/>
        <v>100</v>
      </c>
    </row>
    <row r="203" spans="2:6" x14ac:dyDescent="0.3">
      <c r="B203" s="1">
        <f t="shared" si="8"/>
        <v>197</v>
      </c>
      <c r="D203" t="str">
        <f>IFERROR(VLOOKUP(BDREGISTROBTH2025[[#This Row],[NROKARDEX]],BDPADRES[],8,FALSE),"Sin registrado")</f>
        <v>VERONICA FLORES ABREGO</v>
      </c>
      <c r="E203" s="1">
        <f>IFERROR(VLOOKUP(BDREGISTROBTH2025[[#This Row],[NROKARDEX]],Tabla3[],12,FALSE),"NO PAGO")</f>
        <v>56262</v>
      </c>
      <c r="F203" s="1" t="str">
        <f t="shared" si="7"/>
        <v>100</v>
      </c>
    </row>
    <row r="204" spans="2:6" x14ac:dyDescent="0.3">
      <c r="B204" s="1">
        <f t="shared" si="8"/>
        <v>198</v>
      </c>
      <c r="D204" t="str">
        <f>IFERROR(VLOOKUP(BDREGISTROBTH2025[[#This Row],[NROKARDEX]],BDPADRES[],8,FALSE),"Sin registrado")</f>
        <v>JUDITH VEIZAGA PINTO</v>
      </c>
      <c r="E204" s="1">
        <v>56112</v>
      </c>
      <c r="F204" s="1" t="str">
        <f t="shared" si="7"/>
        <v>100</v>
      </c>
    </row>
    <row r="205" spans="2:6" x14ac:dyDescent="0.3">
      <c r="B205" s="1">
        <f t="shared" si="8"/>
        <v>199</v>
      </c>
      <c r="D205" t="str">
        <f>IFERROR(VLOOKUP(BDREGISTROBTH2025[[#This Row],[NROKARDEX]],BDPADRES[],8,FALSE),"Sin registrado")</f>
        <v>LUISA ROJAS SEVERICHE</v>
      </c>
      <c r="E205" s="1" t="str">
        <f>IFERROR(VLOOKUP(BDREGISTROBTH2025[[#This Row],[NROKARDEX]],Tabla3[],12,FALSE),"NO PAGO")</f>
        <v>NO</v>
      </c>
      <c r="F205" s="1">
        <f t="shared" si="7"/>
        <v>0</v>
      </c>
    </row>
    <row r="206" spans="2:6" x14ac:dyDescent="0.3">
      <c r="B206" s="1">
        <f t="shared" si="8"/>
        <v>200</v>
      </c>
      <c r="D206" t="str">
        <f>IFERROR(VLOOKUP(BDREGISTROBTH2025[[#This Row],[NROKARDEX]],BDPADRES[],8,FALSE),"Sin registrado")</f>
        <v>YOSELIN ARAMAYO SANCHEZ</v>
      </c>
      <c r="E206" s="1">
        <f>IFERROR(VLOOKUP(BDREGISTROBTH2025[[#This Row],[NROKARDEX]],Tabla3[],12,FALSE),"NO PAGO")</f>
        <v>8720</v>
      </c>
      <c r="F206" s="1" t="str">
        <f t="shared" si="7"/>
        <v>100</v>
      </c>
    </row>
    <row r="207" spans="2:6" x14ac:dyDescent="0.3">
      <c r="B207" s="1">
        <f t="shared" si="8"/>
        <v>201</v>
      </c>
      <c r="D207" t="str">
        <f>IFERROR(VLOOKUP(BDREGISTROBTH2025[[#This Row],[NROKARDEX]],BDPADRES[],8,FALSE),"Sin registrado")</f>
        <v>LUCIA TORRICO VILLARRUEL</v>
      </c>
      <c r="E207" s="1">
        <f>IFERROR(VLOOKUP(BDREGISTROBTH2025[[#This Row],[NROKARDEX]],Tabla3[],12,FALSE),"NO PAGO")</f>
        <v>82608</v>
      </c>
      <c r="F207" s="1" t="str">
        <f t="shared" si="7"/>
        <v>100</v>
      </c>
    </row>
    <row r="208" spans="2:6" x14ac:dyDescent="0.3">
      <c r="B208" s="1">
        <f t="shared" si="8"/>
        <v>202</v>
      </c>
      <c r="D208" t="str">
        <f>IFERROR(VLOOKUP(BDREGISTROBTH2025[[#This Row],[NROKARDEX]],BDPADRES[],8,FALSE),"Sin registrado")</f>
        <v>DELIA   VIZA CHOQUE</v>
      </c>
      <c r="E208" s="1">
        <f>IFERROR(VLOOKUP(BDREGISTROBTH2025[[#This Row],[NROKARDEX]],Tabla3[],12,FALSE),"NO PAGO")</f>
        <v>8678</v>
      </c>
      <c r="F208" s="1" t="str">
        <f t="shared" si="7"/>
        <v>100</v>
      </c>
    </row>
    <row r="209" spans="2:6" x14ac:dyDescent="0.3">
      <c r="B209" s="1">
        <f t="shared" si="8"/>
        <v>203</v>
      </c>
      <c r="D209" t="str">
        <f>IFERROR(VLOOKUP(BDREGISTROBTH2025[[#This Row],[NROKARDEX]],BDPADRES[],8,FALSE),"Sin registrado")</f>
        <v>LIDIA SARDAN ROMERO</v>
      </c>
      <c r="E209" s="1">
        <f>IFERROR(VLOOKUP(BDREGISTROBTH2025[[#This Row],[NROKARDEX]],Tabla3[],12,FALSE),"NO PAGO")</f>
        <v>82630</v>
      </c>
      <c r="F209" s="1" t="str">
        <f t="shared" si="7"/>
        <v>100</v>
      </c>
    </row>
    <row r="210" spans="2:6" x14ac:dyDescent="0.3">
      <c r="B210" s="1">
        <f t="shared" si="8"/>
        <v>204</v>
      </c>
      <c r="D210" t="str">
        <f>IFERROR(VLOOKUP(BDREGISTROBTH2025[[#This Row],[NROKARDEX]],BDPADRES[],8,FALSE),"Sin registrado")</f>
        <v>MARIOLY  GIRON RIBERA</v>
      </c>
      <c r="E210" s="1">
        <f>IFERROR(VLOOKUP(BDREGISTROBTH2025[[#This Row],[NROKARDEX]],Tabla3[],12,FALSE),"NO PAGO")</f>
        <v>82570</v>
      </c>
      <c r="F210" s="1" t="str">
        <f t="shared" si="7"/>
        <v>100</v>
      </c>
    </row>
    <row r="211" spans="2:6" x14ac:dyDescent="0.3">
      <c r="B211" s="1">
        <f t="shared" si="8"/>
        <v>205</v>
      </c>
      <c r="D211" t="str">
        <f>IFERROR(VLOOKUP(BDREGISTROBTH2025[[#This Row],[NROKARDEX]],BDPADRES[],8,FALSE),"Sin registrado")</f>
        <v>Sin registrado</v>
      </c>
      <c r="E211" s="1" t="str">
        <f>IFERROR(VLOOKUP(BDREGISTROBTH2025[[#This Row],[NROKARDEX]],Tabla3[],12,FALSE),"NO PAGO")</f>
        <v>NO PAGO</v>
      </c>
      <c r="F211" s="1">
        <v>0</v>
      </c>
    </row>
    <row r="212" spans="2:6" x14ac:dyDescent="0.3">
      <c r="B212" s="1">
        <f t="shared" si="8"/>
        <v>206</v>
      </c>
      <c r="D212" t="str">
        <f>IFERROR(VLOOKUP(BDREGISTROBTH2025[[#This Row],[NROKARDEX]],BDPADRES[],8,FALSE),"Sin registrado")</f>
        <v>JUAQUINA FLORES CRUZ</v>
      </c>
      <c r="E212" s="1">
        <f>IFERROR(VLOOKUP(BDREGISTROBTH2025[[#This Row],[NROKARDEX]],Tabla3[],12,FALSE),"NO PAGO")</f>
        <v>82581</v>
      </c>
      <c r="F212" s="1" t="str">
        <f t="shared" si="7"/>
        <v>100</v>
      </c>
    </row>
    <row r="213" spans="2:6" x14ac:dyDescent="0.3">
      <c r="B213" s="1">
        <f t="shared" si="8"/>
        <v>207</v>
      </c>
      <c r="D213" t="str">
        <f>IFERROR(VLOOKUP(BDREGISTROBTH2025[[#This Row],[NROKARDEX]],BDPADRES[],8,FALSE),"Sin registrado")</f>
        <v>ELVIRA ORIAS CESPEDES</v>
      </c>
      <c r="E213" s="1">
        <f>IFERROR(VLOOKUP(BDREGISTROBTH2025[[#This Row],[NROKARDEX]],Tabla3[],12,FALSE),"NO PAGO")</f>
        <v>82579</v>
      </c>
      <c r="F213" s="1" t="str">
        <f t="shared" si="7"/>
        <v>100</v>
      </c>
    </row>
    <row r="214" spans="2:6" x14ac:dyDescent="0.3">
      <c r="B214" s="1">
        <f t="shared" si="8"/>
        <v>208</v>
      </c>
      <c r="D214" t="str">
        <f>IFERROR(VLOOKUP(BDREGISTROBTH2025[[#This Row],[NROKARDEX]],BDPADRES[],8,FALSE),"Sin registrado")</f>
        <v>MARTHA BARRIENTOS CARABALLO</v>
      </c>
      <c r="E214" s="1">
        <f>IFERROR(VLOOKUP(BDREGISTROBTH2025[[#This Row],[NROKARDEX]],Tabla3[],12,FALSE),"NO PAGO")</f>
        <v>64151</v>
      </c>
      <c r="F214" s="1" t="str">
        <f t="shared" si="7"/>
        <v>100</v>
      </c>
    </row>
    <row r="215" spans="2:6" x14ac:dyDescent="0.3">
      <c r="B215" s="1">
        <f t="shared" si="8"/>
        <v>209</v>
      </c>
      <c r="D215" t="str">
        <f>IFERROR(VLOOKUP(BDREGISTROBTH2025[[#This Row],[NROKARDEX]],BDPADRES[],8,FALSE),"Sin registrado")</f>
        <v>MARIBEL DAZA VEDIA</v>
      </c>
      <c r="E215" s="1">
        <f>IFERROR(VLOOKUP(BDREGISTROBTH2025[[#This Row],[NROKARDEX]],Tabla3[],12,FALSE),"NO PAGO")</f>
        <v>64158</v>
      </c>
      <c r="F215" s="1" t="str">
        <f t="shared" si="7"/>
        <v>100</v>
      </c>
    </row>
    <row r="216" spans="2:6" x14ac:dyDescent="0.3">
      <c r="B216" s="1">
        <f t="shared" si="8"/>
        <v>210</v>
      </c>
      <c r="D216" t="str">
        <f>IFERROR(VLOOKUP(BDREGISTROBTH2025[[#This Row],[NROKARDEX]],BDPADRES[],8,FALSE),"Sin registrado")</f>
        <v>DOLY FERNANDEZ GOMEZ</v>
      </c>
      <c r="E216" s="1">
        <f>IFERROR(VLOOKUP(BDREGISTROBTH2025[[#This Row],[NROKARDEX]],Tabla3[],12,FALSE),"NO PAGO")</f>
        <v>64195</v>
      </c>
      <c r="F216" s="1" t="str">
        <f t="shared" si="7"/>
        <v>100</v>
      </c>
    </row>
    <row r="217" spans="2:6" x14ac:dyDescent="0.3">
      <c r="B217" s="1">
        <f t="shared" si="8"/>
        <v>211</v>
      </c>
      <c r="D217" t="str">
        <f>IFERROR(VLOOKUP(BDREGISTROBTH2025[[#This Row],[NROKARDEX]],BDPADRES[],8,FALSE),"Sin registrado")</f>
        <v>HORTENCIA  LEAÑOS VERGARA</v>
      </c>
      <c r="E217" s="1">
        <f>IFERROR(VLOOKUP(BDREGISTROBTH2025[[#This Row],[NROKARDEX]],Tabla3[],12,FALSE),"NO PAGO")</f>
        <v>64176</v>
      </c>
      <c r="F217" s="1" t="str">
        <f t="shared" si="7"/>
        <v>100</v>
      </c>
    </row>
    <row r="218" spans="2:6" x14ac:dyDescent="0.3">
      <c r="B218" s="1">
        <f t="shared" si="8"/>
        <v>212</v>
      </c>
      <c r="D218" t="str">
        <f>IFERROR(VLOOKUP(BDREGISTROBTH2025[[#This Row],[NROKARDEX]],BDPADRES[],8,FALSE),"Sin registrado")</f>
        <v>NANCY MAMANI IPORRE</v>
      </c>
      <c r="E218" s="1">
        <f>IFERROR(VLOOKUP(BDREGISTROBTH2025[[#This Row],[NROKARDEX]],Tabla3[],12,FALSE),"NO PAGO")</f>
        <v>56294</v>
      </c>
      <c r="F218" s="1" t="str">
        <f t="shared" si="7"/>
        <v>100</v>
      </c>
    </row>
    <row r="219" spans="2:6" x14ac:dyDescent="0.3">
      <c r="B219" s="1">
        <f t="shared" si="8"/>
        <v>213</v>
      </c>
      <c r="D219" t="str">
        <f>IFERROR(VLOOKUP(BDREGISTROBTH2025[[#This Row],[NROKARDEX]],BDPADRES[],8,FALSE),"Sin registrado")</f>
        <v>LITHZI PADILLA LIMON</v>
      </c>
      <c r="E219" s="1">
        <f>IFERROR(VLOOKUP(BDREGISTROBTH2025[[#This Row],[NROKARDEX]],Tabla3[],12,FALSE),"NO PAGO")</f>
        <v>64152</v>
      </c>
      <c r="F219" s="1" t="str">
        <f t="shared" si="7"/>
        <v>100</v>
      </c>
    </row>
    <row r="220" spans="2:6" x14ac:dyDescent="0.3">
      <c r="B220" s="1">
        <f t="shared" si="8"/>
        <v>214</v>
      </c>
      <c r="D220" t="str">
        <f>IFERROR(VLOOKUP(BDREGISTROBTH2025[[#This Row],[NROKARDEX]],BDPADRES[],8,FALSE),"Sin registrado")</f>
        <v>Sin registrado</v>
      </c>
      <c r="E220" s="1" t="str">
        <f>IFERROR(VLOOKUP(BDREGISTROBTH2025[[#This Row],[NROKARDEX]],Tabla3[],12,FALSE),"NO PAGO")</f>
        <v>NO PAGO</v>
      </c>
      <c r="F220" s="1">
        <v>0</v>
      </c>
    </row>
    <row r="221" spans="2:6" x14ac:dyDescent="0.3">
      <c r="B221" s="1">
        <f t="shared" si="8"/>
        <v>215</v>
      </c>
      <c r="D221" t="str">
        <f>IFERROR(VLOOKUP(BDREGISTROBTH2025[[#This Row],[NROKARDEX]],BDPADRES[],8,FALSE),"Sin registrado")</f>
        <v>LIDIA MARTINEZ PEREZ</v>
      </c>
      <c r="E221" s="1" t="str">
        <f>IFERROR(VLOOKUP(BDREGISTROBTH2025[[#This Row],[NROKARDEX]],Tabla3[],12,FALSE),"NO PAGO")</f>
        <v>NO</v>
      </c>
      <c r="F221" s="1">
        <f t="shared" si="7"/>
        <v>0</v>
      </c>
    </row>
    <row r="222" spans="2:6" x14ac:dyDescent="0.3">
      <c r="B222" s="1">
        <f t="shared" si="8"/>
        <v>216</v>
      </c>
      <c r="D222" t="str">
        <f>IFERROR(VLOOKUP(BDREGISTROBTH2025[[#This Row],[NROKARDEX]],BDPADRES[],8,FALSE),"Sin registrado")</f>
        <v>SABINA GARNICA VARGAS</v>
      </c>
      <c r="E222" s="1">
        <f>IFERROR(VLOOKUP(BDREGISTROBTH2025[[#This Row],[NROKARDEX]],Tabla3[],12,FALSE),"NO PAGO")</f>
        <v>64162</v>
      </c>
      <c r="F222" s="1" t="str">
        <f t="shared" si="7"/>
        <v>100</v>
      </c>
    </row>
    <row r="223" spans="2:6" x14ac:dyDescent="0.3">
      <c r="B223" s="1">
        <f t="shared" si="8"/>
        <v>217</v>
      </c>
      <c r="D223" t="str">
        <f>IFERROR(VLOOKUP(BDREGISTROBTH2025[[#This Row],[NROKARDEX]],BDPADRES[],8,FALSE),"Sin registrado")</f>
        <v>BENIGNA HUAYHUA ARENAS</v>
      </c>
      <c r="E223" s="1">
        <f>IFERROR(VLOOKUP(BDREGISTROBTH2025[[#This Row],[NROKARDEX]],Tabla3[],12,FALSE),"NO PAGO")</f>
        <v>64182</v>
      </c>
      <c r="F223" s="1" t="str">
        <f t="shared" si="7"/>
        <v>100</v>
      </c>
    </row>
    <row r="224" spans="2:6" x14ac:dyDescent="0.3">
      <c r="B224" s="1">
        <f t="shared" si="8"/>
        <v>218</v>
      </c>
      <c r="D224" t="str">
        <f>IFERROR(VLOOKUP(BDREGISTROBTH2025[[#This Row],[NROKARDEX]],BDPADRES[],8,FALSE),"Sin registrado")</f>
        <v>JUANA RAMIREZ CHURA</v>
      </c>
      <c r="E224" s="1">
        <f>IFERROR(VLOOKUP(BDREGISTROBTH2025[[#This Row],[NROKARDEX]],Tabla3[],12,FALSE),"NO PAGO")</f>
        <v>82606</v>
      </c>
      <c r="F224" s="1" t="str">
        <f t="shared" si="7"/>
        <v>100</v>
      </c>
    </row>
    <row r="225" spans="2:6" x14ac:dyDescent="0.3">
      <c r="B225" s="1">
        <f t="shared" si="8"/>
        <v>219</v>
      </c>
      <c r="D225" t="str">
        <f>IFERROR(VLOOKUP(BDREGISTROBTH2025[[#This Row],[NROKARDEX]],BDPADRES[],8,FALSE),"Sin registrado")</f>
        <v>TERESA ARICOMA CORCHADO</v>
      </c>
      <c r="E225" s="1">
        <f>IFERROR(VLOOKUP(BDREGISTROBTH2025[[#This Row],[NROKARDEX]],Tabla3[],12,FALSE),"NO PAGO")</f>
        <v>82644</v>
      </c>
      <c r="F225" s="1" t="str">
        <f t="shared" si="7"/>
        <v>100</v>
      </c>
    </row>
    <row r="226" spans="2:6" x14ac:dyDescent="0.3">
      <c r="B226" s="1">
        <f t="shared" si="8"/>
        <v>220</v>
      </c>
      <c r="D226" t="str">
        <f>IFERROR(VLOOKUP(BDREGISTROBTH2025[[#This Row],[NROKARDEX]],BDPADRES[],8,FALSE),"Sin registrado")</f>
        <v>ISABEL RODRIGUEZ JILLAPA</v>
      </c>
      <c r="E226" s="1" t="str">
        <f>IFERROR(VLOOKUP(BDREGISTROBTH2025[[#This Row],[NROKARDEX]],Tabla3[],12,FALSE),"NO PAGO")</f>
        <v>NO</v>
      </c>
      <c r="F226" s="1">
        <f t="shared" si="7"/>
        <v>0</v>
      </c>
    </row>
    <row r="227" spans="2:6" x14ac:dyDescent="0.3">
      <c r="B227" s="1">
        <f t="shared" si="8"/>
        <v>221</v>
      </c>
      <c r="D227" t="str">
        <f>IFERROR(VLOOKUP(BDREGISTROBTH2025[[#This Row],[NROKARDEX]],BDPADRES[],8,FALSE),"Sin registrado")</f>
        <v>MARCELA CHOQUE SILES</v>
      </c>
      <c r="E227" s="1">
        <f>IFERROR(VLOOKUP(BDREGISTROBTH2025[[#This Row],[NROKARDEX]],Tabla3[],12,FALSE),"NO PAGO")</f>
        <v>82607</v>
      </c>
      <c r="F227" s="1" t="str">
        <f t="shared" si="7"/>
        <v>100</v>
      </c>
    </row>
    <row r="228" spans="2:6" x14ac:dyDescent="0.3">
      <c r="B228" s="1">
        <f t="shared" si="8"/>
        <v>222</v>
      </c>
      <c r="D228" t="str">
        <f>IFERROR(VLOOKUP(BDREGISTROBTH2025[[#This Row],[NROKARDEX]],BDPADRES[],8,FALSE),"Sin registrado")</f>
        <v>SAIDA CINTHIA MORALES MOSCOSO</v>
      </c>
      <c r="E228" s="1">
        <f>IFERROR(VLOOKUP(BDREGISTROBTH2025[[#This Row],[NROKARDEX]],Tabla3[],12,FALSE),"NO PAGO")</f>
        <v>82636</v>
      </c>
      <c r="F228" s="1" t="str">
        <f t="shared" si="7"/>
        <v>100</v>
      </c>
    </row>
    <row r="229" spans="2:6" x14ac:dyDescent="0.3">
      <c r="B229" s="1">
        <f t="shared" si="8"/>
        <v>223</v>
      </c>
      <c r="D229" t="str">
        <f>IFERROR(VLOOKUP(BDREGISTROBTH2025[[#This Row],[NROKARDEX]],BDPADRES[],8,FALSE),"Sin registrado")</f>
        <v>MARIA MAGDALENA AGUILAR VIDAURRE</v>
      </c>
      <c r="E229" s="1">
        <f>IFERROR(VLOOKUP(BDREGISTROBTH2025[[#This Row],[NROKARDEX]],Tabla3[],12,FALSE),"NO PAGO")</f>
        <v>82597</v>
      </c>
      <c r="F229" s="1" t="str">
        <f t="shared" si="7"/>
        <v>100</v>
      </c>
    </row>
    <row r="230" spans="2:6" x14ac:dyDescent="0.3">
      <c r="B230" s="1">
        <f t="shared" si="8"/>
        <v>224</v>
      </c>
      <c r="D230" t="str">
        <f>IFERROR(VLOOKUP(BDREGISTROBTH2025[[#This Row],[NROKARDEX]],BDPADRES[],8,FALSE),"Sin registrado")</f>
        <v>MARICELA ZAMBRANA PADILLA</v>
      </c>
      <c r="E230" s="1">
        <f>IFERROR(VLOOKUP(BDREGISTROBTH2025[[#This Row],[NROKARDEX]],Tabla3[],12,FALSE),"NO PAGO")</f>
        <v>64180</v>
      </c>
      <c r="F230" s="1" t="str">
        <f t="shared" si="7"/>
        <v>100</v>
      </c>
    </row>
    <row r="231" spans="2:6" x14ac:dyDescent="0.3">
      <c r="B231" s="1">
        <f t="shared" si="8"/>
        <v>225</v>
      </c>
      <c r="D231" t="str">
        <f>IFERROR(VLOOKUP(BDREGISTROBTH2025[[#This Row],[NROKARDEX]],BDPADRES[],8,FALSE),"Sin registrado")</f>
        <v>PAULINA DELGADO LOPEZ</v>
      </c>
      <c r="E231" s="1" t="str">
        <f>IFERROR(VLOOKUP(BDREGISTROBTH2025[[#This Row],[NROKARDEX]],Tabla3[],12,FALSE),"NO PAGO")</f>
        <v>NO</v>
      </c>
      <c r="F231" s="1">
        <f t="shared" si="7"/>
        <v>0</v>
      </c>
    </row>
    <row r="232" spans="2:6" x14ac:dyDescent="0.3">
      <c r="B232" s="1">
        <f t="shared" si="8"/>
        <v>226</v>
      </c>
      <c r="D232" t="str">
        <f>IFERROR(VLOOKUP(BDREGISTROBTH2025[[#This Row],[NROKARDEX]],BDPADRES[],8,FALSE),"Sin registrado")</f>
        <v>MARTHA MAMANI MORALES</v>
      </c>
      <c r="E232" s="1">
        <f>IFERROR(VLOOKUP(BDREGISTROBTH2025[[#This Row],[NROKARDEX]],Tabla3[],12,FALSE),"NO PAGO")</f>
        <v>64179</v>
      </c>
      <c r="F232" s="1" t="str">
        <f t="shared" si="7"/>
        <v>100</v>
      </c>
    </row>
    <row r="233" spans="2:6" x14ac:dyDescent="0.3">
      <c r="B233" s="1">
        <f t="shared" si="8"/>
        <v>227</v>
      </c>
      <c r="D233" t="str">
        <f>IFERROR(VLOOKUP(BDREGISTROBTH2025[[#This Row],[NROKARDEX]],BDPADRES[],8,FALSE),"Sin registrado")</f>
        <v>NILDA LOPEZ CHOQUE</v>
      </c>
      <c r="E233" s="1">
        <f>IFERROR(VLOOKUP(BDREGISTROBTH2025[[#This Row],[NROKARDEX]],Tabla3[],12,FALSE),"NO PAGO")</f>
        <v>64157</v>
      </c>
      <c r="F233" s="1" t="str">
        <f t="shared" si="7"/>
        <v>100</v>
      </c>
    </row>
    <row r="234" spans="2:6" x14ac:dyDescent="0.3">
      <c r="B234" s="1">
        <f t="shared" si="8"/>
        <v>228</v>
      </c>
      <c r="D234" t="str">
        <f>IFERROR(VLOOKUP(BDREGISTROBTH2025[[#This Row],[NROKARDEX]],BDPADRES[],8,FALSE),"Sin registrado")</f>
        <v>SEDONIA CONDORI TOMAS</v>
      </c>
      <c r="E234" s="1">
        <f>IFERROR(VLOOKUP(BDREGISTROBTH2025[[#This Row],[NROKARDEX]],Tabla3[],12,FALSE),"NO PAGO")</f>
        <v>8652</v>
      </c>
      <c r="F234" s="1" t="str">
        <f t="shared" si="7"/>
        <v>100</v>
      </c>
    </row>
    <row r="235" spans="2:6" x14ac:dyDescent="0.3">
      <c r="B235" s="1">
        <f t="shared" si="8"/>
        <v>229</v>
      </c>
      <c r="D235" t="str">
        <f>IFERROR(VLOOKUP(BDREGISTROBTH2025[[#This Row],[NROKARDEX]],BDPADRES[],8,FALSE),"Sin registrado")</f>
        <v>MARIOLY  MARTINEZ UGARTECHE</v>
      </c>
      <c r="E235" s="1">
        <f>IFERROR(VLOOKUP(BDREGISTROBTH2025[[#This Row],[NROKARDEX]],Tabla3[],12,FALSE),"NO PAGO")</f>
        <v>82573</v>
      </c>
      <c r="F235" s="1" t="str">
        <f t="shared" si="7"/>
        <v>100</v>
      </c>
    </row>
    <row r="236" spans="2:6" x14ac:dyDescent="0.3">
      <c r="B236" s="1">
        <f t="shared" si="8"/>
        <v>230</v>
      </c>
      <c r="D236" t="str">
        <f>IFERROR(VLOOKUP(BDREGISTROBTH2025[[#This Row],[NROKARDEX]],BDPADRES[],8,FALSE),"Sin registrado")</f>
        <v>CELIA RIVADENEIRA CRUZ</v>
      </c>
      <c r="E236" s="1">
        <f>IFERROR(VLOOKUP(BDREGISTROBTH2025[[#This Row],[NROKARDEX]],Tabla3[],12,FALSE),"NO PAGO")</f>
        <v>64194</v>
      </c>
      <c r="F236" s="1" t="str">
        <f t="shared" si="7"/>
        <v>100</v>
      </c>
    </row>
    <row r="237" spans="2:6" x14ac:dyDescent="0.3">
      <c r="B237" s="1">
        <f t="shared" si="8"/>
        <v>231</v>
      </c>
      <c r="D237" t="str">
        <f>IFERROR(VLOOKUP(BDREGISTROBTH2025[[#This Row],[NROKARDEX]],BDPADRES[],8,FALSE),"Sin registrado")</f>
        <v>MIRNA CUELLAR DIAZ</v>
      </c>
      <c r="E237" s="1">
        <f>IFERROR(VLOOKUP(BDREGISTROBTH2025[[#This Row],[NROKARDEX]],Tabla3[],12,FALSE),"NO PAGO")</f>
        <v>31130</v>
      </c>
      <c r="F237" s="1" t="str">
        <f t="shared" si="7"/>
        <v>100</v>
      </c>
    </row>
    <row r="238" spans="2:6" x14ac:dyDescent="0.3">
      <c r="B238" s="1">
        <f t="shared" si="8"/>
        <v>232</v>
      </c>
      <c r="D238" t="str">
        <f>IFERROR(VLOOKUP(BDREGISTROBTH2025[[#This Row],[NROKARDEX]],BDPADRES[],8,FALSE),"Sin registrado")</f>
        <v>Sin registrado</v>
      </c>
      <c r="E238" s="1" t="str">
        <f>IFERROR(VLOOKUP(BDREGISTROBTH2025[[#This Row],[NROKARDEX]],Tabla3[],12,FALSE),"NO PAGO")</f>
        <v>NO PAGO</v>
      </c>
      <c r="F238" s="1" t="str">
        <f t="shared" si="7"/>
        <v>100</v>
      </c>
    </row>
    <row r="239" spans="2:6" x14ac:dyDescent="0.3">
      <c r="B239" s="1">
        <f t="shared" si="8"/>
        <v>233</v>
      </c>
      <c r="D239" t="str">
        <f>IFERROR(VLOOKUP(BDREGISTROBTH2025[[#This Row],[NROKARDEX]],BDPADRES[],8,FALSE),"Sin registrado")</f>
        <v>MONICA MAMANI GONZALES</v>
      </c>
      <c r="E239" s="1">
        <f>IFERROR(VLOOKUP(BDREGISTROBTH2025[[#This Row],[NROKARDEX]],Tabla3[],12,FALSE),"NO PAGO")</f>
        <v>82612</v>
      </c>
      <c r="F239" s="1" t="str">
        <f t="shared" si="7"/>
        <v>100</v>
      </c>
    </row>
    <row r="240" spans="2:6" x14ac:dyDescent="0.3">
      <c r="B240" s="1">
        <f t="shared" si="8"/>
        <v>234</v>
      </c>
      <c r="D240" t="str">
        <f>IFERROR(VLOOKUP(BDREGISTROBTH2025[[#This Row],[NROKARDEX]],BDPADRES[],8,FALSE),"Sin registrado")</f>
        <v>HILDA MAMANI EUGENIO</v>
      </c>
      <c r="E240" s="1">
        <f>IFERROR(VLOOKUP(BDREGISTROBTH2025[[#This Row],[NROKARDEX]],Tabla3[],12,FALSE),"NO PAGO")</f>
        <v>82610</v>
      </c>
      <c r="F240" s="1" t="str">
        <f t="shared" si="7"/>
        <v>100</v>
      </c>
    </row>
    <row r="241" spans="2:6" x14ac:dyDescent="0.3">
      <c r="B241" s="1">
        <f t="shared" si="8"/>
        <v>235</v>
      </c>
      <c r="D241" t="str">
        <f>IFERROR(VLOOKUP(BDREGISTROBTH2025[[#This Row],[NROKARDEX]],BDPADRES[],8,FALSE),"Sin registrado")</f>
        <v>FARIDY ROMERO CALLAPA</v>
      </c>
      <c r="E241" s="1">
        <f>IFERROR(VLOOKUP(BDREGISTROBTH2025[[#This Row],[NROKARDEX]],Tabla3[],12,FALSE),"NO PAGO")</f>
        <v>82613</v>
      </c>
      <c r="F241" s="1" t="str">
        <f t="shared" si="7"/>
        <v>100</v>
      </c>
    </row>
    <row r="242" spans="2:6" x14ac:dyDescent="0.3">
      <c r="B242" s="1">
        <f t="shared" si="8"/>
        <v>236</v>
      </c>
      <c r="D242" t="str">
        <f>IFERROR(VLOOKUP(BDREGISTROBTH2025[[#This Row],[NROKARDEX]],BDPADRES[],8,FALSE),"Sin registrado")</f>
        <v>NEOLID VARON ARANCIBIA</v>
      </c>
      <c r="E242" s="1" t="str">
        <f>IFERROR(VLOOKUP(BDREGISTROBTH2025[[#This Row],[NROKARDEX]],Tabla3[],12,FALSE),"NO PAGO")</f>
        <v>NO</v>
      </c>
      <c r="F242" s="1">
        <f t="shared" si="7"/>
        <v>0</v>
      </c>
    </row>
    <row r="243" spans="2:6" x14ac:dyDescent="0.3">
      <c r="B243" s="1">
        <f t="shared" si="8"/>
        <v>237</v>
      </c>
      <c r="D243" t="str">
        <f>IFERROR(VLOOKUP(BDREGISTROBTH2025[[#This Row],[NROKARDEX]],BDPADRES[],8,FALSE),"Sin registrado")</f>
        <v>EVA DANCY FERNANDEZ LINO</v>
      </c>
      <c r="E243" s="1">
        <f>IFERROR(VLOOKUP(BDREGISTROBTH2025[[#This Row],[NROKARDEX]],Tabla3[],12,FALSE),"NO PAGO")</f>
        <v>82611</v>
      </c>
      <c r="F243" s="1" t="str">
        <f t="shared" si="7"/>
        <v>100</v>
      </c>
    </row>
    <row r="244" spans="2:6" x14ac:dyDescent="0.3">
      <c r="B244" s="1">
        <f t="shared" si="8"/>
        <v>238</v>
      </c>
      <c r="D244" t="str">
        <f>IFERROR(VLOOKUP(BDREGISTROBTH2025[[#This Row],[NROKARDEX]],BDPADRES[],8,FALSE),"Sin registrado")</f>
        <v>LIDIA ACUÑA ARENA</v>
      </c>
      <c r="E244" s="1">
        <f>IFERROR(VLOOKUP(BDREGISTROBTH2025[[#This Row],[NROKARDEX]],Tabla3[],12,FALSE),"NO PAGO")</f>
        <v>8744</v>
      </c>
      <c r="F244" s="1" t="str">
        <f t="shared" si="7"/>
        <v>100</v>
      </c>
    </row>
    <row r="245" spans="2:6" x14ac:dyDescent="0.3">
      <c r="B245" s="1">
        <f t="shared" si="8"/>
        <v>239</v>
      </c>
      <c r="D245" t="str">
        <f>IFERROR(VLOOKUP(BDREGISTROBTH2025[[#This Row],[NROKARDEX]],BDPADRES[],8,FALSE),"Sin registrado")</f>
        <v>NAGAY RINA ROMERO ACHO</v>
      </c>
      <c r="E245" s="1">
        <f>IFERROR(VLOOKUP(BDREGISTROBTH2025[[#This Row],[NROKARDEX]],Tabla3[],12,FALSE),"NO PAGO")</f>
        <v>82576</v>
      </c>
      <c r="F245" s="1" t="str">
        <f t="shared" si="7"/>
        <v>100</v>
      </c>
    </row>
    <row r="246" spans="2:6" x14ac:dyDescent="0.3">
      <c r="B246" s="1">
        <f t="shared" si="8"/>
        <v>240</v>
      </c>
      <c r="D246" t="str">
        <f>IFERROR(VLOOKUP(BDREGISTROBTH2025[[#This Row],[NROKARDEX]],BDPADRES[],8,FALSE),"Sin registrado")</f>
        <v>MARTHA CHAUQUE TOLABA</v>
      </c>
      <c r="E246" s="1" t="str">
        <f>IFERROR(VLOOKUP(BDREGISTROBTH2025[[#This Row],[NROKARDEX]],Tabla3[],12,FALSE),"NO PAGO")</f>
        <v>NO</v>
      </c>
      <c r="F246" s="1">
        <f t="shared" si="7"/>
        <v>0</v>
      </c>
    </row>
    <row r="247" spans="2:6" x14ac:dyDescent="0.3">
      <c r="B247" s="1">
        <f t="shared" si="8"/>
        <v>241</v>
      </c>
      <c r="D247" t="str">
        <f>IFERROR(VLOOKUP(BDREGISTROBTH2025[[#This Row],[NROKARDEX]],BDPADRES[],8,FALSE),"Sin registrado")</f>
        <v>LOURDES URQUIZO YUCRA</v>
      </c>
      <c r="E247" s="1">
        <f>IFERROR(VLOOKUP(BDREGISTROBTH2025[[#This Row],[NROKARDEX]],Tabla3[],12,FALSE),"NO PAGO")</f>
        <v>8681</v>
      </c>
      <c r="F247" s="1" t="str">
        <f t="shared" si="7"/>
        <v>100</v>
      </c>
    </row>
    <row r="248" spans="2:6" x14ac:dyDescent="0.3">
      <c r="B248" s="1">
        <f t="shared" si="8"/>
        <v>242</v>
      </c>
      <c r="D248" t="str">
        <f>IFERROR(VLOOKUP(BDREGISTROBTH2025[[#This Row],[NROKARDEX]],BDPADRES[],8,FALSE),"Sin registrado")</f>
        <v>LENNY MARIELA FLORES ASINAGA</v>
      </c>
      <c r="E248" s="1" t="str">
        <f>IFERROR(VLOOKUP(BDREGISTROBTH2025[[#This Row],[NROKARDEX]],Tabla3[],12,FALSE),"NO PAGO")</f>
        <v>NO</v>
      </c>
      <c r="F248" s="1">
        <f t="shared" si="7"/>
        <v>0</v>
      </c>
    </row>
    <row r="249" spans="2:6" x14ac:dyDescent="0.3">
      <c r="B249" s="1">
        <f t="shared" si="8"/>
        <v>243</v>
      </c>
      <c r="D249" t="str">
        <f>IFERROR(VLOOKUP(BDREGISTROBTH2025[[#This Row],[NROKARDEX]],BDPADRES[],8,FALSE),"Sin registrado")</f>
        <v>VIRGINIA ANTIVERROS MANRIQUE</v>
      </c>
      <c r="E249" s="1">
        <f>IFERROR(VLOOKUP(BDREGISTROBTH2025[[#This Row],[NROKARDEX]],Tabla3[],12,FALSE),"NO PAGO")</f>
        <v>56266</v>
      </c>
      <c r="F249" s="1" t="str">
        <f t="shared" si="7"/>
        <v>100</v>
      </c>
    </row>
    <row r="250" spans="2:6" x14ac:dyDescent="0.3">
      <c r="B250" s="1">
        <f t="shared" si="8"/>
        <v>244</v>
      </c>
      <c r="D250" t="str">
        <f>IFERROR(VLOOKUP(BDREGISTROBTH2025[[#This Row],[NROKARDEX]],BDPADRES[],8,FALSE),"Sin registrado")</f>
        <v>SIXTA AGUILLAR TABUADA</v>
      </c>
      <c r="E250" s="1" t="str">
        <f>IFERROR(VLOOKUP(BDREGISTROBTH2025[[#This Row],[NROKARDEX]],Tabla3[],12,FALSE),"NO PAGO")</f>
        <v>NO</v>
      </c>
      <c r="F250" s="1">
        <f t="shared" si="7"/>
        <v>0</v>
      </c>
    </row>
    <row r="251" spans="2:6" x14ac:dyDescent="0.3">
      <c r="B251" s="1">
        <f t="shared" si="8"/>
        <v>245</v>
      </c>
      <c r="D251" t="str">
        <f>IFERROR(VLOOKUP(BDREGISTROBTH2025[[#This Row],[NROKARDEX]],BDPADRES[],8,FALSE),"Sin registrado")</f>
        <v>ANTONIA CARABALLO BALLESTEROS</v>
      </c>
      <c r="E251" s="1">
        <f>IFERROR(VLOOKUP(BDREGISTROBTH2025[[#This Row],[NROKARDEX]],Tabla3[],12,FALSE),"NO PAGO")</f>
        <v>8688</v>
      </c>
      <c r="F251" s="1" t="str">
        <f t="shared" si="7"/>
        <v>100</v>
      </c>
    </row>
    <row r="252" spans="2:6" x14ac:dyDescent="0.3">
      <c r="B252" s="1">
        <f t="shared" si="8"/>
        <v>246</v>
      </c>
      <c r="D252" t="str">
        <f>IFERROR(VLOOKUP(BDREGISTROBTH2025[[#This Row],[NROKARDEX]],BDPADRES[],8,FALSE),"Sin registrado")</f>
        <v>SEMIDA CUCHALLO TORRICO</v>
      </c>
      <c r="E252" s="1">
        <f>IFERROR(VLOOKUP(BDREGISTROBTH2025[[#This Row],[NROKARDEX]],Tabla3[],12,FALSE),"NO PAGO")</f>
        <v>56107</v>
      </c>
      <c r="F252" s="1" t="str">
        <f t="shared" si="7"/>
        <v>100</v>
      </c>
    </row>
    <row r="253" spans="2:6" x14ac:dyDescent="0.3">
      <c r="B253" s="1">
        <f t="shared" si="8"/>
        <v>247</v>
      </c>
      <c r="D253" t="str">
        <f>IFERROR(VLOOKUP(BDREGISTROBTH2025[[#This Row],[NROKARDEX]],BDPADRES[],8,FALSE),"Sin registrado")</f>
        <v>DELIA MARCELA VARGAS RIVERA</v>
      </c>
      <c r="E253" s="1">
        <f>IFERROR(VLOOKUP(BDREGISTROBTH2025[[#This Row],[NROKARDEX]],Tabla3[],12,FALSE),"NO PAGO")</f>
        <v>64171</v>
      </c>
      <c r="F253" s="1" t="str">
        <f t="shared" si="7"/>
        <v>100</v>
      </c>
    </row>
    <row r="254" spans="2:6" x14ac:dyDescent="0.3">
      <c r="B254" s="1">
        <f t="shared" si="8"/>
        <v>248</v>
      </c>
      <c r="D254" t="str">
        <f>IFERROR(VLOOKUP(BDREGISTROBTH2025[[#This Row],[NROKARDEX]],BDPADRES[],8,FALSE),"Sin registrado")</f>
        <v>Sin registrado</v>
      </c>
      <c r="E254" s="1" t="str">
        <f>IFERROR(VLOOKUP(BDREGISTROBTH2025[[#This Row],[NROKARDEX]],Tabla3[],12,FALSE),"NO PAGO")</f>
        <v>NO PAGO</v>
      </c>
      <c r="F254" s="1">
        <v>0</v>
      </c>
    </row>
    <row r="255" spans="2:6" x14ac:dyDescent="0.3">
      <c r="B255" s="1">
        <f t="shared" si="8"/>
        <v>249</v>
      </c>
      <c r="D255" t="str">
        <f>IFERROR(VLOOKUP(BDREGISTROBTH2025[[#This Row],[NROKARDEX]],BDPADRES[],8,FALSE),"Sin registrado")</f>
        <v>NEIDA MEJIA BEJARANO</v>
      </c>
      <c r="E255" s="1">
        <f>IFERROR(VLOOKUP(BDREGISTROBTH2025[[#This Row],[NROKARDEX]],Tabla3[],12,FALSE),"NO PAGO")</f>
        <v>56035</v>
      </c>
      <c r="F255" s="1" t="str">
        <f t="shared" si="7"/>
        <v>100</v>
      </c>
    </row>
    <row r="256" spans="2:6" x14ac:dyDescent="0.3">
      <c r="B256" s="1">
        <f t="shared" si="8"/>
        <v>250</v>
      </c>
      <c r="D256" t="str">
        <f>IFERROR(VLOOKUP(BDREGISTROBTH2025[[#This Row],[NROKARDEX]],BDPADRES[],8,FALSE),"Sin registrado")</f>
        <v>MARIA LOURDES GARCIA LARA</v>
      </c>
      <c r="E256" s="1">
        <f>IFERROR(VLOOKUP(BDREGISTROBTH2025[[#This Row],[NROKARDEX]],Tabla3[],12,FALSE),"NO PAGO")</f>
        <v>56258</v>
      </c>
      <c r="F256" s="1" t="str">
        <f t="shared" si="7"/>
        <v>100</v>
      </c>
    </row>
    <row r="257" spans="2:6" x14ac:dyDescent="0.3">
      <c r="B257" s="1">
        <f t="shared" si="8"/>
        <v>251</v>
      </c>
      <c r="D257" t="str">
        <f>IFERROR(VLOOKUP(BDREGISTROBTH2025[[#This Row],[NROKARDEX]],BDPADRES[],8,FALSE),"Sin registrado")</f>
        <v>Sin registrado</v>
      </c>
      <c r="E257" s="1" t="str">
        <f>IFERROR(VLOOKUP(BDREGISTROBTH2025[[#This Row],[NROKARDEX]],Tabla3[],12,FALSE),"NO PAGO")</f>
        <v>NO PAGO</v>
      </c>
      <c r="F257" s="1">
        <v>0</v>
      </c>
    </row>
    <row r="258" spans="2:6" x14ac:dyDescent="0.3">
      <c r="B258" s="1">
        <f t="shared" si="8"/>
        <v>252</v>
      </c>
      <c r="D258" t="str">
        <f>IFERROR(VLOOKUP(BDREGISTROBTH2025[[#This Row],[NROKARDEX]],BDPADRES[],8,FALSE),"Sin registrado")</f>
        <v>REYNA GALARZA PEREDO</v>
      </c>
      <c r="E258" s="1">
        <f>IFERROR(VLOOKUP(BDREGISTROBTH2025[[#This Row],[NROKARDEX]],Tabla3[],12,FALSE),"NO PAGO")</f>
        <v>56016</v>
      </c>
      <c r="F258" s="1" t="str">
        <f t="shared" si="7"/>
        <v>100</v>
      </c>
    </row>
    <row r="259" spans="2:6" x14ac:dyDescent="0.3">
      <c r="B259" s="1">
        <f t="shared" si="8"/>
        <v>253</v>
      </c>
      <c r="D259" t="str">
        <f>IFERROR(VLOOKUP(BDREGISTROBTH2025[[#This Row],[NROKARDEX]],BDPADRES[],8,FALSE),"Sin registrado")</f>
        <v>MARISOL MORALES AÑEZ</v>
      </c>
      <c r="E259" s="1">
        <f>IFERROR(VLOOKUP(BDREGISTROBTH2025[[#This Row],[NROKARDEX]],Tabla3[],12,FALSE),"NO PAGO")</f>
        <v>8735</v>
      </c>
      <c r="F259" s="1" t="str">
        <f t="shared" si="7"/>
        <v>100</v>
      </c>
    </row>
    <row r="260" spans="2:6" x14ac:dyDescent="0.3">
      <c r="B260" s="1">
        <f t="shared" si="8"/>
        <v>254</v>
      </c>
      <c r="D260" t="str">
        <f>IFERROR(VLOOKUP(BDREGISTROBTH2025[[#This Row],[NROKARDEX]],BDPADRES[],8,FALSE),"Sin registrado")</f>
        <v>FILOMENA ZAMBRANA COCA</v>
      </c>
      <c r="E260" s="1">
        <f>IFERROR(VLOOKUP(BDREGISTROBTH2025[[#This Row],[NROKARDEX]],Tabla3[],12,FALSE),"NO PAGO")</f>
        <v>82569</v>
      </c>
      <c r="F260" s="1" t="str">
        <f t="shared" si="7"/>
        <v>100</v>
      </c>
    </row>
    <row r="261" spans="2:6" x14ac:dyDescent="0.3">
      <c r="B261" s="1">
        <f t="shared" si="8"/>
        <v>255</v>
      </c>
      <c r="D261" t="str">
        <f>IFERROR(VLOOKUP(BDREGISTROBTH2025[[#This Row],[NROKARDEX]],BDPADRES[],8,FALSE),"Sin registrado")</f>
        <v>SANDRA BALLESTEROS TORREZ</v>
      </c>
      <c r="E261" s="1" t="str">
        <f>IFERROR(VLOOKUP(BDREGISTROBTH2025[[#This Row],[NROKARDEX]],Tabla3[],12,FALSE),"NO PAGO")</f>
        <v>NO</v>
      </c>
      <c r="F261" s="1">
        <f t="shared" si="7"/>
        <v>0</v>
      </c>
    </row>
    <row r="262" spans="2:6" x14ac:dyDescent="0.3">
      <c r="B262" s="1">
        <f t="shared" si="8"/>
        <v>256</v>
      </c>
      <c r="D262" t="str">
        <f>IFERROR(VLOOKUP(BDREGISTROBTH2025[[#This Row],[NROKARDEX]],BDPADRES[],8,FALSE),"Sin registrado")</f>
        <v>Sin registrado</v>
      </c>
      <c r="E262" s="1" t="str">
        <f>IFERROR(VLOOKUP(BDREGISTROBTH2025[[#This Row],[NROKARDEX]],Tabla3[],12,FALSE),"NO PAGO")</f>
        <v>NO PAGO</v>
      </c>
      <c r="F262" s="1">
        <v>0</v>
      </c>
    </row>
    <row r="263" spans="2:6" x14ac:dyDescent="0.3">
      <c r="B263" s="1">
        <f t="shared" si="8"/>
        <v>257</v>
      </c>
      <c r="D263" t="str">
        <f>IFERROR(VLOOKUP(BDREGISTROBTH2025[[#This Row],[NROKARDEX]],BDPADRES[],8,FALSE),"Sin registrado")</f>
        <v>RAUL MARTINEZ AGUANTA</v>
      </c>
      <c r="E263" s="1">
        <f>IFERROR(VLOOKUP(BDREGISTROBTH2025[[#This Row],[NROKARDEX]],Tabla3[],12,FALSE),"NO PAGO")</f>
        <v>82609</v>
      </c>
      <c r="F263" s="1" t="str">
        <f t="shared" ref="F263:F326" si="9">IF(E263="NO",0,"100")</f>
        <v>100</v>
      </c>
    </row>
    <row r="264" spans="2:6" x14ac:dyDescent="0.3">
      <c r="B264" s="1">
        <f t="shared" ref="B264:B327" si="10">ROW(A258)</f>
        <v>258</v>
      </c>
      <c r="D264" t="str">
        <f>IFERROR(VLOOKUP(BDREGISTROBTH2025[[#This Row],[NROKARDEX]],BDPADRES[],8,FALSE),"Sin registrado")</f>
        <v>REBECA SANGREDE CONDORI</v>
      </c>
      <c r="E264" s="1">
        <f>IFERROR(VLOOKUP(BDREGISTROBTH2025[[#This Row],[NROKARDEX]],Tabla3[],12,FALSE),"NO PAGO")</f>
        <v>82614</v>
      </c>
      <c r="F264" s="1" t="str">
        <f t="shared" si="9"/>
        <v>100</v>
      </c>
    </row>
    <row r="265" spans="2:6" x14ac:dyDescent="0.3">
      <c r="B265" s="1">
        <f t="shared" si="10"/>
        <v>259</v>
      </c>
      <c r="D265" t="str">
        <f>IFERROR(VLOOKUP(BDREGISTROBTH2025[[#This Row],[NROKARDEX]],BDPADRES[],8,FALSE),"Sin registrado")</f>
        <v>JUANA  CORTEZ ARAUZ</v>
      </c>
      <c r="E265" s="1">
        <f>IFERROR(VLOOKUP(BDREGISTROBTH2025[[#This Row],[NROKARDEX]],Tabla3[],12,FALSE),"NO PAGO")</f>
        <v>8557</v>
      </c>
      <c r="F265" s="1" t="str">
        <f t="shared" si="9"/>
        <v>100</v>
      </c>
    </row>
    <row r="266" spans="2:6" x14ac:dyDescent="0.3">
      <c r="B266" s="1">
        <f t="shared" si="10"/>
        <v>260</v>
      </c>
      <c r="D266" t="str">
        <f>IFERROR(VLOOKUP(BDREGISTROBTH2025[[#This Row],[NROKARDEX]],BDPADRES[],8,FALSE),"Sin registrado")</f>
        <v>CELIA BEJARANO CHOQUE</v>
      </c>
      <c r="E266" s="1">
        <f>IFERROR(VLOOKUP(BDREGISTROBTH2025[[#This Row],[NROKARDEX]],Tabla3[],12,FALSE),"NO PAGO")</f>
        <v>56286</v>
      </c>
      <c r="F266" s="1" t="str">
        <f t="shared" si="9"/>
        <v>100</v>
      </c>
    </row>
    <row r="267" spans="2:6" x14ac:dyDescent="0.3">
      <c r="B267" s="1">
        <f t="shared" si="10"/>
        <v>261</v>
      </c>
      <c r="D267" t="str">
        <f>IFERROR(VLOOKUP(BDREGISTROBTH2025[[#This Row],[NROKARDEX]],BDPADRES[],8,FALSE),"Sin registrado")</f>
        <v>BEATRIZ COA CHOQUE</v>
      </c>
      <c r="E267" s="1" t="str">
        <f>IFERROR(VLOOKUP(BDREGISTROBTH2025[[#This Row],[NROKARDEX]],Tabla3[],12,FALSE),"NO PAGO")</f>
        <v>NO</v>
      </c>
      <c r="F267" s="1">
        <f t="shared" si="9"/>
        <v>0</v>
      </c>
    </row>
    <row r="268" spans="2:6" x14ac:dyDescent="0.3">
      <c r="B268" s="1">
        <f t="shared" si="10"/>
        <v>262</v>
      </c>
      <c r="D268" t="str">
        <f>IFERROR(VLOOKUP(BDREGISTROBTH2025[[#This Row],[NROKARDEX]],BDPADRES[],8,FALSE),"Sin registrado")</f>
        <v>MARICRUZ GUAYAO RIVERA</v>
      </c>
      <c r="E268" s="1">
        <f>IFERROR(VLOOKUP(BDREGISTROBTH2025[[#This Row],[NROKARDEX]],Tabla3[],12,FALSE),"NO PAGO")</f>
        <v>8552</v>
      </c>
      <c r="F268" s="1" t="str">
        <f t="shared" si="9"/>
        <v>100</v>
      </c>
    </row>
    <row r="269" spans="2:6" x14ac:dyDescent="0.3">
      <c r="B269" s="1">
        <f t="shared" si="10"/>
        <v>263</v>
      </c>
      <c r="D269" t="str">
        <f>IFERROR(VLOOKUP(BDREGISTROBTH2025[[#This Row],[NROKARDEX]],BDPADRES[],8,FALSE),"Sin registrado")</f>
        <v>ELUTERIA CASTRO ARENAS</v>
      </c>
      <c r="E269" s="1">
        <f>IFERROR(VLOOKUP(BDREGISTROBTH2025[[#This Row],[NROKARDEX]],Tabla3[],12,FALSE),"NO PAGO")</f>
        <v>82617</v>
      </c>
      <c r="F269" s="1" t="str">
        <f t="shared" si="9"/>
        <v>100</v>
      </c>
    </row>
    <row r="270" spans="2:6" x14ac:dyDescent="0.3">
      <c r="B270" s="1">
        <f t="shared" si="10"/>
        <v>264</v>
      </c>
      <c r="D270" t="str">
        <f>IFERROR(VLOOKUP(BDREGISTROBTH2025[[#This Row],[NROKARDEX]],BDPADRES[],8,FALSE),"Sin registrado")</f>
        <v>CATALINA ROMELIA GARCIA</v>
      </c>
      <c r="E270" s="1">
        <f>IFERROR(VLOOKUP(BDREGISTROBTH2025[[#This Row],[NROKARDEX]],Tabla3[],12,FALSE),"NO PAGO")</f>
        <v>82592</v>
      </c>
      <c r="F270" s="1" t="str">
        <f t="shared" si="9"/>
        <v>100</v>
      </c>
    </row>
    <row r="271" spans="2:6" x14ac:dyDescent="0.3">
      <c r="B271" s="1">
        <f t="shared" si="10"/>
        <v>265</v>
      </c>
      <c r="D271" t="str">
        <f>IFERROR(VLOOKUP(BDREGISTROBTH2025[[#This Row],[NROKARDEX]],BDPADRES[],8,FALSE),"Sin registrado")</f>
        <v>ALBAIDA MANSILLA ALDANA</v>
      </c>
      <c r="E271" s="1">
        <f>IFERROR(VLOOKUP(BDREGISTROBTH2025[[#This Row],[NROKARDEX]],Tabla3[],12,FALSE),"NO PAGO")</f>
        <v>8701</v>
      </c>
      <c r="F271" s="1" t="str">
        <f t="shared" si="9"/>
        <v>100</v>
      </c>
    </row>
    <row r="272" spans="2:6" x14ac:dyDescent="0.3">
      <c r="B272" s="1">
        <f t="shared" si="10"/>
        <v>266</v>
      </c>
      <c r="D272" t="str">
        <f>IFERROR(VLOOKUP(BDREGISTROBTH2025[[#This Row],[NROKARDEX]],BDPADRES[],8,FALSE),"Sin registrado")</f>
        <v>ROSA LEON TORREZ</v>
      </c>
      <c r="E272" s="1">
        <f>IFERROR(VLOOKUP(BDREGISTROBTH2025[[#This Row],[NROKARDEX]],Tabla3[],12,FALSE),"NO PAGO")</f>
        <v>64197</v>
      </c>
      <c r="F272" s="1" t="str">
        <f t="shared" si="9"/>
        <v>100</v>
      </c>
    </row>
    <row r="273" spans="2:6" x14ac:dyDescent="0.3">
      <c r="B273" s="1">
        <f t="shared" si="10"/>
        <v>267</v>
      </c>
      <c r="D273" t="str">
        <f>IFERROR(VLOOKUP(BDREGISTROBTH2025[[#This Row],[NROKARDEX]],BDPADRES[],8,FALSE),"Sin registrado")</f>
        <v>JULIA  ALCARAZ SANABRIA</v>
      </c>
      <c r="E273" s="1">
        <f>IFERROR(VLOOKUP(BDREGISTROBTH2025[[#This Row],[NROKARDEX]],Tabla3[],12,FALSE),"NO PAGO")</f>
        <v>82586</v>
      </c>
      <c r="F273" s="1" t="str">
        <f t="shared" si="9"/>
        <v>100</v>
      </c>
    </row>
    <row r="274" spans="2:6" x14ac:dyDescent="0.3">
      <c r="B274" s="1">
        <f t="shared" si="10"/>
        <v>268</v>
      </c>
      <c r="D274" t="str">
        <f>IFERROR(VLOOKUP(BDREGISTROBTH2025[[#This Row],[NROKARDEX]],BDPADRES[],8,FALSE),"Sin registrado")</f>
        <v>YINA DANIELA DORADO MONTENEGRO</v>
      </c>
      <c r="E274" s="1" t="str">
        <f>IFERROR(VLOOKUP(BDREGISTROBTH2025[[#This Row],[NROKARDEX]],Tabla3[],12,FALSE),"NO PAGO")</f>
        <v>NO</v>
      </c>
      <c r="F274" s="1">
        <f t="shared" si="9"/>
        <v>0</v>
      </c>
    </row>
    <row r="275" spans="2:6" x14ac:dyDescent="0.3">
      <c r="B275" s="1">
        <f t="shared" si="10"/>
        <v>269</v>
      </c>
      <c r="D275" t="str">
        <f>IFERROR(VLOOKUP(BDREGISTROBTH2025[[#This Row],[NROKARDEX]],BDPADRES[],8,FALSE),"Sin registrado")</f>
        <v>LORENZA AMADOR SULLCA</v>
      </c>
      <c r="E275" s="1">
        <f>IFERROR(VLOOKUP(BDREGISTROBTH2025[[#This Row],[NROKARDEX]],Tabla3[],12,FALSE),"NO PAGO")</f>
        <v>8672</v>
      </c>
      <c r="F275" s="1" t="str">
        <f t="shared" si="9"/>
        <v>100</v>
      </c>
    </row>
    <row r="276" spans="2:6" x14ac:dyDescent="0.3">
      <c r="B276" s="1">
        <f t="shared" si="10"/>
        <v>270</v>
      </c>
      <c r="D276" t="str">
        <f>IFERROR(VLOOKUP(BDREGISTROBTH2025[[#This Row],[NROKARDEX]],BDPADRES[],8,FALSE),"Sin registrado")</f>
        <v>Sin registrado</v>
      </c>
      <c r="E276" s="1" t="str">
        <f>IFERROR(VLOOKUP(BDREGISTROBTH2025[[#This Row],[NROKARDEX]],Tabla3[],12,FALSE),"NO PAGO")</f>
        <v>NO PAGO</v>
      </c>
      <c r="F276" s="1">
        <v>0</v>
      </c>
    </row>
    <row r="277" spans="2:6" x14ac:dyDescent="0.3">
      <c r="B277" s="1">
        <f t="shared" si="10"/>
        <v>271</v>
      </c>
      <c r="D277" t="str">
        <f>IFERROR(VLOOKUP(BDREGISTROBTH2025[[#This Row],[NROKARDEX]],BDPADRES[],8,FALSE),"Sin registrado")</f>
        <v>VICTORIA FIGUEROA SARDINAS</v>
      </c>
      <c r="E277" s="1">
        <f>IFERROR(VLOOKUP(BDREGISTROBTH2025[[#This Row],[NROKARDEX]],Tabla3[],12,FALSE),"NO PAGO")</f>
        <v>64174</v>
      </c>
      <c r="F277" s="1" t="str">
        <f t="shared" si="9"/>
        <v>100</v>
      </c>
    </row>
    <row r="278" spans="2:6" x14ac:dyDescent="0.3">
      <c r="B278" s="1">
        <f t="shared" si="10"/>
        <v>272</v>
      </c>
      <c r="D278" t="str">
        <f>IFERROR(VLOOKUP(BDREGISTROBTH2025[[#This Row],[NROKARDEX]],BDPADRES[],8,FALSE),"Sin registrado")</f>
        <v>LEIDY FABIOLA CARRILLO CORONADO</v>
      </c>
      <c r="E278" s="1">
        <f>IFERROR(VLOOKUP(BDREGISTROBTH2025[[#This Row],[NROKARDEX]],Tabla3[],12,FALSE),"NO PAGO")</f>
        <v>8724</v>
      </c>
      <c r="F278" s="1" t="str">
        <f t="shared" si="9"/>
        <v>100</v>
      </c>
    </row>
    <row r="279" spans="2:6" x14ac:dyDescent="0.3">
      <c r="B279" s="1">
        <f t="shared" si="10"/>
        <v>273</v>
      </c>
      <c r="D279" t="str">
        <f>IFERROR(VLOOKUP(BDREGISTROBTH2025[[#This Row],[NROKARDEX]],BDPADRES[],8,FALSE),"Sin registrado")</f>
        <v>REYNA ZARATE BARRIENTOS</v>
      </c>
      <c r="E279" s="1">
        <f>IFERROR(VLOOKUP(BDREGISTROBTH2025[[#This Row],[NROKARDEX]],Tabla3[],12,FALSE),"NO PAGO")</f>
        <v>64163</v>
      </c>
      <c r="F279" s="1" t="str">
        <f t="shared" si="9"/>
        <v>100</v>
      </c>
    </row>
    <row r="280" spans="2:6" x14ac:dyDescent="0.3">
      <c r="B280" s="1">
        <f t="shared" si="10"/>
        <v>274</v>
      </c>
      <c r="D280" t="str">
        <f>IFERROR(VLOOKUP(BDREGISTROBTH2025[[#This Row],[NROKARDEX]],BDPADRES[],8,FALSE),"Sin registrado")</f>
        <v>EVELIN GUZMAN GARCIA</v>
      </c>
      <c r="E280" s="1">
        <f>IFERROR(VLOOKUP(BDREGISTROBTH2025[[#This Row],[NROKARDEX]],Tabla3[],12,FALSE),"NO PAGO")</f>
        <v>64190</v>
      </c>
      <c r="F280" s="1" t="str">
        <f t="shared" si="9"/>
        <v>100</v>
      </c>
    </row>
    <row r="281" spans="2:6" x14ac:dyDescent="0.3">
      <c r="B281" s="1">
        <f t="shared" si="10"/>
        <v>275</v>
      </c>
      <c r="D281" t="str">
        <f>IFERROR(VLOOKUP(BDREGISTROBTH2025[[#This Row],[NROKARDEX]],BDPADRES[],8,FALSE),"Sin registrado")</f>
        <v>NELLY YASMINA ROBLES VALVERDE</v>
      </c>
      <c r="E281" s="1">
        <f>IFERROR(VLOOKUP(BDREGISTROBTH2025[[#This Row],[NROKARDEX]],Tabla3[],12,FALSE),"NO PAGO")</f>
        <v>56040</v>
      </c>
      <c r="F281" s="1" t="str">
        <f t="shared" si="9"/>
        <v>100</v>
      </c>
    </row>
    <row r="282" spans="2:6" x14ac:dyDescent="0.3">
      <c r="B282" s="1">
        <f t="shared" si="10"/>
        <v>276</v>
      </c>
      <c r="D282" t="str">
        <f>IFERROR(VLOOKUP(BDREGISTROBTH2025[[#This Row],[NROKARDEX]],BDPADRES[],8,FALSE),"Sin registrado")</f>
        <v>ANA ROSY VACA NOGALES</v>
      </c>
      <c r="E282" s="1">
        <f>IFERROR(VLOOKUP(BDREGISTROBTH2025[[#This Row],[NROKARDEX]],Tabla3[],12,FALSE),"NO PAGO")</f>
        <v>56253</v>
      </c>
      <c r="F282" s="1" t="str">
        <f t="shared" si="9"/>
        <v>100</v>
      </c>
    </row>
    <row r="283" spans="2:6" x14ac:dyDescent="0.3">
      <c r="B283" s="1">
        <f t="shared" si="10"/>
        <v>277</v>
      </c>
      <c r="D283" t="str">
        <f>IFERROR(VLOOKUP(BDREGISTROBTH2025[[#This Row],[NROKARDEX]],BDPADRES[],8,FALSE),"Sin registrado")</f>
        <v>MONICA MARTINEZ RICALDY</v>
      </c>
      <c r="E283" s="1">
        <f>IFERROR(VLOOKUP(BDREGISTROBTH2025[[#This Row],[NROKARDEX]],Tabla3[],12,FALSE),"NO PAGO")</f>
        <v>82580</v>
      </c>
      <c r="F283" s="1" t="str">
        <f t="shared" si="9"/>
        <v>100</v>
      </c>
    </row>
    <row r="284" spans="2:6" x14ac:dyDescent="0.3">
      <c r="B284" s="1">
        <f t="shared" si="10"/>
        <v>278</v>
      </c>
      <c r="D284" t="str">
        <f>IFERROR(VLOOKUP(BDREGISTROBTH2025[[#This Row],[NROKARDEX]],BDPADRES[],8,FALSE),"Sin registrado")</f>
        <v>AGUSTINA HERRERA.</v>
      </c>
      <c r="E284" s="1">
        <f>IFERROR(VLOOKUP(BDREGISTROBTH2025[[#This Row],[NROKARDEX]],Tabla3[],12,FALSE),"NO PAGO")</f>
        <v>8655</v>
      </c>
      <c r="F284" s="1" t="str">
        <f t="shared" si="9"/>
        <v>100</v>
      </c>
    </row>
    <row r="285" spans="2:6" x14ac:dyDescent="0.3">
      <c r="B285" s="1">
        <f t="shared" si="10"/>
        <v>279</v>
      </c>
      <c r="D285" t="str">
        <f>IFERROR(VLOOKUP(BDREGISTROBTH2025[[#This Row],[NROKARDEX]],BDPADRES[],8,FALSE),"Sin registrado")</f>
        <v>PASCUALA CHOQUE BEJARANO</v>
      </c>
      <c r="E285" s="1" t="str">
        <f>IFERROR(VLOOKUP(BDREGISTROBTH2025[[#This Row],[NROKARDEX]],Tabla3[],12,FALSE),"NO PAGO")</f>
        <v>NO</v>
      </c>
      <c r="F285" s="1">
        <f t="shared" si="9"/>
        <v>0</v>
      </c>
    </row>
    <row r="286" spans="2:6" x14ac:dyDescent="0.3">
      <c r="B286" s="1">
        <f t="shared" si="10"/>
        <v>280</v>
      </c>
      <c r="D286" t="str">
        <f>IFERROR(VLOOKUP(BDREGISTROBTH2025[[#This Row],[NROKARDEX]],BDPADRES[],8,FALSE),"Sin registrado")</f>
        <v>ESPERANZA FIGUEROA ALVAREZ</v>
      </c>
      <c r="E286" s="1">
        <f>IFERROR(VLOOKUP(BDREGISTROBTH2025[[#This Row],[NROKARDEX]],Tabla3[],12,FALSE),"NO PAGO")</f>
        <v>82585</v>
      </c>
      <c r="F286" s="1" t="str">
        <f t="shared" si="9"/>
        <v>100</v>
      </c>
    </row>
    <row r="287" spans="2:6" x14ac:dyDescent="0.3">
      <c r="B287" s="1">
        <f t="shared" si="10"/>
        <v>281</v>
      </c>
      <c r="D287" t="str">
        <f>IFERROR(VLOOKUP(BDREGISTROBTH2025[[#This Row],[NROKARDEX]],BDPADRES[],8,FALSE),"Sin registrado")</f>
        <v>SIMONA COPA SALAZAR</v>
      </c>
      <c r="E287" s="1">
        <f>IFERROR(VLOOKUP(BDREGISTROBTH2025[[#This Row],[NROKARDEX]],Tabla3[],12,FALSE),"NO PAGO")</f>
        <v>8680</v>
      </c>
      <c r="F287" s="1" t="str">
        <f t="shared" si="9"/>
        <v>100</v>
      </c>
    </row>
    <row r="288" spans="2:6" x14ac:dyDescent="0.3">
      <c r="B288" s="1">
        <f t="shared" si="10"/>
        <v>282</v>
      </c>
      <c r="D288" t="str">
        <f>IFERROR(VLOOKUP(BDREGISTROBTH2025[[#This Row],[NROKARDEX]],BDPADRES[],8,FALSE),"Sin registrado")</f>
        <v>Sin registrado</v>
      </c>
      <c r="E288" s="1" t="str">
        <f>IFERROR(VLOOKUP(BDREGISTROBTH2025[[#This Row],[NROKARDEX]],Tabla3[],12,FALSE),"NO PAGO")</f>
        <v>NO PAGO</v>
      </c>
      <c r="F288" s="1">
        <v>0</v>
      </c>
    </row>
    <row r="289" spans="2:6" x14ac:dyDescent="0.3">
      <c r="B289" s="1">
        <f t="shared" si="10"/>
        <v>283</v>
      </c>
      <c r="D289" t="str">
        <f>IFERROR(VLOOKUP(BDREGISTROBTH2025[[#This Row],[NROKARDEX]],BDPADRES[],8,FALSE),"Sin registrado")</f>
        <v>SIRLEY CARABALLO OJEDA</v>
      </c>
      <c r="E289" s="1">
        <f>IFERROR(VLOOKUP(BDREGISTROBTH2025[[#This Row],[NROKARDEX]],Tabla3[],12,FALSE),"NO PAGO")</f>
        <v>82582</v>
      </c>
      <c r="F289" s="1" t="str">
        <f t="shared" si="9"/>
        <v>100</v>
      </c>
    </row>
    <row r="290" spans="2:6" x14ac:dyDescent="0.3">
      <c r="B290" s="1">
        <f t="shared" si="10"/>
        <v>284</v>
      </c>
      <c r="D290" t="str">
        <f>IFERROR(VLOOKUP(BDREGISTROBTH2025[[#This Row],[NROKARDEX]],BDPADRES[],8,FALSE),"Sin registrado")</f>
        <v>ROXANA DURAN MICHEL</v>
      </c>
      <c r="E290" s="1">
        <f>IFERROR(VLOOKUP(BDREGISTROBTH2025[[#This Row],[NROKARDEX]],Tabla3[],12,FALSE),"NO PAGO")</f>
        <v>82590</v>
      </c>
      <c r="F290" s="1" t="str">
        <f t="shared" si="9"/>
        <v>100</v>
      </c>
    </row>
    <row r="291" spans="2:6" x14ac:dyDescent="0.3">
      <c r="B291" s="1">
        <f t="shared" si="10"/>
        <v>285</v>
      </c>
      <c r="D291" t="str">
        <f>IFERROR(VLOOKUP(BDREGISTROBTH2025[[#This Row],[NROKARDEX]],BDPADRES[],8,FALSE),"Sin registrado")</f>
        <v>JULITT  ARATEA RIOS</v>
      </c>
      <c r="E291" s="1">
        <f>IFERROR(VLOOKUP(BDREGISTROBTH2025[[#This Row],[NROKARDEX]],Tabla3[],12,FALSE),"NO PAGO")</f>
        <v>8722</v>
      </c>
      <c r="F291" s="1" t="str">
        <f t="shared" si="9"/>
        <v>100</v>
      </c>
    </row>
    <row r="292" spans="2:6" x14ac:dyDescent="0.3">
      <c r="B292" s="1">
        <f t="shared" si="10"/>
        <v>286</v>
      </c>
      <c r="D292" t="str">
        <f>IFERROR(VLOOKUP(BDREGISTROBTH2025[[#This Row],[NROKARDEX]],BDPADRES[],8,FALSE),"Sin registrado")</f>
        <v>ALVAIDA LARA GALVIZ</v>
      </c>
      <c r="E292" s="1">
        <f>IFERROR(VLOOKUP(BDREGISTROBTH2025[[#This Row],[NROKARDEX]],Tabla3[],12,FALSE),"NO PAGO")</f>
        <v>56002</v>
      </c>
      <c r="F292" s="1" t="str">
        <f t="shared" si="9"/>
        <v>100</v>
      </c>
    </row>
    <row r="293" spans="2:6" x14ac:dyDescent="0.3">
      <c r="B293" s="1">
        <f t="shared" si="10"/>
        <v>287</v>
      </c>
      <c r="D293" t="str">
        <f>IFERROR(VLOOKUP(BDREGISTROBTH2025[[#This Row],[NROKARDEX]],BDPADRES[],8,FALSE),"Sin registrado")</f>
        <v>AGUSTINA CRUZ MATURANO</v>
      </c>
      <c r="E293" s="1">
        <f>IFERROR(VLOOKUP(BDREGISTROBTH2025[[#This Row],[NROKARDEX]],Tabla3[],12,FALSE),"NO PAGO")</f>
        <v>82584</v>
      </c>
      <c r="F293" s="1" t="str">
        <f t="shared" si="9"/>
        <v>100</v>
      </c>
    </row>
    <row r="294" spans="2:6" x14ac:dyDescent="0.3">
      <c r="B294" s="1">
        <f t="shared" si="10"/>
        <v>288</v>
      </c>
      <c r="D294" t="str">
        <f>IFERROR(VLOOKUP(BDREGISTROBTH2025[[#This Row],[NROKARDEX]],BDPADRES[],8,FALSE),"Sin registrado")</f>
        <v>ARMINDA VELA GARCIA</v>
      </c>
      <c r="E294" s="1">
        <f>IFERROR(VLOOKUP(BDREGISTROBTH2025[[#This Row],[NROKARDEX]],Tabla3[],12,FALSE),"NO PAGO")</f>
        <v>8651</v>
      </c>
      <c r="F294" s="1" t="str">
        <f t="shared" si="9"/>
        <v>100</v>
      </c>
    </row>
    <row r="295" spans="2:6" x14ac:dyDescent="0.3">
      <c r="B295" s="1">
        <f t="shared" si="10"/>
        <v>289</v>
      </c>
      <c r="D295" t="str">
        <f>IFERROR(VLOOKUP(BDREGISTROBTH2025[[#This Row],[NROKARDEX]],BDPADRES[],8,FALSE),"Sin registrado")</f>
        <v>ADALID ROSLIN VARGAS ACHO</v>
      </c>
      <c r="E295" s="1">
        <f>IFERROR(VLOOKUP(BDREGISTROBTH2025[[#This Row],[NROKARDEX]],Tabla3[],12,FALSE),"NO PAGO")</f>
        <v>56014</v>
      </c>
      <c r="F295" s="1" t="str">
        <f t="shared" si="9"/>
        <v>100</v>
      </c>
    </row>
    <row r="296" spans="2:6" x14ac:dyDescent="0.3">
      <c r="B296" s="1">
        <f t="shared" si="10"/>
        <v>290</v>
      </c>
      <c r="D296" t="str">
        <f>IFERROR(VLOOKUP(BDREGISTROBTH2025[[#This Row],[NROKARDEX]],BDPADRES[],8,FALSE),"Sin registrado")</f>
        <v>Sin registrado</v>
      </c>
      <c r="E296" s="1" t="str">
        <f>IFERROR(VLOOKUP(BDREGISTROBTH2025[[#This Row],[NROKARDEX]],Tabla3[],12,FALSE),"NO PAGO")</f>
        <v>NO PAGO</v>
      </c>
      <c r="F296" s="1">
        <v>0</v>
      </c>
    </row>
    <row r="297" spans="2:6" x14ac:dyDescent="0.3">
      <c r="B297" s="1">
        <f t="shared" si="10"/>
        <v>291</v>
      </c>
      <c r="D297" t="str">
        <f>IFERROR(VLOOKUP(BDREGISTROBTH2025[[#This Row],[NROKARDEX]],BDPADRES[],8,FALSE),"Sin registrado")</f>
        <v>NEISA ARICOMA CORCHADO</v>
      </c>
      <c r="E297" s="1" t="str">
        <f>IFERROR(VLOOKUP(BDREGISTROBTH2025[[#This Row],[NROKARDEX]],Tabla3[],12,FALSE),"NO PAGO")</f>
        <v>NO</v>
      </c>
      <c r="F297" s="1">
        <f t="shared" si="9"/>
        <v>0</v>
      </c>
    </row>
    <row r="298" spans="2:6" x14ac:dyDescent="0.3">
      <c r="B298" s="1">
        <f t="shared" si="10"/>
        <v>292</v>
      </c>
      <c r="D298" t="str">
        <f>IFERROR(VLOOKUP(BDREGISTROBTH2025[[#This Row],[NROKARDEX]],BDPADRES[],8,FALSE),"Sin registrado")</f>
        <v>LIDIA  LIMA VARGAS</v>
      </c>
      <c r="E298" s="1">
        <f>IFERROR(VLOOKUP(BDREGISTROBTH2025[[#This Row],[NROKARDEX]],Tabla3[],12,FALSE),"NO PAGO")</f>
        <v>82583</v>
      </c>
      <c r="F298" s="1" t="str">
        <f t="shared" si="9"/>
        <v>100</v>
      </c>
    </row>
    <row r="299" spans="2:6" x14ac:dyDescent="0.3">
      <c r="B299" s="1">
        <f t="shared" si="10"/>
        <v>293</v>
      </c>
      <c r="D299" t="str">
        <f>IFERROR(VLOOKUP(BDREGISTROBTH2025[[#This Row],[NROKARDEX]],BDPADRES[],8,FALSE),"Sin registrado")</f>
        <v>CINTHIA ESPONOZA FARELL</v>
      </c>
      <c r="E299" s="1" t="str">
        <f>IFERROR(VLOOKUP(BDREGISTROBTH2025[[#This Row],[NROKARDEX]],Tabla3[],12,FALSE),"NO PAGO")</f>
        <v>8667
8734</v>
      </c>
      <c r="F299" s="1" t="str">
        <f t="shared" si="9"/>
        <v>100</v>
      </c>
    </row>
    <row r="300" spans="2:6" x14ac:dyDescent="0.3">
      <c r="B300" s="1">
        <f t="shared" si="10"/>
        <v>294</v>
      </c>
      <c r="D300" t="str">
        <f>IFERROR(VLOOKUP(BDREGISTROBTH2025[[#This Row],[NROKARDEX]],BDPADRES[],8,FALSE),"Sin registrado")</f>
        <v>MARIA FATIMA HERRERA REVOLLO</v>
      </c>
      <c r="E300" s="1">
        <f>IFERROR(VLOOKUP(BDREGISTROBTH2025[[#This Row],[NROKARDEX]],Tabla3[],12,FALSE),"NO PAGO")</f>
        <v>56032</v>
      </c>
      <c r="F300" s="1" t="str">
        <f t="shared" si="9"/>
        <v>100</v>
      </c>
    </row>
    <row r="301" spans="2:6" x14ac:dyDescent="0.3">
      <c r="B301" s="1">
        <f t="shared" si="10"/>
        <v>295</v>
      </c>
      <c r="D301" t="str">
        <f>IFERROR(VLOOKUP(BDREGISTROBTH2025[[#This Row],[NROKARDEX]],BDPADRES[],8,FALSE),"Sin registrado")</f>
        <v>Sin registrado</v>
      </c>
      <c r="E301" s="1" t="str">
        <f>IFERROR(VLOOKUP(BDREGISTROBTH2025[[#This Row],[NROKARDEX]],Tabla3[],12,FALSE),"NO PAGO")</f>
        <v>NO PAGO</v>
      </c>
      <c r="F301" s="1">
        <v>0</v>
      </c>
    </row>
    <row r="302" spans="2:6" x14ac:dyDescent="0.3">
      <c r="B302" s="1">
        <f t="shared" si="10"/>
        <v>296</v>
      </c>
      <c r="D302" t="str">
        <f>IFERROR(VLOOKUP(BDREGISTROBTH2025[[#This Row],[NROKARDEX]],BDPADRES[],8,FALSE),"Sin registrado")</f>
        <v>NEYDA YANETH HEREDIA RUBIO</v>
      </c>
      <c r="E302" s="1">
        <f>IFERROR(VLOOKUP(BDREGISTROBTH2025[[#This Row],[NROKARDEX]],Tabla3[],12,FALSE),"NO PAGO")</f>
        <v>8731</v>
      </c>
      <c r="F302" s="1" t="str">
        <f t="shared" si="9"/>
        <v>100</v>
      </c>
    </row>
    <row r="303" spans="2:6" x14ac:dyDescent="0.3">
      <c r="B303" s="1">
        <f t="shared" si="10"/>
        <v>297</v>
      </c>
      <c r="D303" t="str">
        <f>IFERROR(VLOOKUP(BDREGISTROBTH2025[[#This Row],[NROKARDEX]],BDPADRES[],8,FALSE),"Sin registrado")</f>
        <v>LILY MANGUTA ARARIYO</v>
      </c>
      <c r="E303" s="1">
        <f>IFERROR(VLOOKUP(BDREGISTROBTH2025[[#This Row],[NROKARDEX]],Tabla3[],12,FALSE),"NO PAGO")</f>
        <v>56039</v>
      </c>
      <c r="F303" s="1" t="str">
        <f t="shared" si="9"/>
        <v>100</v>
      </c>
    </row>
    <row r="304" spans="2:6" x14ac:dyDescent="0.3">
      <c r="B304" s="1">
        <f t="shared" si="10"/>
        <v>298</v>
      </c>
      <c r="D304" t="str">
        <f>IFERROR(VLOOKUP(BDREGISTROBTH2025[[#This Row],[NROKARDEX]],BDPADRES[],8,FALSE),"Sin registrado")</f>
        <v>YESMY ALBA FLORES</v>
      </c>
      <c r="E304" s="1">
        <f>IFERROR(VLOOKUP(BDREGISTROBTH2025[[#This Row],[NROKARDEX]],Tabla3[],12,FALSE),"NO PAGO")</f>
        <v>56259</v>
      </c>
      <c r="F304" s="1" t="str">
        <f t="shared" si="9"/>
        <v>100</v>
      </c>
    </row>
    <row r="305" spans="2:6" x14ac:dyDescent="0.3">
      <c r="B305" s="1">
        <f t="shared" si="10"/>
        <v>299</v>
      </c>
      <c r="D305" t="str">
        <f>IFERROR(VLOOKUP(BDREGISTROBTH2025[[#This Row],[NROKARDEX]],BDPADRES[],8,FALSE),"Sin registrado")</f>
        <v>CARLA PATRICIA SILES NUÑEZ</v>
      </c>
      <c r="E305" s="1">
        <f>IFERROR(VLOOKUP(BDREGISTROBTH2025[[#This Row],[NROKARDEX]],Tabla3[],12,FALSE),"NO PAGO")</f>
        <v>8732</v>
      </c>
      <c r="F305" s="1" t="str">
        <f t="shared" si="9"/>
        <v>100</v>
      </c>
    </row>
    <row r="306" spans="2:6" x14ac:dyDescent="0.3">
      <c r="B306" s="1">
        <f t="shared" si="10"/>
        <v>300</v>
      </c>
      <c r="D306" t="str">
        <f>IFERROR(VLOOKUP(BDREGISTROBTH2025[[#This Row],[NROKARDEX]],BDPADRES[],8,FALSE),"Sin registrado")</f>
        <v>SAIDA QUENTA BARRIENTOS</v>
      </c>
      <c r="E306" s="1">
        <f>IFERROR(VLOOKUP(BDREGISTROBTH2025[[#This Row],[NROKARDEX]],Tabla3[],12,FALSE),"NO PAGO")</f>
        <v>8560</v>
      </c>
      <c r="F306" s="1" t="str">
        <f t="shared" si="9"/>
        <v>100</v>
      </c>
    </row>
    <row r="307" spans="2:6" x14ac:dyDescent="0.3">
      <c r="B307" s="1">
        <f t="shared" si="10"/>
        <v>301</v>
      </c>
      <c r="D307" t="str">
        <f>IFERROR(VLOOKUP(BDREGISTROBTH2025[[#This Row],[NROKARDEX]],BDPADRES[],8,FALSE),"Sin registrado")</f>
        <v>VICTORIA BARRIGA VEDIA</v>
      </c>
      <c r="E307" s="1">
        <f>IFERROR(VLOOKUP(BDREGISTROBTH2025[[#This Row],[NROKARDEX]],Tabla3[],12,FALSE),"NO PAGO")</f>
        <v>64160</v>
      </c>
      <c r="F307" s="1" t="str">
        <f t="shared" si="9"/>
        <v>100</v>
      </c>
    </row>
    <row r="308" spans="2:6" x14ac:dyDescent="0.3">
      <c r="B308" s="1">
        <f t="shared" si="10"/>
        <v>302</v>
      </c>
      <c r="D308" t="str">
        <f>IFERROR(VLOOKUP(BDREGISTROBTH2025[[#This Row],[NROKARDEX]],BDPADRES[],8,FALSE),"Sin registrado")</f>
        <v>JACKELIN TORREZ ROJAS</v>
      </c>
      <c r="E308" s="1" t="str">
        <f>IFERROR(VLOOKUP(BDREGISTROBTH2025[[#This Row],[NROKARDEX]],Tabla3[],12,FALSE),"NO PAGO")</f>
        <v>NO</v>
      </c>
      <c r="F308" s="1">
        <f t="shared" si="9"/>
        <v>0</v>
      </c>
    </row>
    <row r="309" spans="2:6" x14ac:dyDescent="0.3">
      <c r="B309" s="1">
        <f t="shared" si="10"/>
        <v>303</v>
      </c>
      <c r="D309" t="str">
        <f>IFERROR(VLOOKUP(BDREGISTROBTH2025[[#This Row],[NROKARDEX]],BDPADRES[],8,FALSE),"Sin registrado")</f>
        <v>DOLLY SALAZAR</v>
      </c>
      <c r="E309" s="1" t="str">
        <f>IFERROR(VLOOKUP(BDREGISTROBTH2025[[#This Row],[NROKARDEX]],Tabla3[],12,FALSE),"NO PAGO")</f>
        <v>NO</v>
      </c>
      <c r="F309" s="1">
        <f t="shared" si="9"/>
        <v>0</v>
      </c>
    </row>
    <row r="310" spans="2:6" x14ac:dyDescent="0.3">
      <c r="B310" s="1">
        <f t="shared" si="10"/>
        <v>304</v>
      </c>
      <c r="D310" t="str">
        <f>IFERROR(VLOOKUP(BDREGISTROBTH2025[[#This Row],[NROKARDEX]],BDPADRES[],8,FALSE),"Sin registrado")</f>
        <v>SUSANA PRADO ASCARRAGA</v>
      </c>
      <c r="E310" s="1">
        <f>IFERROR(VLOOKUP(BDREGISTROBTH2025[[#This Row],[NROKARDEX]],Tabla3[],12,FALSE),"NO PAGO")</f>
        <v>64193</v>
      </c>
      <c r="F310" s="1" t="str">
        <f t="shared" si="9"/>
        <v>100</v>
      </c>
    </row>
    <row r="311" spans="2:6" x14ac:dyDescent="0.3">
      <c r="B311" s="1">
        <f t="shared" si="10"/>
        <v>305</v>
      </c>
      <c r="D311" t="str">
        <f>IFERROR(VLOOKUP(BDREGISTROBTH2025[[#This Row],[NROKARDEX]],BDPADRES[],8,FALSE),"Sin registrado")</f>
        <v>Sin registrado</v>
      </c>
      <c r="E311" s="1" t="str">
        <f>IFERROR(VLOOKUP(BDREGISTROBTH2025[[#This Row],[NROKARDEX]],Tabla3[],12,FALSE),"NO PAGO")</f>
        <v>NO PAGO</v>
      </c>
      <c r="F311" s="1">
        <v>0</v>
      </c>
    </row>
    <row r="312" spans="2:6" x14ac:dyDescent="0.3">
      <c r="B312" s="1">
        <f t="shared" si="10"/>
        <v>306</v>
      </c>
      <c r="D312" t="str">
        <f>IFERROR(VLOOKUP(BDREGISTROBTH2025[[#This Row],[NROKARDEX]],BDPADRES[],8,FALSE),"Sin registrado")</f>
        <v>REBECA COLQUE ROJAS</v>
      </c>
      <c r="E312" s="1">
        <f>IFERROR(VLOOKUP(BDREGISTROBTH2025[[#This Row],[NROKARDEX]],Tabla3[],12,FALSE),"NO PAGO")</f>
        <v>82639</v>
      </c>
      <c r="F312" s="1" t="str">
        <f t="shared" si="9"/>
        <v>100</v>
      </c>
    </row>
    <row r="313" spans="2:6" x14ac:dyDescent="0.3">
      <c r="B313" s="1">
        <f t="shared" si="10"/>
        <v>307</v>
      </c>
      <c r="D313" t="str">
        <f>IFERROR(VLOOKUP(BDREGISTROBTH2025[[#This Row],[NROKARDEX]],BDPADRES[],8,FALSE),"Sin registrado")</f>
        <v>MARITZA VALLEJOS AGUILERA</v>
      </c>
      <c r="E313" s="1">
        <f>IFERROR(VLOOKUP(BDREGISTROBTH2025[[#This Row],[NROKARDEX]],Tabla3[],12,FALSE),"NO PAGO")</f>
        <v>56028</v>
      </c>
      <c r="F313" s="1" t="str">
        <f t="shared" si="9"/>
        <v>100</v>
      </c>
    </row>
    <row r="314" spans="2:6" x14ac:dyDescent="0.3">
      <c r="B314" s="1">
        <f t="shared" si="10"/>
        <v>308</v>
      </c>
      <c r="D314" t="str">
        <f>IFERROR(VLOOKUP(BDREGISTROBTH2025[[#This Row],[NROKARDEX]],BDPADRES[],8,FALSE),"Sin registrado")</f>
        <v>YOLANDA ALARCON GUZMAN</v>
      </c>
      <c r="E314" s="1">
        <f>IFERROR(VLOOKUP(BDREGISTROBTH2025[[#This Row],[NROKARDEX]],Tabla3[],12,FALSE),"NO PAGO")</f>
        <v>82591</v>
      </c>
      <c r="F314" s="1" t="str">
        <f t="shared" si="9"/>
        <v>100</v>
      </c>
    </row>
    <row r="315" spans="2:6" x14ac:dyDescent="0.3">
      <c r="B315" s="1">
        <f t="shared" si="10"/>
        <v>309</v>
      </c>
      <c r="D315" t="str">
        <f>IFERROR(VLOOKUP(BDREGISTROBTH2025[[#This Row],[NROKARDEX]],BDPADRES[],8,FALSE),"Sin registrado")</f>
        <v>ROSA  ESPINOZA LLANOS</v>
      </c>
      <c r="E315" s="1">
        <f>IFERROR(VLOOKUP(BDREGISTROBTH2025[[#This Row],[NROKARDEX]],Tabla3[],12,FALSE),"NO PAGO")</f>
        <v>56256</v>
      </c>
      <c r="F315" s="1" t="str">
        <f t="shared" si="9"/>
        <v>100</v>
      </c>
    </row>
    <row r="316" spans="2:6" x14ac:dyDescent="0.3">
      <c r="B316" s="1">
        <f t="shared" si="10"/>
        <v>310</v>
      </c>
      <c r="D316" t="str">
        <f>IFERROR(VLOOKUP(BDREGISTROBTH2025[[#This Row],[NROKARDEX]],BDPADRES[],8,FALSE),"Sin registrado")</f>
        <v>MARTINA VILLCA FLORES</v>
      </c>
      <c r="E316" s="1">
        <f>IFERROR(VLOOKUP(BDREGISTROBTH2025[[#This Row],[NROKARDEX]],Tabla3[],12,FALSE),"NO PAGO")</f>
        <v>56026</v>
      </c>
      <c r="F316" s="1" t="str">
        <f t="shared" si="9"/>
        <v>100</v>
      </c>
    </row>
    <row r="317" spans="2:6" x14ac:dyDescent="0.3">
      <c r="B317" s="1">
        <f t="shared" si="10"/>
        <v>311</v>
      </c>
      <c r="D317" t="str">
        <f>IFERROR(VLOOKUP(BDREGISTROBTH2025[[#This Row],[NROKARDEX]],BDPADRES[],8,FALSE),"Sin registrado")</f>
        <v>JUANITA GONZALES BANEGAS</v>
      </c>
      <c r="E317" s="1">
        <f>IFERROR(VLOOKUP(BDREGISTROBTH2025[[#This Row],[NROKARDEX]],Tabla3[],12,FALSE),"NO PAGO")</f>
        <v>82650</v>
      </c>
      <c r="F317" s="1" t="str">
        <f t="shared" si="9"/>
        <v>100</v>
      </c>
    </row>
    <row r="318" spans="2:6" x14ac:dyDescent="0.3">
      <c r="B318" s="1">
        <f t="shared" si="10"/>
        <v>312</v>
      </c>
      <c r="D318" t="str">
        <f>IFERROR(VLOOKUP(BDREGISTROBTH2025[[#This Row],[NROKARDEX]],BDPADRES[],8,FALSE),"Sin registrado")</f>
        <v>MARCIANA APAZA FLORES</v>
      </c>
      <c r="E318" s="1">
        <f>IFERROR(VLOOKUP(BDREGISTROBTH2025[[#This Row],[NROKARDEX]],Tabla3[],12,FALSE),"NO PAGO")</f>
        <v>82589</v>
      </c>
      <c r="F318" s="1" t="str">
        <f t="shared" si="9"/>
        <v>100</v>
      </c>
    </row>
    <row r="319" spans="2:6" x14ac:dyDescent="0.3">
      <c r="B319" s="1">
        <f t="shared" si="10"/>
        <v>313</v>
      </c>
      <c r="D319" t="str">
        <f>IFERROR(VLOOKUP(BDREGISTROBTH2025[[#This Row],[NROKARDEX]],BDPADRES[],8,FALSE),"Sin registrado")</f>
        <v>YULI MIRANDA PADILLA</v>
      </c>
      <c r="E319" s="1">
        <f>IFERROR(VLOOKUP(BDREGISTROBTH2025[[#This Row],[NROKARDEX]],Tabla3[],12,FALSE),"NO PAGO")</f>
        <v>56041</v>
      </c>
      <c r="F319" s="1" t="str">
        <f t="shared" si="9"/>
        <v>100</v>
      </c>
    </row>
    <row r="320" spans="2:6" x14ac:dyDescent="0.3">
      <c r="B320" s="1">
        <f t="shared" si="10"/>
        <v>314</v>
      </c>
      <c r="D320" t="str">
        <f>IFERROR(VLOOKUP(BDREGISTROBTH2025[[#This Row],[NROKARDEX]],BDPADRES[],8,FALSE),"Sin registrado")</f>
        <v>LURDES GUZMAN LEDEZMA</v>
      </c>
      <c r="E320" s="1" t="str">
        <f>IFERROR(VLOOKUP(BDREGISTROBTH2025[[#This Row],[NROKARDEX]],Tabla3[],12,FALSE),"NO PAGO")</f>
        <v>NO</v>
      </c>
      <c r="F320" s="1">
        <f t="shared" si="9"/>
        <v>0</v>
      </c>
    </row>
    <row r="321" spans="2:6" x14ac:dyDescent="0.3">
      <c r="B321" s="1">
        <f t="shared" si="10"/>
        <v>315</v>
      </c>
      <c r="D321" t="str">
        <f>IFERROR(VLOOKUP(BDREGISTROBTH2025[[#This Row],[NROKARDEX]],BDPADRES[],8,FALSE),"Sin registrado")</f>
        <v>BEATRIZ ESTRADA BOCANEGRA</v>
      </c>
      <c r="E321" s="1">
        <f>IFERROR(VLOOKUP(BDREGISTROBTH2025[[#This Row],[NROKARDEX]],Tabla3[],12,FALSE),"NO PAGO")</f>
        <v>82577</v>
      </c>
      <c r="F321" s="1" t="str">
        <f t="shared" si="9"/>
        <v>100</v>
      </c>
    </row>
    <row r="322" spans="2:6" x14ac:dyDescent="0.3">
      <c r="B322" s="1">
        <f t="shared" si="10"/>
        <v>316</v>
      </c>
      <c r="D322" t="str">
        <f>IFERROR(VLOOKUP(BDREGISTROBTH2025[[#This Row],[NROKARDEX]],BDPADRES[],8,FALSE),"Sin registrado")</f>
        <v>HILARIA CRUZ ROMERO</v>
      </c>
      <c r="E322" s="1">
        <f>IFERROR(VLOOKUP(BDREGISTROBTH2025[[#This Row],[NROKARDEX]],Tabla3[],12,FALSE),"NO PAGO")</f>
        <v>56285</v>
      </c>
      <c r="F322" s="1" t="str">
        <f t="shared" si="9"/>
        <v>100</v>
      </c>
    </row>
    <row r="323" spans="2:6" x14ac:dyDescent="0.3">
      <c r="B323" s="1">
        <f t="shared" si="10"/>
        <v>317</v>
      </c>
      <c r="D323" t="str">
        <f>IFERROR(VLOOKUP(BDREGISTROBTH2025[[#This Row],[NROKARDEX]],BDPADRES[],8,FALSE),"Sin registrado")</f>
        <v>Sin registrado</v>
      </c>
      <c r="E323" s="1" t="str">
        <f>IFERROR(VLOOKUP(BDREGISTROBTH2025[[#This Row],[NROKARDEX]],Tabla3[],12,FALSE),"NO PAGO")</f>
        <v>NO PAGO</v>
      </c>
      <c r="F323" s="1">
        <v>0</v>
      </c>
    </row>
    <row r="324" spans="2:6" x14ac:dyDescent="0.3">
      <c r="B324" s="1">
        <f t="shared" si="10"/>
        <v>318</v>
      </c>
      <c r="D324" t="str">
        <f>IFERROR(VLOOKUP(BDREGISTROBTH2025[[#This Row],[NROKARDEX]],BDPADRES[],8,FALSE),"Sin registrado")</f>
        <v>DIONICIA VASQUEZ HIDALGO</v>
      </c>
      <c r="E324" s="1">
        <f>IFERROR(VLOOKUP(BDREGISTROBTH2025[[#This Row],[NROKARDEX]],Tabla3[],12,FALSE),"NO PAGO")</f>
        <v>82641</v>
      </c>
      <c r="F324" s="1" t="str">
        <f t="shared" si="9"/>
        <v>100</v>
      </c>
    </row>
    <row r="325" spans="2:6" x14ac:dyDescent="0.3">
      <c r="B325" s="1">
        <f t="shared" si="10"/>
        <v>319</v>
      </c>
      <c r="D325" t="str">
        <f>IFERROR(VLOOKUP(BDREGISTROBTH2025[[#This Row],[NROKARDEX]],BDPADRES[],8,FALSE),"Sin registrado")</f>
        <v>LUCY   FAREL GUEVARA</v>
      </c>
      <c r="E325" s="1">
        <f>IFERROR(VLOOKUP(BDREGISTROBTH2025[[#This Row],[NROKARDEX]],Tabla3[],12,FALSE),"NO PAGO")</f>
        <v>82634</v>
      </c>
      <c r="F325" s="1" t="str">
        <f t="shared" si="9"/>
        <v>100</v>
      </c>
    </row>
    <row r="326" spans="2:6" x14ac:dyDescent="0.3">
      <c r="B326" s="1">
        <f t="shared" si="10"/>
        <v>320</v>
      </c>
      <c r="D326" t="str">
        <f>IFERROR(VLOOKUP(BDREGISTROBTH2025[[#This Row],[NROKARDEX]],BDPADRES[],8,FALSE),"Sin registrado")</f>
        <v>JUANA SORIA MORON</v>
      </c>
      <c r="E326" s="1">
        <f>IFERROR(VLOOKUP(BDREGISTROBTH2025[[#This Row],[NROKARDEX]],Tabla3[],12,FALSE),"NO PAGO")</f>
        <v>8729</v>
      </c>
      <c r="F326" s="1" t="str">
        <f t="shared" si="9"/>
        <v>100</v>
      </c>
    </row>
    <row r="327" spans="2:6" x14ac:dyDescent="0.3">
      <c r="B327" s="1">
        <f t="shared" si="10"/>
        <v>321</v>
      </c>
      <c r="D327" t="str">
        <f>IFERROR(VLOOKUP(BDREGISTROBTH2025[[#This Row],[NROKARDEX]],BDPADRES[],8,FALSE),"Sin registrado")</f>
        <v>MARIA VILLARPANDO AVILA</v>
      </c>
      <c r="E327" s="1">
        <f>IFERROR(VLOOKUP(BDREGISTROBTH2025[[#This Row],[NROKARDEX]],Tabla3[],12,FALSE),"NO PAGO")</f>
        <v>82593</v>
      </c>
      <c r="F327" s="1" t="str">
        <f t="shared" ref="F327:F390" si="11">IF(E327="NO",0,"100")</f>
        <v>100</v>
      </c>
    </row>
    <row r="328" spans="2:6" x14ac:dyDescent="0.3">
      <c r="B328" s="1">
        <f t="shared" ref="B328:B391" si="12">ROW(A322)</f>
        <v>322</v>
      </c>
      <c r="D328" t="str">
        <f>IFERROR(VLOOKUP(BDREGISTROBTH2025[[#This Row],[NROKARDEX]],BDPADRES[],8,FALSE),"Sin registrado")</f>
        <v>REINA SERRUDO GUERRA</v>
      </c>
      <c r="E328" s="1">
        <f>IFERROR(VLOOKUP(BDREGISTROBTH2025[[#This Row],[NROKARDEX]],Tabla3[],12,FALSE),"NO PAGO")</f>
        <v>56271</v>
      </c>
      <c r="F328" s="1" t="str">
        <f t="shared" si="11"/>
        <v>100</v>
      </c>
    </row>
    <row r="329" spans="2:6" x14ac:dyDescent="0.3">
      <c r="B329" s="1">
        <f t="shared" si="12"/>
        <v>323</v>
      </c>
      <c r="D329" t="str">
        <f>IFERROR(VLOOKUP(BDREGISTROBTH2025[[#This Row],[NROKARDEX]],BDPADRES[],8,FALSE),"Sin registrado")</f>
        <v>Sin registrado</v>
      </c>
      <c r="E329" s="1" t="str">
        <f>IFERROR(VLOOKUP(BDREGISTROBTH2025[[#This Row],[NROKARDEX]],Tabla3[],12,FALSE),"NO PAGO")</f>
        <v>NO PAGO</v>
      </c>
      <c r="F329" s="1">
        <v>0</v>
      </c>
    </row>
    <row r="330" spans="2:6" x14ac:dyDescent="0.3">
      <c r="B330" s="1">
        <f t="shared" si="12"/>
        <v>324</v>
      </c>
      <c r="D330" t="str">
        <f>IFERROR(VLOOKUP(BDREGISTROBTH2025[[#This Row],[NROKARDEX]],BDPADRES[],8,FALSE),"Sin registrado")</f>
        <v>MILDREM ABIGAIL ANCASI ESPINOZA</v>
      </c>
      <c r="E330" s="1">
        <f>IFERROR(VLOOKUP(BDREGISTROBTH2025[[#This Row],[NROKARDEX]],Tabla3[],12,FALSE),"NO PAGO")</f>
        <v>8710</v>
      </c>
      <c r="F330" s="1" t="str">
        <f t="shared" si="11"/>
        <v>100</v>
      </c>
    </row>
    <row r="331" spans="2:6" x14ac:dyDescent="0.3">
      <c r="B331" s="1">
        <f t="shared" si="12"/>
        <v>325</v>
      </c>
      <c r="D331" t="str">
        <f>IFERROR(VLOOKUP(BDREGISTROBTH2025[[#This Row],[NROKARDEX]],BDPADRES[],8,FALSE),"Sin registrado")</f>
        <v>VERONICA CHUMACERO MAMANI</v>
      </c>
      <c r="E331" s="1">
        <f>IFERROR(VLOOKUP(BDREGISTROBTH2025[[#This Row],[NROKARDEX]],Tabla3[],12,FALSE),"NO PAGO")</f>
        <v>56108</v>
      </c>
      <c r="F331" s="1" t="str">
        <f t="shared" si="11"/>
        <v>100</v>
      </c>
    </row>
    <row r="332" spans="2:6" x14ac:dyDescent="0.3">
      <c r="B332" s="1">
        <f t="shared" si="12"/>
        <v>326</v>
      </c>
      <c r="D332" t="str">
        <f>IFERROR(VLOOKUP(BDREGISTROBTH2025[[#This Row],[NROKARDEX]],BDPADRES[],8,FALSE),"Sin registrado")</f>
        <v>ANGELICA GUDELIA SANDOVAL LOPEZ</v>
      </c>
      <c r="E332" s="1">
        <f>IFERROR(VLOOKUP(BDREGISTROBTH2025[[#This Row],[NROKARDEX]],Tabla3[],12,FALSE),"NO PAGO")</f>
        <v>82631</v>
      </c>
      <c r="F332" s="1" t="str">
        <f t="shared" si="11"/>
        <v>100</v>
      </c>
    </row>
    <row r="333" spans="2:6" x14ac:dyDescent="0.3">
      <c r="B333" s="1">
        <f t="shared" si="12"/>
        <v>327</v>
      </c>
      <c r="D333" t="str">
        <f>IFERROR(VLOOKUP(BDREGISTROBTH2025[[#This Row],[NROKARDEX]],BDPADRES[],8,FALSE),"Sin registrado")</f>
        <v>JAQUELIN ROMAN MENCARI</v>
      </c>
      <c r="E333" s="1">
        <f>IFERROR(VLOOKUP(BDREGISTROBTH2025[[#This Row],[NROKARDEX]],Tabla3[],12,FALSE),"NO PAGO")</f>
        <v>64186</v>
      </c>
      <c r="F333" s="1" t="str">
        <f t="shared" si="11"/>
        <v>100</v>
      </c>
    </row>
    <row r="334" spans="2:6" x14ac:dyDescent="0.3">
      <c r="B334" s="1">
        <f t="shared" si="12"/>
        <v>328</v>
      </c>
      <c r="D334" t="str">
        <f>IFERROR(VLOOKUP(BDREGISTROBTH2025[[#This Row],[NROKARDEX]],BDPADRES[],8,FALSE),"Sin registrado")</f>
        <v>PEREGRINA VARGAS CUCHALLO</v>
      </c>
      <c r="E334" s="1" t="str">
        <f>IFERROR(VLOOKUP(BDREGISTROBTH2025[[#This Row],[NROKARDEX]],Tabla3[],12,FALSE),"NO PAGO")</f>
        <v>NO</v>
      </c>
      <c r="F334" s="1">
        <f t="shared" si="11"/>
        <v>0</v>
      </c>
    </row>
    <row r="335" spans="2:6" x14ac:dyDescent="0.3">
      <c r="B335" s="1">
        <f t="shared" si="12"/>
        <v>329</v>
      </c>
      <c r="D335" t="str">
        <f>IFERROR(VLOOKUP(BDREGISTROBTH2025[[#This Row],[NROKARDEX]],BDPADRES[],8,FALSE),"Sin registrado")</f>
        <v>NORMA ARANCIBIA FIGUEROA</v>
      </c>
      <c r="E335" s="1">
        <f>IFERROR(VLOOKUP(BDREGISTROBTH2025[[#This Row],[NROKARDEX]],Tabla3[],12,FALSE),"NO PAGO")</f>
        <v>8563</v>
      </c>
      <c r="F335" s="1" t="str">
        <f t="shared" si="11"/>
        <v>100</v>
      </c>
    </row>
    <row r="336" spans="2:6" x14ac:dyDescent="0.3">
      <c r="B336" s="1">
        <f t="shared" si="12"/>
        <v>330</v>
      </c>
      <c r="D336" t="str">
        <f>IFERROR(VLOOKUP(BDREGISTROBTH2025[[#This Row],[NROKARDEX]],BDPADRES[],8,FALSE),"Sin registrado")</f>
        <v>Sin registrado</v>
      </c>
      <c r="E336" s="1" t="str">
        <f>IFERROR(VLOOKUP(BDREGISTROBTH2025[[#This Row],[NROKARDEX]],Tabla3[],12,FALSE),"NO PAGO")</f>
        <v>NO PAGO</v>
      </c>
      <c r="F336" s="1">
        <v>0</v>
      </c>
    </row>
    <row r="337" spans="2:6" x14ac:dyDescent="0.3">
      <c r="B337" s="1">
        <f t="shared" si="12"/>
        <v>331</v>
      </c>
      <c r="D337" t="str">
        <f>IFERROR(VLOOKUP(BDREGISTROBTH2025[[#This Row],[NROKARDEX]],BDPADRES[],8,FALSE),"Sin registrado")</f>
        <v>LAURA RIVERA ROSSEL</v>
      </c>
      <c r="E337" s="1" t="str">
        <f>IFERROR(VLOOKUP(BDREGISTROBTH2025[[#This Row],[NROKARDEX]],Tabla3[],12,FALSE),"NO PAGO")</f>
        <v>NO</v>
      </c>
      <c r="F337" s="1">
        <f t="shared" si="11"/>
        <v>0</v>
      </c>
    </row>
    <row r="338" spans="2:6" x14ac:dyDescent="0.3">
      <c r="B338" s="1">
        <f t="shared" si="12"/>
        <v>332</v>
      </c>
      <c r="D338" t="str">
        <f>IFERROR(VLOOKUP(BDREGISTROBTH2025[[#This Row],[NROKARDEX]],BDPADRES[],8,FALSE),"Sin registrado")</f>
        <v>INGRID SAAVEDRA MANO</v>
      </c>
      <c r="E338" s="1">
        <f>IFERROR(VLOOKUP(BDREGISTROBTH2025[[#This Row],[NROKARDEX]],Tabla3[],12,FALSE),"NO PAGO")</f>
        <v>56038</v>
      </c>
      <c r="F338" s="1" t="str">
        <f t="shared" si="11"/>
        <v>100</v>
      </c>
    </row>
    <row r="339" spans="2:6" x14ac:dyDescent="0.3">
      <c r="B339" s="1">
        <f t="shared" si="12"/>
        <v>333</v>
      </c>
      <c r="D339" t="str">
        <f>IFERROR(VLOOKUP(BDREGISTROBTH2025[[#This Row],[NROKARDEX]],BDPADRES[],8,FALSE),"Sin registrado")</f>
        <v>DOMINGA CABRERA ORTIZ</v>
      </c>
      <c r="E339" s="1">
        <f>IFERROR(VLOOKUP(BDREGISTROBTH2025[[#This Row],[NROKARDEX]],Tabla3[],12,FALSE),"NO PAGO")</f>
        <v>82596</v>
      </c>
      <c r="F339" s="1" t="str">
        <f t="shared" si="11"/>
        <v>100</v>
      </c>
    </row>
    <row r="340" spans="2:6" x14ac:dyDescent="0.3">
      <c r="B340" s="1">
        <f t="shared" si="12"/>
        <v>334</v>
      </c>
      <c r="D340" t="str">
        <f>IFERROR(VLOOKUP(BDREGISTROBTH2025[[#This Row],[NROKARDEX]],BDPADRES[],8,FALSE),"Sin registrado")</f>
        <v>MARY LUZ CHAVEZ RODA</v>
      </c>
      <c r="E340" s="1" t="str">
        <f>IFERROR(VLOOKUP(BDREGISTROBTH2025[[#This Row],[NROKARDEX]],Tabla3[],12,FALSE),"NO PAGO")</f>
        <v>NO</v>
      </c>
      <c r="F340" s="1">
        <f t="shared" si="11"/>
        <v>0</v>
      </c>
    </row>
    <row r="341" spans="2:6" x14ac:dyDescent="0.3">
      <c r="B341" s="1">
        <f t="shared" si="12"/>
        <v>335</v>
      </c>
      <c r="D341" t="str">
        <f>IFERROR(VLOOKUP(BDREGISTROBTH2025[[#This Row],[NROKARDEX]],BDPADRES[],8,FALSE),"Sin registrado")</f>
        <v>GABRIELA BANUS ESTRADA</v>
      </c>
      <c r="E341" s="1">
        <f>IFERROR(VLOOKUP(BDREGISTROBTH2025[[#This Row],[NROKARDEX]],Tabla3[],12,FALSE),"NO PAGO")</f>
        <v>64153</v>
      </c>
      <c r="F341" s="1" t="str">
        <f t="shared" si="11"/>
        <v>100</v>
      </c>
    </row>
    <row r="342" spans="2:6" x14ac:dyDescent="0.3">
      <c r="B342" s="1">
        <f t="shared" si="12"/>
        <v>336</v>
      </c>
      <c r="D342" t="str">
        <f>IFERROR(VLOOKUP(BDREGISTROBTH2025[[#This Row],[NROKARDEX]],BDPADRES[],8,FALSE),"Sin registrado")</f>
        <v>ERNESTINA PADILLA GAMBOA</v>
      </c>
      <c r="E342" s="1">
        <f>IFERROR(VLOOKUP(BDREGISTROBTH2025[[#This Row],[NROKARDEX]],Tabla3[],12,FALSE),"NO PAGO")</f>
        <v>8558</v>
      </c>
      <c r="F342" s="1" t="str">
        <f t="shared" si="11"/>
        <v>100</v>
      </c>
    </row>
    <row r="343" spans="2:6" x14ac:dyDescent="0.3">
      <c r="B343" s="1">
        <f t="shared" si="12"/>
        <v>337</v>
      </c>
      <c r="D343" t="str">
        <f>IFERROR(VLOOKUP(BDREGISTROBTH2025[[#This Row],[NROKARDEX]],BDPADRES[],8,FALSE),"Sin registrado")</f>
        <v>RAQUEL MARTINEZ PADILLA</v>
      </c>
      <c r="E343" s="1">
        <f>IFERROR(VLOOKUP(BDREGISTROBTH2025[[#This Row],[NROKARDEX]],Tabla3[],12,FALSE),"NO PAGO")</f>
        <v>8707</v>
      </c>
      <c r="F343" s="1" t="str">
        <f t="shared" si="11"/>
        <v>100</v>
      </c>
    </row>
    <row r="344" spans="2:6" x14ac:dyDescent="0.3">
      <c r="B344" s="1">
        <f t="shared" si="12"/>
        <v>338</v>
      </c>
      <c r="D344" t="str">
        <f>IFERROR(VLOOKUP(BDREGISTROBTH2025[[#This Row],[NROKARDEX]],BDPADRES[],8,FALSE),"Sin registrado")</f>
        <v>JUANA BALDERRAMA ROQUE</v>
      </c>
      <c r="E344" s="1" t="str">
        <f>IFERROR(VLOOKUP(BDREGISTROBTH2025[[#This Row],[NROKARDEX]],Tabla3[],12,FALSE),"NO PAGO")</f>
        <v>NO</v>
      </c>
      <c r="F344" s="1">
        <f t="shared" si="11"/>
        <v>0</v>
      </c>
    </row>
    <row r="345" spans="2:6" x14ac:dyDescent="0.3">
      <c r="B345" s="1">
        <f t="shared" si="12"/>
        <v>339</v>
      </c>
      <c r="D345" t="str">
        <f>IFERROR(VLOOKUP(BDREGISTROBTH2025[[#This Row],[NROKARDEX]],BDPADRES[],8,FALSE),"Sin registrado")</f>
        <v>CELIDA CESPEDES CARRIAZO</v>
      </c>
      <c r="E345" s="1">
        <f>IFERROR(VLOOKUP(BDREGISTROBTH2025[[#This Row],[NROKARDEX]],Tabla3[],12,FALSE),"NO PAGO")</f>
        <v>56025</v>
      </c>
      <c r="F345" s="1" t="str">
        <f t="shared" si="11"/>
        <v>100</v>
      </c>
    </row>
    <row r="346" spans="2:6" x14ac:dyDescent="0.3">
      <c r="B346" s="1">
        <f t="shared" si="12"/>
        <v>340</v>
      </c>
      <c r="D346" t="str">
        <f>IFERROR(VLOOKUP(BDREGISTROBTH2025[[#This Row],[NROKARDEX]],BDPADRES[],8,FALSE),"Sin registrado")</f>
        <v>SILVIA GARCIA RODAS</v>
      </c>
      <c r="E346" s="1">
        <f>IFERROR(VLOOKUP(BDREGISTROBTH2025[[#This Row],[NROKARDEX]],Tabla3[],12,FALSE),"NO PAGO")</f>
        <v>56103</v>
      </c>
      <c r="F346" s="1" t="str">
        <f t="shared" si="11"/>
        <v>100</v>
      </c>
    </row>
    <row r="347" spans="2:6" x14ac:dyDescent="0.3">
      <c r="B347" s="1">
        <f t="shared" si="12"/>
        <v>341</v>
      </c>
      <c r="D347" t="str">
        <f>IFERROR(VLOOKUP(BDREGISTROBTH2025[[#This Row],[NROKARDEX]],BDPADRES[],8,FALSE),"Sin registrado")</f>
        <v>VERONICA PINO FLORES</v>
      </c>
      <c r="E347" s="1">
        <f>IFERROR(VLOOKUP(BDREGISTROBTH2025[[#This Row],[NROKARDEX]],Tabla3[],12,FALSE),"NO PAGO")</f>
        <v>64155</v>
      </c>
      <c r="F347" s="1" t="str">
        <f t="shared" si="11"/>
        <v>100</v>
      </c>
    </row>
    <row r="348" spans="2:6" x14ac:dyDescent="0.3">
      <c r="B348" s="1">
        <f t="shared" si="12"/>
        <v>342</v>
      </c>
      <c r="D348" t="str">
        <f>IFERROR(VLOOKUP(BDREGISTROBTH2025[[#This Row],[NROKARDEX]],BDPADRES[],8,FALSE),"Sin registrado")</f>
        <v>VALENTINA FLORES VARGAS</v>
      </c>
      <c r="E348" s="1" t="str">
        <f>IFERROR(VLOOKUP(BDREGISTROBTH2025[[#This Row],[NROKARDEX]],Tabla3[],12,FALSE),"NO PAGO")</f>
        <v>NO</v>
      </c>
      <c r="F348" s="1">
        <f t="shared" si="11"/>
        <v>0</v>
      </c>
    </row>
    <row r="349" spans="2:6" x14ac:dyDescent="0.3">
      <c r="B349" s="1">
        <f t="shared" si="12"/>
        <v>343</v>
      </c>
      <c r="D349" t="str">
        <f>IFERROR(VLOOKUP(BDREGISTROBTH2025[[#This Row],[NROKARDEX]],BDPADRES[],8,FALSE),"Sin registrado")</f>
        <v>DEYSI SEGARRA VARGAS</v>
      </c>
      <c r="E349" s="1">
        <f>IFERROR(VLOOKUP(BDREGISTROBTH2025[[#This Row],[NROKARDEX]],Tabla3[],12,FALSE),"NO PAGO")</f>
        <v>8706</v>
      </c>
      <c r="F349" s="1" t="str">
        <f t="shared" si="11"/>
        <v>100</v>
      </c>
    </row>
    <row r="350" spans="2:6" x14ac:dyDescent="0.3">
      <c r="B350" s="1">
        <f t="shared" si="12"/>
        <v>344</v>
      </c>
      <c r="D350" t="str">
        <f>IFERROR(VLOOKUP(BDREGISTROBTH2025[[#This Row],[NROKARDEX]],BDPADRES[],8,FALSE),"Sin registrado")</f>
        <v>LISBETH MAMANI FIGUEROA</v>
      </c>
      <c r="E350" s="1">
        <f>IFERROR(VLOOKUP(BDREGISTROBTH2025[[#This Row],[NROKARDEX]],Tabla3[],12,FALSE),"NO PAGO")</f>
        <v>56018</v>
      </c>
      <c r="F350" s="1" t="str">
        <f t="shared" si="11"/>
        <v>100</v>
      </c>
    </row>
    <row r="351" spans="2:6" x14ac:dyDescent="0.3">
      <c r="B351" s="1">
        <f t="shared" si="12"/>
        <v>345</v>
      </c>
      <c r="D351" t="str">
        <f>IFERROR(VLOOKUP(BDREGISTROBTH2025[[#This Row],[NROKARDEX]],BDPADRES[],8,FALSE),"Sin registrado")</f>
        <v>LUCY MAR TAPIA LARA</v>
      </c>
      <c r="E351" s="1">
        <f>IFERROR(VLOOKUP(BDREGISTROBTH2025[[#This Row],[NROKARDEX]],Tabla3[],12,FALSE),"NO PAGO")</f>
        <v>56290</v>
      </c>
      <c r="F351" s="1" t="str">
        <f t="shared" si="11"/>
        <v>100</v>
      </c>
    </row>
    <row r="352" spans="2:6" x14ac:dyDescent="0.3">
      <c r="B352" s="1">
        <f t="shared" si="12"/>
        <v>346</v>
      </c>
      <c r="D352" t="str">
        <f>IFERROR(VLOOKUP(BDREGISTROBTH2025[[#This Row],[NROKARDEX]],BDPADRES[],8,FALSE),"Sin registrado")</f>
        <v>Sin registrado</v>
      </c>
      <c r="E352" s="1" t="str">
        <f>IFERROR(VLOOKUP(BDREGISTROBTH2025[[#This Row],[NROKARDEX]],Tabla3[],12,FALSE),"NO PAGO")</f>
        <v>NO PAGO</v>
      </c>
      <c r="F352" s="1">
        <v>0</v>
      </c>
    </row>
    <row r="353" spans="2:6" x14ac:dyDescent="0.3">
      <c r="B353" s="1">
        <f t="shared" si="12"/>
        <v>347</v>
      </c>
      <c r="D353" t="str">
        <f>IFERROR(VLOOKUP(BDREGISTROBTH2025[[#This Row],[NROKARDEX]],BDPADRES[],8,FALSE),"Sin registrado")</f>
        <v>CONCEPCION MARINA MAMANI VALLEJOS</v>
      </c>
      <c r="E353" s="1">
        <f>IFERROR(VLOOKUP(BDREGISTROBTH2025[[#This Row],[NROKARDEX]],Tabla3[],12,FALSE),"NO PAGO")</f>
        <v>82600</v>
      </c>
      <c r="F353" s="1" t="str">
        <f t="shared" si="11"/>
        <v>100</v>
      </c>
    </row>
    <row r="354" spans="2:6" x14ac:dyDescent="0.3">
      <c r="B354" s="1">
        <f t="shared" si="12"/>
        <v>348</v>
      </c>
      <c r="D354" t="str">
        <f>IFERROR(VLOOKUP(BDREGISTROBTH2025[[#This Row],[NROKARDEX]],BDPADRES[],8,FALSE),"Sin registrado")</f>
        <v>MARY LOURDES COLQUE QUISPE</v>
      </c>
      <c r="E354" s="1">
        <f>IFERROR(VLOOKUP(BDREGISTROBTH2025[[#This Row],[NROKARDEX]],Tabla3[],12,FALSE),"NO PAGO")</f>
        <v>56261</v>
      </c>
      <c r="F354" s="1" t="str">
        <f t="shared" si="11"/>
        <v>100</v>
      </c>
    </row>
    <row r="355" spans="2:6" x14ac:dyDescent="0.3">
      <c r="B355" s="1">
        <f t="shared" si="12"/>
        <v>349</v>
      </c>
      <c r="D355" t="str">
        <f>IFERROR(VLOOKUP(BDREGISTROBTH2025[[#This Row],[NROKARDEX]],BDPADRES[],8,FALSE),"Sin registrado")</f>
        <v>VITALIA CONDORI CRISPIN</v>
      </c>
      <c r="E355" s="1" t="str">
        <f>IFERROR(VLOOKUP(BDREGISTROBTH2025[[#This Row],[NROKARDEX]],Tabla3[],12,FALSE),"NO PAGO")</f>
        <v>NO</v>
      </c>
      <c r="F355" s="1">
        <f t="shared" si="11"/>
        <v>0</v>
      </c>
    </row>
    <row r="356" spans="2:6" x14ac:dyDescent="0.3">
      <c r="B356" s="1">
        <f t="shared" si="12"/>
        <v>350</v>
      </c>
      <c r="D356" t="str">
        <f>IFERROR(VLOOKUP(BDREGISTROBTH2025[[#This Row],[NROKARDEX]],BDPADRES[],8,FALSE),"Sin registrado")</f>
        <v>JUANA PACHACOPA TARDIO</v>
      </c>
      <c r="E356" s="1">
        <f>IFERROR(VLOOKUP(BDREGISTROBTH2025[[#This Row],[NROKARDEX]],Tabla3[],12,FALSE),"NO PAGO")</f>
        <v>56270</v>
      </c>
      <c r="F356" s="1" t="str">
        <f t="shared" si="11"/>
        <v>100</v>
      </c>
    </row>
    <row r="357" spans="2:6" x14ac:dyDescent="0.3">
      <c r="B357" s="1">
        <f t="shared" si="12"/>
        <v>351</v>
      </c>
      <c r="D357" t="str">
        <f>IFERROR(VLOOKUP(BDREGISTROBTH2025[[#This Row],[NROKARDEX]],BDPADRES[],8,FALSE),"Sin registrado")</f>
        <v>ROSMERY MORALES RENTERIA</v>
      </c>
      <c r="E357" s="1" t="str">
        <f>IFERROR(VLOOKUP(BDREGISTROBTH2025[[#This Row],[NROKARDEX]],Tabla3[],12,FALSE),"NO PAGO")</f>
        <v>NO</v>
      </c>
      <c r="F357" s="1">
        <f t="shared" si="11"/>
        <v>0</v>
      </c>
    </row>
    <row r="358" spans="2:6" x14ac:dyDescent="0.3">
      <c r="B358" s="1">
        <f t="shared" si="12"/>
        <v>352</v>
      </c>
      <c r="D358" t="str">
        <f>IFERROR(VLOOKUP(BDREGISTROBTH2025[[#This Row],[NROKARDEX]],BDPADRES[],8,FALSE),"Sin registrado")</f>
        <v>FLORA COPA MAMANI</v>
      </c>
      <c r="E358" s="1">
        <f>IFERROR(VLOOKUP(BDREGISTROBTH2025[[#This Row],[NROKARDEX]],Tabla3[],12,FALSE),"NO PAGO")</f>
        <v>56275</v>
      </c>
      <c r="F358" s="1" t="str">
        <f t="shared" si="11"/>
        <v>100</v>
      </c>
    </row>
    <row r="359" spans="2:6" x14ac:dyDescent="0.3">
      <c r="B359" s="1">
        <f t="shared" si="12"/>
        <v>353</v>
      </c>
      <c r="D359" t="str">
        <f>IFERROR(VLOOKUP(BDREGISTROBTH2025[[#This Row],[NROKARDEX]],BDPADRES[],8,FALSE),"Sin registrado")</f>
        <v>LORENZA GONZALES SERRANO</v>
      </c>
      <c r="E359" s="1" t="str">
        <f>IFERROR(VLOOKUP(BDREGISTROBTH2025[[#This Row],[NROKARDEX]],Tabla3[],12,FALSE),"NO PAGO")</f>
        <v>NO</v>
      </c>
      <c r="F359" s="1">
        <f t="shared" si="11"/>
        <v>0</v>
      </c>
    </row>
    <row r="360" spans="2:6" x14ac:dyDescent="0.3">
      <c r="B360" s="1">
        <f t="shared" si="12"/>
        <v>354</v>
      </c>
      <c r="D360" t="str">
        <f>IFERROR(VLOOKUP(BDREGISTROBTH2025[[#This Row],[NROKARDEX]],BDPADRES[],8,FALSE),"Sin registrado")</f>
        <v>SAVINA LLANOS GUZMAN</v>
      </c>
      <c r="E360" s="1">
        <f>IFERROR(VLOOKUP(BDREGISTROBTH2025[[#This Row],[NROKARDEX]],Tabla3[],12,FALSE),"NO PAGO")</f>
        <v>64178</v>
      </c>
      <c r="F360" s="1" t="str">
        <f t="shared" si="11"/>
        <v>100</v>
      </c>
    </row>
    <row r="361" spans="2:6" x14ac:dyDescent="0.3">
      <c r="B361" s="1">
        <f t="shared" si="12"/>
        <v>355</v>
      </c>
      <c r="D361" t="str">
        <f>IFERROR(VLOOKUP(BDREGISTROBTH2025[[#This Row],[NROKARDEX]],BDPADRES[],8,FALSE),"Sin registrado")</f>
        <v>FELICIDAD PUMA ROSAS</v>
      </c>
      <c r="E361" s="1">
        <f>IFERROR(VLOOKUP(BDREGISTROBTH2025[[#This Row],[NROKARDEX]],Tabla3[],12,FALSE),"NO PAGO")</f>
        <v>64191</v>
      </c>
      <c r="F361" s="1" t="str">
        <f t="shared" si="11"/>
        <v>100</v>
      </c>
    </row>
    <row r="362" spans="2:6" x14ac:dyDescent="0.3">
      <c r="B362" s="1">
        <f t="shared" si="12"/>
        <v>356</v>
      </c>
      <c r="D362" t="str">
        <f>IFERROR(VLOOKUP(BDREGISTROBTH2025[[#This Row],[NROKARDEX]],BDPADRES[],8,FALSE),"Sin registrado")</f>
        <v>LAURA ARACELY GOMEZ HIDALGO</v>
      </c>
      <c r="E362" s="1">
        <f>IFERROR(VLOOKUP(BDREGISTROBTH2025[[#This Row],[NROKARDEX]],Tabla3[],12,FALSE),"NO PAGO")</f>
        <v>8670</v>
      </c>
      <c r="F362" s="1" t="str">
        <f t="shared" si="11"/>
        <v>100</v>
      </c>
    </row>
    <row r="363" spans="2:6" x14ac:dyDescent="0.3">
      <c r="B363" s="1">
        <f t="shared" si="12"/>
        <v>357</v>
      </c>
      <c r="D363" t="str">
        <f>IFERROR(VLOOKUP(BDREGISTROBTH2025[[#This Row],[NROKARDEX]],BDPADRES[],8,FALSE),"Sin registrado")</f>
        <v>Sin registrado</v>
      </c>
      <c r="E363" s="1" t="str">
        <f>IFERROR(VLOOKUP(BDREGISTROBTH2025[[#This Row],[NROKARDEX]],Tabla3[],12,FALSE),"NO PAGO")</f>
        <v>NO PAGO</v>
      </c>
      <c r="F363" s="1">
        <v>0</v>
      </c>
    </row>
    <row r="364" spans="2:6" x14ac:dyDescent="0.3">
      <c r="B364" s="1">
        <f t="shared" si="12"/>
        <v>358</v>
      </c>
      <c r="D364" t="str">
        <f>IFERROR(VLOOKUP(BDREGISTROBTH2025[[#This Row],[NROKARDEX]],BDPADRES[],8,FALSE),"Sin registrado")</f>
        <v>NELFY RODAS</v>
      </c>
      <c r="E364" s="1">
        <f>IFERROR(VLOOKUP(BDREGISTROBTH2025[[#This Row],[NROKARDEX]],Tabla3[],12,FALSE),"NO PAGO")</f>
        <v>56288</v>
      </c>
      <c r="F364" s="1" t="str">
        <f t="shared" si="11"/>
        <v>100</v>
      </c>
    </row>
    <row r="365" spans="2:6" x14ac:dyDescent="0.3">
      <c r="B365" s="1">
        <f t="shared" si="12"/>
        <v>359</v>
      </c>
      <c r="D365" t="str">
        <f>IFERROR(VLOOKUP(BDREGISTROBTH2025[[#This Row],[NROKARDEX]],BDPADRES[],8,FALSE),"Sin registrado")</f>
        <v>Sin registrado</v>
      </c>
      <c r="E365" s="1" t="str">
        <f>IFERROR(VLOOKUP(BDREGISTROBTH2025[[#This Row],[NROKARDEX]],Tabla3[],12,FALSE),"NO PAGO")</f>
        <v>NO PAGO</v>
      </c>
      <c r="F365" s="1">
        <v>0</v>
      </c>
    </row>
    <row r="366" spans="2:6" x14ac:dyDescent="0.3">
      <c r="B366" s="1">
        <f t="shared" si="12"/>
        <v>360</v>
      </c>
      <c r="D366" t="str">
        <f>IFERROR(VLOOKUP(BDREGISTROBTH2025[[#This Row],[NROKARDEX]],BDPADRES[],8,FALSE),"Sin registrado")</f>
        <v>NOEMY TORRICO DAZA</v>
      </c>
      <c r="E366" s="1" t="str">
        <f>IFERROR(VLOOKUP(BDREGISTROBTH2025[[#This Row],[NROKARDEX]],Tabla3[],12,FALSE),"NO PAGO")</f>
        <v>NO</v>
      </c>
      <c r="F366" s="1">
        <f t="shared" si="11"/>
        <v>0</v>
      </c>
    </row>
    <row r="367" spans="2:6" x14ac:dyDescent="0.3">
      <c r="B367" s="1">
        <f t="shared" si="12"/>
        <v>361</v>
      </c>
      <c r="D367" t="str">
        <f>IFERROR(VLOOKUP(BDREGISTROBTH2025[[#This Row],[NROKARDEX]],BDPADRES[],8,FALSE),"Sin registrado")</f>
        <v>Sin registrado</v>
      </c>
      <c r="E367" s="1" t="str">
        <f>IFERROR(VLOOKUP(BDREGISTROBTH2025[[#This Row],[NROKARDEX]],Tabla3[],12,FALSE),"NO PAGO")</f>
        <v>NO PAGO</v>
      </c>
      <c r="F367" s="1">
        <v>0</v>
      </c>
    </row>
    <row r="368" spans="2:6" x14ac:dyDescent="0.3">
      <c r="B368" s="1">
        <f t="shared" si="12"/>
        <v>362</v>
      </c>
      <c r="D368" t="str">
        <f>IFERROR(VLOOKUP(BDREGISTROBTH2025[[#This Row],[NROKARDEX]],BDPADRES[],8,FALSE),"Sin registrado")</f>
        <v>ROSALIA CONDORI ALANES</v>
      </c>
      <c r="E368" s="1">
        <f>IFERROR(VLOOKUP(BDREGISTROBTH2025[[#This Row],[NROKARDEX]],Tabla3[],12,FALSE),"NO PAGO")</f>
        <v>64196</v>
      </c>
      <c r="F368" s="1" t="str">
        <f t="shared" si="11"/>
        <v>100</v>
      </c>
    </row>
    <row r="369" spans="2:6" x14ac:dyDescent="0.3">
      <c r="B369" s="1">
        <f t="shared" si="12"/>
        <v>363</v>
      </c>
      <c r="D369" t="str">
        <f>IFERROR(VLOOKUP(BDREGISTROBTH2025[[#This Row],[NROKARDEX]],BDPADRES[],8,FALSE),"Sin registrado")</f>
        <v>MARGARITA ABALOS</v>
      </c>
      <c r="E369" s="1">
        <f>IFERROR(VLOOKUP(BDREGISTROBTH2025[[#This Row],[NROKARDEX]],Tabla3[],12,FALSE),"NO PAGO")</f>
        <v>56012</v>
      </c>
      <c r="F369" s="1" t="str">
        <f t="shared" si="11"/>
        <v>100</v>
      </c>
    </row>
    <row r="370" spans="2:6" x14ac:dyDescent="0.3">
      <c r="B370" s="1">
        <f t="shared" si="12"/>
        <v>364</v>
      </c>
      <c r="D370" t="str">
        <f>IFERROR(VLOOKUP(BDREGISTROBTH2025[[#This Row],[NROKARDEX]],BDPADRES[],8,FALSE),"Sin registrado")</f>
        <v>BENITA CUBA ROMERO</v>
      </c>
      <c r="E370" s="1">
        <f>IFERROR(VLOOKUP(BDREGISTROBTH2025[[#This Row],[NROKARDEX]],Tabla3[],12,FALSE),"NO PAGO")</f>
        <v>56283</v>
      </c>
      <c r="F370" s="1" t="str">
        <f t="shared" si="11"/>
        <v>100</v>
      </c>
    </row>
    <row r="371" spans="2:6" x14ac:dyDescent="0.3">
      <c r="B371" s="1">
        <f t="shared" si="12"/>
        <v>365</v>
      </c>
      <c r="D371" t="str">
        <f>IFERROR(VLOOKUP(BDREGISTROBTH2025[[#This Row],[NROKARDEX]],BDPADRES[],8,FALSE),"Sin registrado")</f>
        <v>ROXANA RENGIPO ZAPATA</v>
      </c>
      <c r="E371" s="1">
        <f>IFERROR(VLOOKUP(BDREGISTROBTH2025[[#This Row],[NROKARDEX]],Tabla3[],12,FALSE),"NO PAGO")</f>
        <v>8553</v>
      </c>
      <c r="F371" s="1" t="str">
        <f t="shared" si="11"/>
        <v>100</v>
      </c>
    </row>
    <row r="372" spans="2:6" x14ac:dyDescent="0.3">
      <c r="B372" s="1">
        <f t="shared" si="12"/>
        <v>366</v>
      </c>
      <c r="D372" t="str">
        <f>IFERROR(VLOOKUP(BDREGISTROBTH2025[[#This Row],[NROKARDEX]],BDPADRES[],8,FALSE),"Sin registrado")</f>
        <v>YAQUELIN CARRISALES GUTIERRES</v>
      </c>
      <c r="E372" s="1" t="str">
        <f>IFERROR(VLOOKUP(BDREGISTROBTH2025[[#This Row],[NROKARDEX]],Tabla3[],12,FALSE),"NO PAGO")</f>
        <v>NO</v>
      </c>
      <c r="F372" s="1">
        <f t="shared" si="11"/>
        <v>0</v>
      </c>
    </row>
    <row r="373" spans="2:6" x14ac:dyDescent="0.3">
      <c r="B373" s="1">
        <f t="shared" si="12"/>
        <v>367</v>
      </c>
      <c r="D373" t="str">
        <f>IFERROR(VLOOKUP(BDREGISTROBTH2025[[#This Row],[NROKARDEX]],BDPADRES[],8,FALSE),"Sin registrado")</f>
        <v>CRISTINA  DIAZ ALVAREZ</v>
      </c>
      <c r="E373" s="1">
        <f>IFERROR(VLOOKUP(BDREGISTROBTH2025[[#This Row],[NROKARDEX]],Tabla3[],12,FALSE),"NO PAGO")</f>
        <v>56004</v>
      </c>
      <c r="F373" s="1" t="str">
        <f t="shared" si="11"/>
        <v>100</v>
      </c>
    </row>
    <row r="374" spans="2:6" x14ac:dyDescent="0.3">
      <c r="B374" s="1">
        <f t="shared" si="12"/>
        <v>368</v>
      </c>
      <c r="D374" t="str">
        <f>IFERROR(VLOOKUP(BDREGISTROBTH2025[[#This Row],[NROKARDEX]],BDPADRES[],8,FALSE),"Sin registrado")</f>
        <v>SULMA TERESA COLQUE MIRANDA</v>
      </c>
      <c r="E374" s="1">
        <f>IFERROR(VLOOKUP(BDREGISTROBTH2025[[#This Row],[NROKARDEX]],Tabla3[],12,FALSE),"NO PAGO")</f>
        <v>8665</v>
      </c>
      <c r="F374" s="1" t="str">
        <f t="shared" si="11"/>
        <v>100</v>
      </c>
    </row>
    <row r="375" spans="2:6" x14ac:dyDescent="0.3">
      <c r="B375" s="1">
        <f t="shared" si="12"/>
        <v>369</v>
      </c>
      <c r="D375" t="str">
        <f>IFERROR(VLOOKUP(BDREGISTROBTH2025[[#This Row],[NROKARDEX]],BDPADRES[],8,FALSE),"Sin registrado")</f>
        <v>ISABEL CRUZ BAUTISTA</v>
      </c>
      <c r="E375" s="1">
        <f>IFERROR(VLOOKUP(BDREGISTROBTH2025[[#This Row],[NROKARDEX]],Tabla3[],12,FALSE),"NO PAGO")</f>
        <v>82648</v>
      </c>
      <c r="F375" s="1" t="str">
        <f t="shared" si="11"/>
        <v>100</v>
      </c>
    </row>
    <row r="376" spans="2:6" x14ac:dyDescent="0.3">
      <c r="B376" s="1">
        <f t="shared" si="12"/>
        <v>370</v>
      </c>
      <c r="D376" t="str">
        <f>IFERROR(VLOOKUP(BDREGISTROBTH2025[[#This Row],[NROKARDEX]],BDPADRES[],8,FALSE),"Sin registrado")</f>
        <v>MELVY EUGENIA SARACHO VILLAGOMEZ</v>
      </c>
      <c r="E376" s="1">
        <f>IFERROR(VLOOKUP(BDREGISTROBTH2025[[#This Row],[NROKARDEX]],Tabla3[],12,FALSE),"NO PAGO")</f>
        <v>56019</v>
      </c>
      <c r="F376" s="1" t="str">
        <f t="shared" si="11"/>
        <v>100</v>
      </c>
    </row>
    <row r="377" spans="2:6" x14ac:dyDescent="0.3">
      <c r="B377" s="1">
        <f t="shared" si="12"/>
        <v>371</v>
      </c>
      <c r="D377" t="str">
        <f>IFERROR(VLOOKUP(BDREGISTROBTH2025[[#This Row],[NROKARDEX]],BDPADRES[],8,FALSE),"Sin registrado")</f>
        <v>Sin registrado</v>
      </c>
      <c r="E377" s="1" t="str">
        <f>IFERROR(VLOOKUP(BDREGISTROBTH2025[[#This Row],[NROKARDEX]],Tabla3[],12,FALSE),"NO PAGO")</f>
        <v>NO PAGO</v>
      </c>
      <c r="F377" s="1">
        <v>0</v>
      </c>
    </row>
    <row r="378" spans="2:6" x14ac:dyDescent="0.3">
      <c r="B378" s="1">
        <f t="shared" si="12"/>
        <v>372</v>
      </c>
      <c r="D378" t="str">
        <f>IFERROR(VLOOKUP(BDREGISTROBTH2025[[#This Row],[NROKARDEX]],BDPADRES[],8,FALSE),"Sin registrado")</f>
        <v>SANDRA ANDRADE ROBLES</v>
      </c>
      <c r="E378" s="1">
        <f>IFERROR(VLOOKUP(BDREGISTROBTH2025[[#This Row],[NROKARDEX]],Tabla3[],12,FALSE),"NO PAGO")</f>
        <v>56003</v>
      </c>
      <c r="F378" s="1" t="str">
        <f t="shared" si="11"/>
        <v>100</v>
      </c>
    </row>
    <row r="379" spans="2:6" x14ac:dyDescent="0.3">
      <c r="B379" s="1">
        <f t="shared" si="12"/>
        <v>373</v>
      </c>
      <c r="D379" t="str">
        <f>IFERROR(VLOOKUP(BDREGISTROBTH2025[[#This Row],[NROKARDEX]],BDPADRES[],8,FALSE),"Sin registrado")</f>
        <v>NANCY MOJICA GONZALES</v>
      </c>
      <c r="E379" s="1">
        <f>IFERROR(VLOOKUP(BDREGISTROBTH2025[[#This Row],[NROKARDEX]],Tabla3[],12,FALSE),"NO PAGO")</f>
        <v>56044</v>
      </c>
      <c r="F379" s="1" t="str">
        <f t="shared" si="11"/>
        <v>100</v>
      </c>
    </row>
    <row r="380" spans="2:6" x14ac:dyDescent="0.3">
      <c r="B380" s="1">
        <f t="shared" si="12"/>
        <v>374</v>
      </c>
      <c r="D380" t="str">
        <f>IFERROR(VLOOKUP(BDREGISTROBTH2025[[#This Row],[NROKARDEX]],BDPADRES[],8,FALSE),"Sin registrado")</f>
        <v>FILOMENA CABRERA PANOZO</v>
      </c>
      <c r="E380" s="1">
        <f>IFERROR(VLOOKUP(BDREGISTROBTH2025[[#This Row],[NROKARDEX]],Tabla3[],12,FALSE),"NO PAGO")</f>
        <v>56005</v>
      </c>
      <c r="F380" s="1" t="str">
        <f t="shared" si="11"/>
        <v>100</v>
      </c>
    </row>
    <row r="381" spans="2:6" x14ac:dyDescent="0.3">
      <c r="B381" s="1">
        <f t="shared" si="12"/>
        <v>375</v>
      </c>
      <c r="D381" t="str">
        <f>IFERROR(VLOOKUP(BDREGISTROBTH2025[[#This Row],[NROKARDEX]],BDPADRES[],8,FALSE),"Sin registrado")</f>
        <v>Sin registrado</v>
      </c>
      <c r="E381" s="1" t="str">
        <f>IFERROR(VLOOKUP(BDREGISTROBTH2025[[#This Row],[NROKARDEX]],Tabla3[],12,FALSE),"NO PAGO")</f>
        <v>NO PAGO</v>
      </c>
      <c r="F381" s="1">
        <v>0</v>
      </c>
    </row>
    <row r="382" spans="2:6" x14ac:dyDescent="0.3">
      <c r="B382" s="1">
        <f t="shared" si="12"/>
        <v>376</v>
      </c>
      <c r="D382" t="str">
        <f>IFERROR(VLOOKUP(BDREGISTROBTH2025[[#This Row],[NROKARDEX]],BDPADRES[],8,FALSE),"Sin registrado")</f>
        <v>ISILDA ASILLO MAMANI</v>
      </c>
      <c r="E382" s="1">
        <f>IFERROR(VLOOKUP(BDREGISTROBTH2025[[#This Row],[NROKARDEX]],Tabla3[],12,FALSE),"NO PAGO")</f>
        <v>56006</v>
      </c>
      <c r="F382" s="1" t="str">
        <f t="shared" si="11"/>
        <v>100</v>
      </c>
    </row>
    <row r="383" spans="2:6" x14ac:dyDescent="0.3">
      <c r="B383" s="1">
        <f t="shared" si="12"/>
        <v>377</v>
      </c>
      <c r="D383" t="str">
        <f>IFERROR(VLOOKUP(BDREGISTROBTH2025[[#This Row],[NROKARDEX]],BDPADRES[],8,FALSE),"Sin registrado")</f>
        <v>FELICIDAD MAMANI DE FLORES</v>
      </c>
      <c r="E383" s="1" t="str">
        <f>IFERROR(VLOOKUP(BDREGISTROBTH2025[[#This Row],[NROKARDEX]],Tabla3[],12,FALSE),"NO PAGO")</f>
        <v>NO</v>
      </c>
      <c r="F383" s="1">
        <f t="shared" si="11"/>
        <v>0</v>
      </c>
    </row>
    <row r="384" spans="2:6" x14ac:dyDescent="0.3">
      <c r="B384" s="1">
        <f t="shared" si="12"/>
        <v>378</v>
      </c>
      <c r="D384" t="str">
        <f>IFERROR(VLOOKUP(BDREGISTROBTH2025[[#This Row],[NROKARDEX]],BDPADRES[],8,FALSE),"Sin registrado")</f>
        <v>OLGA ROQUE TARAÑA</v>
      </c>
      <c r="E384" s="1" t="str">
        <f>IFERROR(VLOOKUP(BDREGISTROBTH2025[[#This Row],[NROKARDEX]],Tabla3[],12,FALSE),"NO PAGO")</f>
        <v>NO</v>
      </c>
      <c r="F384" s="1">
        <f t="shared" si="11"/>
        <v>0</v>
      </c>
    </row>
    <row r="385" spans="2:6" x14ac:dyDescent="0.3">
      <c r="B385" s="1">
        <f t="shared" si="12"/>
        <v>379</v>
      </c>
      <c r="D385" t="str">
        <f>IFERROR(VLOOKUP(BDREGISTROBTH2025[[#This Row],[NROKARDEX]],BDPADRES[],8,FALSE),"Sin registrado")</f>
        <v>MARLENY VALVERDE CHOQUE</v>
      </c>
      <c r="E385" s="1" t="str">
        <f>IFERROR(VLOOKUP(BDREGISTROBTH2025[[#This Row],[NROKARDEX]],Tabla3[],12,FALSE),"NO PAGO")</f>
        <v>8737-
64154
56019</v>
      </c>
      <c r="F385" s="1" t="str">
        <f t="shared" si="11"/>
        <v>100</v>
      </c>
    </row>
    <row r="386" spans="2:6" x14ac:dyDescent="0.3">
      <c r="B386" s="1">
        <f t="shared" si="12"/>
        <v>380</v>
      </c>
      <c r="D386" t="str">
        <f>IFERROR(VLOOKUP(BDREGISTROBTH2025[[#This Row],[NROKARDEX]],BDPADRES[],8,FALSE),"Sin registrado")</f>
        <v>GUEDY MARTINEZ ROMERO</v>
      </c>
      <c r="E386" s="1">
        <f>IFERROR(VLOOKUP(BDREGISTROBTH2025[[#This Row],[NROKARDEX]],Tabla3[],12,FALSE),"NO PAGO")</f>
        <v>56027</v>
      </c>
      <c r="F386" s="1" t="str">
        <f t="shared" si="11"/>
        <v>100</v>
      </c>
    </row>
    <row r="387" spans="2:6" x14ac:dyDescent="0.3">
      <c r="B387" s="1">
        <f t="shared" si="12"/>
        <v>381</v>
      </c>
      <c r="D387" t="str">
        <f>IFERROR(VLOOKUP(BDREGISTROBTH2025[[#This Row],[NROKARDEX]],BDPADRES[],8,FALSE),"Sin registrado")</f>
        <v>Sin registrado</v>
      </c>
      <c r="E387" s="1" t="str">
        <f>IFERROR(VLOOKUP(BDREGISTROBTH2025[[#This Row],[NROKARDEX]],Tabla3[],12,FALSE),"NO PAGO")</f>
        <v>NO PAGO</v>
      </c>
      <c r="F387" s="1">
        <v>0</v>
      </c>
    </row>
    <row r="388" spans="2:6" x14ac:dyDescent="0.3">
      <c r="B388" s="1">
        <f t="shared" si="12"/>
        <v>382</v>
      </c>
      <c r="D388" t="str">
        <f>IFERROR(VLOOKUP(BDREGISTROBTH2025[[#This Row],[NROKARDEX]],BDPADRES[],8,FALSE),"Sin registrado")</f>
        <v>FANNY MARTINEZ AGUANTA</v>
      </c>
      <c r="E388" s="1">
        <f>IFERROR(VLOOKUP(BDREGISTROBTH2025[[#This Row],[NROKARDEX]],Tabla3[],12,FALSE),"NO PAGO")</f>
        <v>56296</v>
      </c>
      <c r="F388" s="1" t="str">
        <f t="shared" si="11"/>
        <v>100</v>
      </c>
    </row>
    <row r="389" spans="2:6" x14ac:dyDescent="0.3">
      <c r="B389" s="1">
        <f t="shared" si="12"/>
        <v>383</v>
      </c>
      <c r="D389" t="str">
        <f>IFERROR(VLOOKUP(BDREGISTROBTH2025[[#This Row],[NROKARDEX]],BDPADRES[],8,FALSE),"Sin registrado")</f>
        <v>FRANCISCA  FIGUEROA LOAIZA</v>
      </c>
      <c r="E389" s="1">
        <f>IFERROR(VLOOKUP(BDREGISTROBTH2025[[#This Row],[NROKARDEX]],Tabla3[],12,FALSE),"NO PAGO")</f>
        <v>8556</v>
      </c>
      <c r="F389" s="1" t="str">
        <f t="shared" si="11"/>
        <v>100</v>
      </c>
    </row>
    <row r="390" spans="2:6" x14ac:dyDescent="0.3">
      <c r="B390" s="1">
        <f t="shared" si="12"/>
        <v>384</v>
      </c>
      <c r="D390" t="str">
        <f>IFERROR(VLOOKUP(BDREGISTROBTH2025[[#This Row],[NROKARDEX]],BDPADRES[],8,FALSE),"Sin registrado")</f>
        <v>ARACELY RODRIGUEZ HURTADO</v>
      </c>
      <c r="E390" s="1" t="str">
        <f>IFERROR(VLOOKUP(BDREGISTROBTH2025[[#This Row],[NROKARDEX]],Tabla3[],12,FALSE),"NO PAGO")</f>
        <v>NO</v>
      </c>
      <c r="F390" s="1">
        <f t="shared" si="11"/>
        <v>0</v>
      </c>
    </row>
    <row r="391" spans="2:6" x14ac:dyDescent="0.3">
      <c r="B391" s="1">
        <f t="shared" si="12"/>
        <v>385</v>
      </c>
      <c r="D391" t="str">
        <f>IFERROR(VLOOKUP(BDREGISTROBTH2025[[#This Row],[NROKARDEX]],BDPADRES[],8,FALSE),"Sin registrado")</f>
        <v>EMI LENI MONTAÑO CARDENAS</v>
      </c>
      <c r="E391" s="1">
        <f>IFERROR(VLOOKUP(BDREGISTROBTH2025[[#This Row],[NROKARDEX]],Tabla3[],12,FALSE),"NO PAGO")</f>
        <v>64187</v>
      </c>
      <c r="F391" s="1" t="str">
        <f t="shared" ref="F391:F452" si="13">IF(E391="NO",0,"100")</f>
        <v>100</v>
      </c>
    </row>
    <row r="392" spans="2:6" x14ac:dyDescent="0.3">
      <c r="B392" s="1">
        <f t="shared" ref="B392:B455" si="14">ROW(A386)</f>
        <v>386</v>
      </c>
      <c r="D392" t="str">
        <f>IFERROR(VLOOKUP(BDREGISTROBTH2025[[#This Row],[NROKARDEX]],BDPADRES[],8,FALSE),"Sin registrado")</f>
        <v>FLORA GARCIA GOMEZ</v>
      </c>
      <c r="E392" s="1" t="str">
        <f>IFERROR(VLOOKUP(BDREGISTROBTH2025[[#This Row],[NROKARDEX]],Tabla3[],12,FALSE),"NO PAGO")</f>
        <v>NO</v>
      </c>
      <c r="F392" s="1">
        <f t="shared" si="13"/>
        <v>0</v>
      </c>
    </row>
    <row r="393" spans="2:6" x14ac:dyDescent="0.3">
      <c r="B393" s="1">
        <f t="shared" si="14"/>
        <v>387</v>
      </c>
      <c r="D393" t="str">
        <f>IFERROR(VLOOKUP(BDREGISTROBTH2025[[#This Row],[NROKARDEX]],BDPADRES[],8,FALSE),"Sin registrado")</f>
        <v xml:space="preserve">SIN NOMBRE LLANOS  </v>
      </c>
      <c r="E393" s="1" t="str">
        <f>IFERROR(VLOOKUP(BDREGISTROBTH2025[[#This Row],[NROKARDEX]],Tabla3[],12,FALSE),"NO PAGO")</f>
        <v>NO</v>
      </c>
      <c r="F393" s="1">
        <f t="shared" si="13"/>
        <v>0</v>
      </c>
    </row>
    <row r="394" spans="2:6" x14ac:dyDescent="0.3">
      <c r="B394" s="1">
        <f t="shared" si="14"/>
        <v>388</v>
      </c>
      <c r="D394" t="str">
        <f>IFERROR(VLOOKUP(BDREGISTROBTH2025[[#This Row],[NROKARDEX]],BDPADRES[],8,FALSE),"Sin registrado")</f>
        <v>ANGELICA CUELLAR MENDOZA</v>
      </c>
      <c r="E394" s="1">
        <f>IFERROR(VLOOKUP(BDREGISTROBTH2025[[#This Row],[NROKARDEX]],Tabla3[],12,FALSE),"NO PAGO")</f>
        <v>82633</v>
      </c>
      <c r="F394" s="1" t="str">
        <f t="shared" si="13"/>
        <v>100</v>
      </c>
    </row>
    <row r="395" spans="2:6" x14ac:dyDescent="0.3">
      <c r="B395" s="1">
        <f t="shared" si="14"/>
        <v>389</v>
      </c>
      <c r="D395" t="str">
        <f>IFERROR(VLOOKUP(BDREGISTROBTH2025[[#This Row],[NROKARDEX]],BDPADRES[],8,FALSE),"Sin registrado")</f>
        <v>ELVA FLORES POLANCO</v>
      </c>
      <c r="E395" s="1" t="str">
        <f>IFERROR(VLOOKUP(BDREGISTROBTH2025[[#This Row],[NROKARDEX]],Tabla3[],12,FALSE),"NO PAGO")</f>
        <v>NO</v>
      </c>
      <c r="F395" s="1">
        <f t="shared" si="13"/>
        <v>0</v>
      </c>
    </row>
    <row r="396" spans="2:6" x14ac:dyDescent="0.3">
      <c r="B396" s="1">
        <f t="shared" si="14"/>
        <v>390</v>
      </c>
      <c r="D396" t="str">
        <f>IFERROR(VLOOKUP(BDREGISTROBTH2025[[#This Row],[NROKARDEX]],BDPADRES[],8,FALSE),"Sin registrado")</f>
        <v>MARIA RODRIGUEZ CORTEZ</v>
      </c>
      <c r="E396" s="1" t="str">
        <f>IFERROR(VLOOKUP(BDREGISTROBTH2025[[#This Row],[NROKARDEX]],Tabla3[],12,FALSE),"NO PAGO")</f>
        <v>NO</v>
      </c>
      <c r="F396" s="1">
        <f t="shared" si="13"/>
        <v>0</v>
      </c>
    </row>
    <row r="397" spans="2:6" x14ac:dyDescent="0.3">
      <c r="B397" s="1">
        <f t="shared" si="14"/>
        <v>391</v>
      </c>
      <c r="D397" t="str">
        <f>IFERROR(VLOOKUP(BDREGISTROBTH2025[[#This Row],[NROKARDEX]],BDPADRES[],8,FALSE),"Sin registrado")</f>
        <v>LEISY AGUADO CORTEZ</v>
      </c>
      <c r="E397" s="1">
        <f>IFERROR(VLOOKUP(BDREGISTROBTH2025[[#This Row],[NROKARDEX]],Tabla3[],12,FALSE),"NO PAGO")</f>
        <v>82599</v>
      </c>
      <c r="F397" s="1" t="str">
        <f t="shared" si="13"/>
        <v>100</v>
      </c>
    </row>
    <row r="398" spans="2:6" x14ac:dyDescent="0.3">
      <c r="B398" s="1">
        <f t="shared" si="14"/>
        <v>392</v>
      </c>
      <c r="D398" t="str">
        <f>IFERROR(VLOOKUP(BDREGISTROBTH2025[[#This Row],[NROKARDEX]],BDPADRES[],8,FALSE),"Sin registrado")</f>
        <v>IRENIA RODRIGUEZ CORTEZ</v>
      </c>
      <c r="E398" s="1">
        <f>IFERROR(VLOOKUP(BDREGISTROBTH2025[[#This Row],[NROKARDEX]],Tabla3[],12,FALSE),"NO PAGO")</f>
        <v>56257</v>
      </c>
      <c r="F398" s="1" t="str">
        <f t="shared" si="13"/>
        <v>100</v>
      </c>
    </row>
    <row r="399" spans="2:6" x14ac:dyDescent="0.3">
      <c r="B399" s="1">
        <f t="shared" si="14"/>
        <v>393</v>
      </c>
      <c r="D399" t="str">
        <f>IFERROR(VLOOKUP(BDREGISTROBTH2025[[#This Row],[NROKARDEX]],BDPADRES[],8,FALSE),"Sin registrado")</f>
        <v>AVIGAIL ELEYDE CIFUENTES</v>
      </c>
      <c r="E399" s="1" t="str">
        <f>IFERROR(VLOOKUP(BDREGISTROBTH2025[[#This Row],[NROKARDEX]],Tabla3[],12,FALSE),"NO PAGO")</f>
        <v>NO</v>
      </c>
      <c r="F399" s="1">
        <f t="shared" si="13"/>
        <v>0</v>
      </c>
    </row>
    <row r="400" spans="2:6" x14ac:dyDescent="0.3">
      <c r="B400" s="1">
        <f t="shared" si="14"/>
        <v>394</v>
      </c>
      <c r="D400" t="str">
        <f>IFERROR(VLOOKUP(BDREGISTROBTH2025[[#This Row],[NROKARDEX]],BDPADRES[],8,FALSE),"Sin registrado")</f>
        <v>NILCA LEAÑO VERGARA</v>
      </c>
      <c r="E400" s="1" t="str">
        <f>IFERROR(VLOOKUP(BDREGISTROBTH2025[[#This Row],[NROKARDEX]],Tabla3[],12,FALSE),"NO PAGO")</f>
        <v>NO</v>
      </c>
      <c r="F400" s="1">
        <f t="shared" si="13"/>
        <v>0</v>
      </c>
    </row>
    <row r="401" spans="2:6" x14ac:dyDescent="0.3">
      <c r="B401" s="1">
        <f t="shared" si="14"/>
        <v>395</v>
      </c>
      <c r="D401" t="str">
        <f>IFERROR(VLOOKUP(BDREGISTROBTH2025[[#This Row],[NROKARDEX]],BDPADRES[],8,FALSE),"Sin registrado")</f>
        <v>KARLA MICHELLE MENACHO MELGAR</v>
      </c>
      <c r="E401" s="1">
        <f>IFERROR(VLOOKUP(BDREGISTROBTH2025[[#This Row],[NROKARDEX]],Tabla3[],12,FALSE),"NO PAGO")</f>
        <v>82559</v>
      </c>
      <c r="F401" s="1" t="str">
        <f t="shared" si="13"/>
        <v>100</v>
      </c>
    </row>
    <row r="402" spans="2:6" x14ac:dyDescent="0.3">
      <c r="B402" s="1">
        <f t="shared" si="14"/>
        <v>396</v>
      </c>
      <c r="D402" t="str">
        <f>IFERROR(VLOOKUP(BDREGISTROBTH2025[[#This Row],[NROKARDEX]],BDPADRES[],8,FALSE),"Sin registrado")</f>
        <v>ERLINDA MARTINEZ CRUZ</v>
      </c>
      <c r="E402" s="1">
        <f>IFERROR(VLOOKUP(BDREGISTROBTH2025[[#This Row],[NROKARDEX]],Tabla3[],12,FALSE),"NO PAGO")</f>
        <v>56007</v>
      </c>
      <c r="F402" s="1" t="str">
        <f t="shared" si="13"/>
        <v>100</v>
      </c>
    </row>
    <row r="403" spans="2:6" x14ac:dyDescent="0.3">
      <c r="B403" s="1">
        <f t="shared" si="14"/>
        <v>397</v>
      </c>
      <c r="D403" t="str">
        <f>IFERROR(VLOOKUP(BDREGISTROBTH2025[[#This Row],[NROKARDEX]],BDPADRES[],8,FALSE),"Sin registrado")</f>
        <v xml:space="preserve">ZONIA VEDIA   </v>
      </c>
      <c r="E403" s="1">
        <f>IFERROR(VLOOKUP(BDREGISTROBTH2025[[#This Row],[NROKARDEX]],Tabla3[],12,FALSE),"NO PAGO")</f>
        <v>8564</v>
      </c>
      <c r="F403" s="1" t="str">
        <f t="shared" si="13"/>
        <v>100</v>
      </c>
    </row>
    <row r="404" spans="2:6" x14ac:dyDescent="0.3">
      <c r="B404" s="1">
        <f t="shared" si="14"/>
        <v>398</v>
      </c>
      <c r="D404" t="str">
        <f>IFERROR(VLOOKUP(BDREGISTROBTH2025[[#This Row],[NROKARDEX]],BDPADRES[],8,FALSE),"Sin registrado")</f>
        <v>EULALIA  CORREA ZORAIDE</v>
      </c>
      <c r="E404" s="1">
        <v>56300</v>
      </c>
      <c r="F404" s="1" t="str">
        <f t="shared" si="13"/>
        <v>100</v>
      </c>
    </row>
    <row r="405" spans="2:6" x14ac:dyDescent="0.3">
      <c r="B405" s="1">
        <f t="shared" si="14"/>
        <v>399</v>
      </c>
      <c r="D405" t="str">
        <f>IFERROR(VLOOKUP(BDREGISTROBTH2025[[#This Row],[NROKARDEX]],BDPADRES[],8,FALSE),"Sin registrado")</f>
        <v>DELMA RAMIREZ PEREZ</v>
      </c>
      <c r="E405" s="1">
        <f>IFERROR(VLOOKUP(BDREGISTROBTH2025[[#This Row],[NROKARDEX]],Tabla3[],12,FALSE),"NO PAGO")</f>
        <v>64156</v>
      </c>
      <c r="F405" s="1" t="str">
        <f t="shared" si="13"/>
        <v>100</v>
      </c>
    </row>
    <row r="406" spans="2:6" x14ac:dyDescent="0.3">
      <c r="B406" s="1">
        <f t="shared" si="14"/>
        <v>400</v>
      </c>
      <c r="D406" t="str">
        <f>IFERROR(VLOOKUP(BDREGISTROBTH2025[[#This Row],[NROKARDEX]],BDPADRES[],8,FALSE),"Sin registrado")</f>
        <v>VERONICA FERNANDEZ SANTILLAN</v>
      </c>
      <c r="E406" s="1">
        <f>IFERROR(VLOOKUP(BDREGISTROBTH2025[[#This Row],[NROKARDEX]],Tabla3[],12,FALSE),"NO PAGO")</f>
        <v>8679</v>
      </c>
      <c r="F406" s="1" t="str">
        <f t="shared" si="13"/>
        <v>100</v>
      </c>
    </row>
    <row r="407" spans="2:6" x14ac:dyDescent="0.3">
      <c r="B407" s="1">
        <f t="shared" si="14"/>
        <v>401</v>
      </c>
      <c r="D407" t="str">
        <f>IFERROR(VLOOKUP(BDREGISTROBTH2025[[#This Row],[NROKARDEX]],BDPADRES[],8,FALSE),"Sin registrado")</f>
        <v>MIRIAM FUENTES HEREDIA</v>
      </c>
      <c r="E407" s="1">
        <f>IFERROR(VLOOKUP(BDREGISTROBTH2025[[#This Row],[NROKARDEX]],Tabla3[],12,FALSE),"NO PAGO")</f>
        <v>56105</v>
      </c>
      <c r="F407" s="1" t="str">
        <f t="shared" si="13"/>
        <v>100</v>
      </c>
    </row>
    <row r="408" spans="2:6" x14ac:dyDescent="0.3">
      <c r="B408" s="1">
        <f t="shared" si="14"/>
        <v>402</v>
      </c>
      <c r="D408" t="str">
        <f>IFERROR(VLOOKUP(BDREGISTROBTH2025[[#This Row],[NROKARDEX]],BDPADRES[],8,FALSE),"Sin registrado")</f>
        <v>ERLINDA VARON ARANCIBIA</v>
      </c>
      <c r="E408" s="1" t="str">
        <f>IFERROR(VLOOKUP(BDREGISTROBTH2025[[#This Row],[NROKARDEX]],Tabla3[],12,FALSE),"NO PAGO")</f>
        <v>8677
8600/</v>
      </c>
      <c r="F408" s="1" t="str">
        <f t="shared" si="13"/>
        <v>100</v>
      </c>
    </row>
    <row r="409" spans="2:6" x14ac:dyDescent="0.3">
      <c r="B409" s="1">
        <f t="shared" si="14"/>
        <v>403</v>
      </c>
      <c r="D409" t="str">
        <f>IFERROR(VLOOKUP(BDREGISTROBTH2025[[#This Row],[NROKARDEX]],BDPADRES[],8,FALSE),"Sin registrado")</f>
        <v>ANGELICA GARCIA MOSTACEDO</v>
      </c>
      <c r="E409" s="1" t="str">
        <f>IFERROR(VLOOKUP(BDREGISTROBTH2025[[#This Row],[NROKARDEX]],Tabla3[],12,FALSE),"NO PAGO")</f>
        <v>NO</v>
      </c>
      <c r="F409" s="1">
        <f t="shared" si="13"/>
        <v>0</v>
      </c>
    </row>
    <row r="410" spans="2:6" x14ac:dyDescent="0.3">
      <c r="B410" s="1">
        <f t="shared" si="14"/>
        <v>404</v>
      </c>
      <c r="D410" t="str">
        <f>IFERROR(VLOOKUP(BDREGISTROBTH2025[[#This Row],[NROKARDEX]],BDPADRES[],8,FALSE),"Sin registrado")</f>
        <v>TANIA ANDREINA BURGOS ROBLES</v>
      </c>
      <c r="E410" s="1">
        <f>IFERROR(VLOOKUP(BDREGISTROBTH2025[[#This Row],[NROKARDEX]],Tabla3[],12,FALSE),"NO PAGO")</f>
        <v>56278</v>
      </c>
      <c r="F410" s="1" t="str">
        <f t="shared" si="13"/>
        <v>100</v>
      </c>
    </row>
    <row r="411" spans="2:6" x14ac:dyDescent="0.3">
      <c r="B411" s="1">
        <f t="shared" si="14"/>
        <v>405</v>
      </c>
      <c r="D411" t="str">
        <f>IFERROR(VLOOKUP(BDREGISTROBTH2025[[#This Row],[NROKARDEX]],BDPADRES[],8,FALSE),"Sin registrado")</f>
        <v>YOUSELIN CRUZ LEAÑOS</v>
      </c>
      <c r="E411" s="1">
        <f>IFERROR(VLOOKUP(BDREGISTROBTH2025[[#This Row],[NROKARDEX]],Tabla3[],12,FALSE),"NO PAGO")</f>
        <v>56042</v>
      </c>
      <c r="F411" s="1" t="str">
        <f t="shared" si="13"/>
        <v>100</v>
      </c>
    </row>
    <row r="412" spans="2:6" x14ac:dyDescent="0.3">
      <c r="B412" s="1">
        <f t="shared" si="14"/>
        <v>406</v>
      </c>
      <c r="D412" t="str">
        <f>IFERROR(VLOOKUP(BDREGISTROBTH2025[[#This Row],[NROKARDEX]],BDPADRES[],8,FALSE),"Sin registrado")</f>
        <v>ERLINDA PALENQUE BARRIGA</v>
      </c>
      <c r="E412" s="1">
        <f>IFERROR(VLOOKUP(BDREGISTROBTH2025[[#This Row],[NROKARDEX]],Tabla3[],12,FALSE),"NO PAGO")</f>
        <v>56033</v>
      </c>
      <c r="F412" s="1" t="str">
        <f t="shared" si="13"/>
        <v>100</v>
      </c>
    </row>
    <row r="413" spans="2:6" x14ac:dyDescent="0.3">
      <c r="B413" s="1">
        <f t="shared" si="14"/>
        <v>407</v>
      </c>
      <c r="D413" t="str">
        <f>IFERROR(VLOOKUP(BDREGISTROBTH2025[[#This Row],[NROKARDEX]],BDPADRES[],8,FALSE),"Sin registrado")</f>
        <v>MARY LUZ CUCHALLO DURAN</v>
      </c>
      <c r="E413" s="1">
        <f>IFERROR(VLOOKUP(BDREGISTROBTH2025[[#This Row],[NROKARDEX]],Tabla3[],12,FALSE),"NO PAGO")</f>
        <v>82629</v>
      </c>
      <c r="F413" s="1" t="str">
        <f t="shared" si="13"/>
        <v>100</v>
      </c>
    </row>
    <row r="414" spans="2:6" x14ac:dyDescent="0.3">
      <c r="B414" s="1">
        <f t="shared" si="14"/>
        <v>408</v>
      </c>
      <c r="D414" t="str">
        <f>IFERROR(VLOOKUP(BDREGISTROBTH2025[[#This Row],[NROKARDEX]],BDPADRES[],8,FALSE),"Sin registrado")</f>
        <v>RUBILINDA MORON CONTRERAS</v>
      </c>
      <c r="E414" s="1" t="str">
        <f>IFERROR(VLOOKUP(BDREGISTROBTH2025[[#This Row],[NROKARDEX]],Tabla3[],12,FALSE),"NO PAGO")</f>
        <v>NO</v>
      </c>
      <c r="F414" s="1">
        <f t="shared" si="13"/>
        <v>0</v>
      </c>
    </row>
    <row r="415" spans="2:6" x14ac:dyDescent="0.3">
      <c r="B415" s="1">
        <f t="shared" si="14"/>
        <v>409</v>
      </c>
      <c r="D415" t="str">
        <f>IFERROR(VLOOKUP(BDREGISTROBTH2025[[#This Row],[NROKARDEX]],BDPADRES[],8,FALSE),"Sin registrado")</f>
        <v>TERESA FLORES CRUZ</v>
      </c>
      <c r="E415" s="1">
        <f>IFERROR(VLOOKUP(BDREGISTROBTH2025[[#This Row],[NROKARDEX]],Tabla3[],12,FALSE),"NO PAGO")</f>
        <v>56030</v>
      </c>
      <c r="F415" s="1" t="str">
        <f t="shared" si="13"/>
        <v>100</v>
      </c>
    </row>
    <row r="416" spans="2:6" x14ac:dyDescent="0.3">
      <c r="B416" s="1">
        <f t="shared" si="14"/>
        <v>410</v>
      </c>
      <c r="D416" t="str">
        <f>IFERROR(VLOOKUP(BDREGISTROBTH2025[[#This Row],[NROKARDEX]],BDPADRES[],8,FALSE),"Sin registrado")</f>
        <v>RITA GONZALES FLORES</v>
      </c>
      <c r="E416" s="1">
        <f>IFERROR(VLOOKUP(BDREGISTROBTH2025[[#This Row],[NROKARDEX]],Tabla3[],12,FALSE),"NO PAGO")</f>
        <v>82616</v>
      </c>
      <c r="F416" s="1" t="str">
        <f t="shared" si="13"/>
        <v>100</v>
      </c>
    </row>
    <row r="417" spans="2:6" x14ac:dyDescent="0.3">
      <c r="B417" s="1">
        <f t="shared" si="14"/>
        <v>411</v>
      </c>
      <c r="D417" t="str">
        <f>IFERROR(VLOOKUP(BDREGISTROBTH2025[[#This Row],[NROKARDEX]],BDPADRES[],8,FALSE),"Sin registrado")</f>
        <v>EDUVID OSINAGA NOVA</v>
      </c>
      <c r="E417" s="1" t="str">
        <f>IFERROR(VLOOKUP(BDREGISTROBTH2025[[#This Row],[NROKARDEX]],Tabla3[],12,FALSE),"NO PAGO")</f>
        <v>NO</v>
      </c>
      <c r="F417" s="1">
        <f t="shared" si="13"/>
        <v>0</v>
      </c>
    </row>
    <row r="418" spans="2:6" x14ac:dyDescent="0.3">
      <c r="B418" s="1">
        <f t="shared" si="14"/>
        <v>412</v>
      </c>
      <c r="D418" t="str">
        <f>IFERROR(VLOOKUP(BDREGISTROBTH2025[[#This Row],[NROKARDEX]],BDPADRES[],8,FALSE),"Sin registrado")</f>
        <v>SANDRA JUANA FERNANDEZ CESPEDES</v>
      </c>
      <c r="E418" s="1" t="str">
        <f>IFERROR(VLOOKUP(BDREGISTROBTH2025[[#This Row],[NROKARDEX]],Tabla3[],12,FALSE),"NO PAGO")</f>
        <v>NO</v>
      </c>
      <c r="F418" s="1">
        <f t="shared" si="13"/>
        <v>0</v>
      </c>
    </row>
    <row r="419" spans="2:6" x14ac:dyDescent="0.3">
      <c r="B419" s="1">
        <f t="shared" si="14"/>
        <v>413</v>
      </c>
      <c r="D419" t="str">
        <f>IFERROR(VLOOKUP(BDREGISTROBTH2025[[#This Row],[NROKARDEX]],BDPADRES[],8,FALSE),"Sin registrado")</f>
        <v>MARIA YANINE PRADO</v>
      </c>
      <c r="E419" s="1">
        <f>IFERROR(VLOOKUP(BDREGISTROBTH2025[[#This Row],[NROKARDEX]],Tabla3[],12,FALSE),"NO PAGO")</f>
        <v>56282</v>
      </c>
      <c r="F419" s="1" t="str">
        <f t="shared" si="13"/>
        <v>100</v>
      </c>
    </row>
    <row r="420" spans="2:6" x14ac:dyDescent="0.3">
      <c r="B420" s="1">
        <f t="shared" si="14"/>
        <v>414</v>
      </c>
      <c r="D420" t="str">
        <f>IFERROR(VLOOKUP(BDREGISTROBTH2025[[#This Row],[NROKARDEX]],BDPADRES[],8,FALSE),"Sin registrado")</f>
        <v>MARIA NELA BARROZO ANGULO</v>
      </c>
      <c r="E420" s="1" t="str">
        <f>IFERROR(VLOOKUP(BDREGISTROBTH2025[[#This Row],[NROKARDEX]],Tabla3[],12,FALSE),"NO PAGO")</f>
        <v>NO</v>
      </c>
      <c r="F420" s="1">
        <f t="shared" si="13"/>
        <v>0</v>
      </c>
    </row>
    <row r="421" spans="2:6" x14ac:dyDescent="0.3">
      <c r="B421" s="1">
        <f t="shared" si="14"/>
        <v>415</v>
      </c>
      <c r="D421" t="str">
        <f>IFERROR(VLOOKUP(BDREGISTROBTH2025[[#This Row],[NROKARDEX]],BDPADRES[],8,FALSE),"Sin registrado")</f>
        <v>CLAUDIA RAMIREZ CHOQUE</v>
      </c>
      <c r="E421" s="1">
        <f>IFERROR(VLOOKUP(BDREGISTROBTH2025[[#This Row],[NROKARDEX]],Tabla3[],12,FALSE),"NO PAGO")</f>
        <v>82615</v>
      </c>
      <c r="F421" s="1" t="str">
        <f t="shared" si="13"/>
        <v>100</v>
      </c>
    </row>
    <row r="422" spans="2:6" x14ac:dyDescent="0.3">
      <c r="B422" s="1">
        <f t="shared" si="14"/>
        <v>416</v>
      </c>
      <c r="D422" t="str">
        <f>IFERROR(VLOOKUP(BDREGISTROBTH2025[[#This Row],[NROKARDEX]],BDPADRES[],8,FALSE),"Sin registrado")</f>
        <v>PAULITA ORTIZ MENDEZ</v>
      </c>
      <c r="E422" s="1" t="str">
        <f>IFERROR(VLOOKUP(BDREGISTROBTH2025[[#This Row],[NROKARDEX]],Tabla3[],12,FALSE),"NO PAGO")</f>
        <v>NO</v>
      </c>
      <c r="F422" s="1">
        <f t="shared" si="13"/>
        <v>0</v>
      </c>
    </row>
    <row r="423" spans="2:6" x14ac:dyDescent="0.3">
      <c r="B423" s="1">
        <f t="shared" si="14"/>
        <v>417</v>
      </c>
      <c r="D423" t="str">
        <f>IFERROR(VLOOKUP(BDREGISTROBTH2025[[#This Row],[NROKARDEX]],BDPADRES[],8,FALSE),"Sin registrado")</f>
        <v>MARIA MAGDALENA FERNANDEZ ROJAS</v>
      </c>
      <c r="E423" s="1">
        <f>IFERROR(VLOOKUP(BDREGISTROBTH2025[[#This Row],[NROKARDEX]],Tabla3[],12,FALSE),"NO PAGO")</f>
        <v>82642</v>
      </c>
      <c r="F423" s="1" t="str">
        <f t="shared" si="13"/>
        <v>100</v>
      </c>
    </row>
    <row r="424" spans="2:6" x14ac:dyDescent="0.3">
      <c r="B424" s="1">
        <f t="shared" si="14"/>
        <v>418</v>
      </c>
      <c r="D424" t="str">
        <f>IFERROR(VLOOKUP(BDREGISTROBTH2025[[#This Row],[NROKARDEX]],BDPADRES[],8,FALSE),"Sin registrado")</f>
        <v>TANIA MARCELA DELGADILLO RAMOS</v>
      </c>
      <c r="E424" s="1" t="str">
        <f>IFERROR(VLOOKUP(BDREGISTROBTH2025[[#This Row],[NROKARDEX]],Tabla3[],12,FALSE),"NO PAGO")</f>
        <v>NO</v>
      </c>
      <c r="F424" s="1">
        <f t="shared" si="13"/>
        <v>0</v>
      </c>
    </row>
    <row r="425" spans="2:6" x14ac:dyDescent="0.3">
      <c r="B425" s="1">
        <f t="shared" si="14"/>
        <v>419</v>
      </c>
      <c r="D425" t="str">
        <f>IFERROR(VLOOKUP(BDREGISTROBTH2025[[#This Row],[NROKARDEX]],BDPADRES[],8,FALSE),"Sin registrado")</f>
        <v>CAROLITA GUZMAN GUZMAN</v>
      </c>
      <c r="E425" s="1" t="str">
        <f>IFERROR(VLOOKUP(BDREGISTROBTH2025[[#This Row],[NROKARDEX]],Tabla3[],12,FALSE),"NO PAGO")</f>
        <v>NO</v>
      </c>
      <c r="F425" s="1">
        <f t="shared" si="13"/>
        <v>0</v>
      </c>
    </row>
    <row r="426" spans="2:6" x14ac:dyDescent="0.3">
      <c r="B426" s="1">
        <f t="shared" si="14"/>
        <v>420</v>
      </c>
      <c r="D426" t="str">
        <f>IFERROR(VLOOKUP(BDREGISTROBTH2025[[#This Row],[NROKARDEX]],BDPADRES[],8,FALSE),"Sin registrado")</f>
        <v>YULEIDY FERNANDEZ OSINAGA</v>
      </c>
      <c r="E426" s="1">
        <f>IFERROR(VLOOKUP(BDREGISTROBTH2025[[#This Row],[NROKARDEX]],Tabla3[],12,FALSE),"NO PAGO")</f>
        <v>8659</v>
      </c>
      <c r="F426" s="1" t="str">
        <f t="shared" si="13"/>
        <v>100</v>
      </c>
    </row>
    <row r="427" spans="2:6" x14ac:dyDescent="0.3">
      <c r="B427" s="1">
        <f t="shared" si="14"/>
        <v>421</v>
      </c>
      <c r="D427" t="str">
        <f>IFERROR(VLOOKUP(BDREGISTROBTH2025[[#This Row],[NROKARDEX]],BDPADRES[],8,FALSE),"Sin registrado")</f>
        <v>NELIDA MARTINEZ PEREZ</v>
      </c>
      <c r="E427" s="1">
        <f>IFERROR(VLOOKUP(BDREGISTROBTH2025[[#This Row],[NROKARDEX]],Tabla3[],12,FALSE),"NO PAGO")</f>
        <v>8741</v>
      </c>
      <c r="F427" s="1" t="str">
        <f t="shared" si="13"/>
        <v>100</v>
      </c>
    </row>
    <row r="428" spans="2:6" x14ac:dyDescent="0.3">
      <c r="B428" s="1">
        <f t="shared" si="14"/>
        <v>422</v>
      </c>
      <c r="D428" t="str">
        <f>IFERROR(VLOOKUP(BDREGISTROBTH2025[[#This Row],[NROKARDEX]],BDPADRES[],8,FALSE),"Sin registrado")</f>
        <v>ELFY MORALES MOSCOSO</v>
      </c>
      <c r="E428" s="1" t="str">
        <f>IFERROR(VLOOKUP(BDREGISTROBTH2025[[#This Row],[NROKARDEX]],Tabla3[],12,FALSE),"NO PAGO")</f>
        <v>NO</v>
      </c>
      <c r="F428" s="1">
        <f t="shared" si="13"/>
        <v>0</v>
      </c>
    </row>
    <row r="429" spans="2:6" x14ac:dyDescent="0.3">
      <c r="B429" s="1">
        <f t="shared" si="14"/>
        <v>423</v>
      </c>
      <c r="D429" t="str">
        <f>IFERROR(VLOOKUP(BDREGISTROBTH2025[[#This Row],[NROKARDEX]],BDPADRES[],8,FALSE),"Sin registrado")</f>
        <v>SILVIA  CHOQUE ESPINOZA</v>
      </c>
      <c r="E429" s="1" t="str">
        <f>IFERROR(VLOOKUP(BDREGISTROBTH2025[[#This Row],[NROKARDEX]],Tabla3[],12,FALSE),"NO PAGO")</f>
        <v>NO</v>
      </c>
      <c r="F429" s="1">
        <f t="shared" si="13"/>
        <v>0</v>
      </c>
    </row>
    <row r="430" spans="2:6" x14ac:dyDescent="0.3">
      <c r="B430" s="1">
        <f t="shared" si="14"/>
        <v>424</v>
      </c>
      <c r="D430" t="str">
        <f>IFERROR(VLOOKUP(BDREGISTROBTH2025[[#This Row],[NROKARDEX]],BDPADRES[],8,FALSE),"Sin registrado")</f>
        <v>Sin registrado</v>
      </c>
      <c r="E430" s="1" t="str">
        <f>IFERROR(VLOOKUP(BDREGISTROBTH2025[[#This Row],[NROKARDEX]],Tabla3[],12,FALSE),"NO PAGO")</f>
        <v>NO PAGO</v>
      </c>
      <c r="F430" s="1">
        <v>0</v>
      </c>
    </row>
    <row r="431" spans="2:6" x14ac:dyDescent="0.3">
      <c r="B431" s="1">
        <f t="shared" si="14"/>
        <v>425</v>
      </c>
      <c r="D431" t="str">
        <f>IFERROR(VLOOKUP(BDREGISTROBTH2025[[#This Row],[NROKARDEX]],BDPADRES[],8,FALSE),"Sin registrado")</f>
        <v>ALICIA MAMANI GARCIA</v>
      </c>
      <c r="E431" s="1" t="str">
        <f>IFERROR(VLOOKUP(BDREGISTROBTH2025[[#This Row],[NROKARDEX]],Tabla3[],12,FALSE),"NO PAGO")</f>
        <v>NO</v>
      </c>
      <c r="F431" s="1">
        <f t="shared" si="13"/>
        <v>0</v>
      </c>
    </row>
    <row r="432" spans="2:6" x14ac:dyDescent="0.3">
      <c r="B432" s="1">
        <f t="shared" si="14"/>
        <v>426</v>
      </c>
      <c r="D432" t="str">
        <f>IFERROR(VLOOKUP(BDREGISTROBTH2025[[#This Row],[NROKARDEX]],BDPADRES[],8,FALSE),"Sin registrado")</f>
        <v>ELIANA CONDORI QUISPE</v>
      </c>
      <c r="E432" s="1" t="str">
        <f>IFERROR(VLOOKUP(BDREGISTROBTH2025[[#This Row],[NROKARDEX]],Tabla3[],12,FALSE),"NO PAGO")</f>
        <v>NO</v>
      </c>
      <c r="F432" s="1">
        <f t="shared" si="13"/>
        <v>0</v>
      </c>
    </row>
    <row r="433" spans="2:6" x14ac:dyDescent="0.3">
      <c r="B433" s="1">
        <f t="shared" si="14"/>
        <v>427</v>
      </c>
      <c r="D433" t="str">
        <f>IFERROR(VLOOKUP(BDREGISTROBTH2025[[#This Row],[NROKARDEX]],BDPADRES[],8,FALSE),"Sin registrado")</f>
        <v>Sin registrado</v>
      </c>
      <c r="E433" s="1" t="str">
        <f>IFERROR(VLOOKUP(BDREGISTROBTH2025[[#This Row],[NROKARDEX]],Tabla3[],12,FALSE),"NO PAGO")</f>
        <v>NO PAGO</v>
      </c>
      <c r="F433" s="1">
        <v>0</v>
      </c>
    </row>
    <row r="434" spans="2:6" x14ac:dyDescent="0.3">
      <c r="B434" s="1">
        <f t="shared" si="14"/>
        <v>428</v>
      </c>
      <c r="D434" t="str">
        <f>IFERROR(VLOOKUP(BDREGISTROBTH2025[[#This Row],[NROKARDEX]],BDPADRES[],8,FALSE),"Sin registrado")</f>
        <v>VIVIANA RIVERA AVALOS</v>
      </c>
      <c r="E434" s="1">
        <f>IFERROR(VLOOKUP(BDREGISTROBTH2025[[#This Row],[NROKARDEX]],Tabla3[],12,FALSE),"NO PAGO")</f>
        <v>82618</v>
      </c>
      <c r="F434" s="1" t="str">
        <f t="shared" si="13"/>
        <v>100</v>
      </c>
    </row>
    <row r="435" spans="2:6" x14ac:dyDescent="0.3">
      <c r="B435" s="1">
        <f t="shared" si="14"/>
        <v>429</v>
      </c>
      <c r="D435" t="str">
        <f>IFERROR(VLOOKUP(BDREGISTROBTH2025[[#This Row],[NROKARDEX]],BDPADRES[],8,FALSE),"Sin registrado")</f>
        <v>SALOME CASTRO PINTO</v>
      </c>
      <c r="E435" s="1" t="str">
        <f>IFERROR(VLOOKUP(BDREGISTROBTH2025[[#This Row],[NROKARDEX]],Tabla3[],12,FALSE),"NO PAGO")</f>
        <v>NO</v>
      </c>
      <c r="F435" s="1">
        <f t="shared" si="13"/>
        <v>0</v>
      </c>
    </row>
    <row r="436" spans="2:6" x14ac:dyDescent="0.3">
      <c r="B436" s="1">
        <f t="shared" si="14"/>
        <v>430</v>
      </c>
      <c r="D436" t="str">
        <f>IFERROR(VLOOKUP(BDREGISTROBTH2025[[#This Row],[NROKARDEX]],BDPADRES[],8,FALSE),"Sin registrado")</f>
        <v>SANDRA MATURANO GARCIA</v>
      </c>
      <c r="E436" s="1">
        <f>IFERROR(VLOOKUP(BDREGISTROBTH2025[[#This Row],[NROKARDEX]],Tabla3[],12,FALSE),"NO PAGO")</f>
        <v>8671</v>
      </c>
      <c r="F436" s="1" t="str">
        <f t="shared" si="13"/>
        <v>100</v>
      </c>
    </row>
    <row r="437" spans="2:6" x14ac:dyDescent="0.3">
      <c r="B437" s="1">
        <f t="shared" si="14"/>
        <v>431</v>
      </c>
      <c r="D437" t="str">
        <f>IFERROR(VLOOKUP(BDREGISTROBTH2025[[#This Row],[NROKARDEX]],BDPADRES[],8,FALSE),"Sin registrado")</f>
        <v>MARIBEL  ARROYO ESCOBAR</v>
      </c>
      <c r="E437" s="1">
        <f>IFERROR(VLOOKUP(BDREGISTROBTH2025[[#This Row],[NROKARDEX]],Tabla3[],12,FALSE),"NO PAGO")</f>
        <v>56276</v>
      </c>
      <c r="F437" s="1" t="str">
        <f t="shared" si="13"/>
        <v>100</v>
      </c>
    </row>
    <row r="438" spans="2:6" x14ac:dyDescent="0.3">
      <c r="B438" s="1">
        <f t="shared" si="14"/>
        <v>432</v>
      </c>
      <c r="D438" t="str">
        <f>IFERROR(VLOOKUP(BDREGISTROBTH2025[[#This Row],[NROKARDEX]],BDPADRES[],8,FALSE),"Sin registrado")</f>
        <v>CONSUELO VANESA GARCIA ALVAREZ</v>
      </c>
      <c r="E438" s="1">
        <f>IFERROR(VLOOKUP(BDREGISTROBTH2025[[#This Row],[NROKARDEX]],Tabla3[],12,FALSE),"NO PAGO")</f>
        <v>82619</v>
      </c>
      <c r="F438" s="1" t="str">
        <f t="shared" si="13"/>
        <v>100</v>
      </c>
    </row>
    <row r="439" spans="2:6" x14ac:dyDescent="0.3">
      <c r="B439" s="1">
        <f t="shared" si="14"/>
        <v>433</v>
      </c>
      <c r="D439" t="str">
        <f>IFERROR(VLOOKUP(BDREGISTROBTH2025[[#This Row],[NROKARDEX]],BDPADRES[],8,FALSE),"Sin registrado")</f>
        <v>ERCILIA PACHA ARCIBIA</v>
      </c>
      <c r="E439" s="1">
        <f>IFERROR(VLOOKUP(BDREGISTROBTH2025[[#This Row],[NROKARDEX]],Tabla3[],12,FALSE),"NO PAGO")</f>
        <v>56010</v>
      </c>
      <c r="F439" s="1" t="str">
        <f t="shared" si="13"/>
        <v>100</v>
      </c>
    </row>
    <row r="440" spans="2:6" x14ac:dyDescent="0.3">
      <c r="B440" s="1">
        <f t="shared" si="14"/>
        <v>434</v>
      </c>
      <c r="D440" t="str">
        <f>IFERROR(VLOOKUP(BDREGISTROBTH2025[[#This Row],[NROKARDEX]],BDPADRES[],8,FALSE),"Sin registrado")</f>
        <v>IDE RODRIGUEZ LIZO</v>
      </c>
      <c r="E440" s="1">
        <f>IFERROR(VLOOKUP(BDREGISTROBTH2025[[#This Row],[NROKARDEX]],Tabla3[],12,FALSE),"NO PAGO")</f>
        <v>56023</v>
      </c>
      <c r="F440" s="1" t="str">
        <f t="shared" si="13"/>
        <v>100</v>
      </c>
    </row>
    <row r="441" spans="2:6" x14ac:dyDescent="0.3">
      <c r="B441" s="1">
        <f t="shared" si="14"/>
        <v>435</v>
      </c>
      <c r="D441" t="str">
        <f>IFERROR(VLOOKUP(BDREGISTROBTH2025[[#This Row],[NROKARDEX]],BDPADRES[],8,FALSE),"Sin registrado")</f>
        <v>RUTH VIDAL</v>
      </c>
      <c r="E441" s="1">
        <f>IFERROR(VLOOKUP(BDREGISTROBTH2025[[#This Row],[NROKARDEX]],Tabla3[],12,FALSE),"NO PAGO")</f>
        <v>56263</v>
      </c>
      <c r="F441" s="1" t="str">
        <f t="shared" si="13"/>
        <v>100</v>
      </c>
    </row>
    <row r="442" spans="2:6" x14ac:dyDescent="0.3">
      <c r="B442" s="1">
        <f t="shared" si="14"/>
        <v>436</v>
      </c>
      <c r="D442" t="str">
        <f>IFERROR(VLOOKUP(BDREGISTROBTH2025[[#This Row],[NROKARDEX]],BDPADRES[],8,FALSE),"Sin registrado")</f>
        <v>MARTHA HUISA ROMAN</v>
      </c>
      <c r="E442" s="1" t="str">
        <f>IFERROR(VLOOKUP(BDREGISTROBTH2025[[#This Row],[NROKARDEX]],Tabla3[],12,FALSE),"NO PAGO")</f>
        <v>NO</v>
      </c>
      <c r="F442" s="1">
        <f t="shared" si="13"/>
        <v>0</v>
      </c>
    </row>
    <row r="443" spans="2:6" x14ac:dyDescent="0.3">
      <c r="B443" s="1">
        <f t="shared" si="14"/>
        <v>437</v>
      </c>
      <c r="D443" t="str">
        <f>IFERROR(VLOOKUP(BDREGISTROBTH2025[[#This Row],[NROKARDEX]],BDPADRES[],8,FALSE),"Sin registrado")</f>
        <v>SANTUSA MONCADA AMADOR</v>
      </c>
      <c r="E443" s="1">
        <f>IFERROR(VLOOKUP(BDREGISTROBTH2025[[#This Row],[NROKARDEX]],Tabla3[],12,FALSE),"NO PAGO")</f>
        <v>82595</v>
      </c>
      <c r="F443" s="1" t="str">
        <f t="shared" si="13"/>
        <v>100</v>
      </c>
    </row>
    <row r="444" spans="2:6" x14ac:dyDescent="0.3">
      <c r="B444" s="1">
        <f t="shared" si="14"/>
        <v>438</v>
      </c>
      <c r="D444" t="str">
        <f>IFERROR(VLOOKUP(BDREGISTROBTH2025[[#This Row],[NROKARDEX]],BDPADRES[],8,FALSE),"Sin registrado")</f>
        <v>SABINA PADILLA ZENTENO</v>
      </c>
      <c r="E444" s="1" t="str">
        <f>IFERROR(VLOOKUP(BDREGISTROBTH2025[[#This Row],[NROKARDEX]],Tabla3[],12,FALSE),"NO PAGO")</f>
        <v>NO</v>
      </c>
      <c r="F444" s="1">
        <f t="shared" si="13"/>
        <v>0</v>
      </c>
    </row>
    <row r="445" spans="2:6" x14ac:dyDescent="0.3">
      <c r="B445" s="1">
        <f t="shared" si="14"/>
        <v>439</v>
      </c>
      <c r="D445" t="str">
        <f>IFERROR(VLOOKUP(BDREGISTROBTH2025[[#This Row],[NROKARDEX]],BDPADRES[],8,FALSE),"Sin registrado")</f>
        <v>GIOVANA  MOREIRA VARGAS</v>
      </c>
      <c r="E445" s="1">
        <f>IFERROR(VLOOKUP(BDREGISTROBTH2025[[#This Row],[NROKARDEX]],Tabla3[],12,FALSE),"NO PAGO")</f>
        <v>56268</v>
      </c>
      <c r="F445" s="1" t="str">
        <f t="shared" si="13"/>
        <v>100</v>
      </c>
    </row>
    <row r="446" spans="2:6" x14ac:dyDescent="0.3">
      <c r="B446" s="1">
        <f t="shared" si="14"/>
        <v>440</v>
      </c>
      <c r="D446" t="str">
        <f>IFERROR(VLOOKUP(BDREGISTROBTH2025[[#This Row],[NROKARDEX]],BDPADRES[],8,FALSE),"Sin registrado")</f>
        <v>GETHZY IVETH MAMANI FIGUEROA</v>
      </c>
      <c r="E446" s="1">
        <f>IFERROR(VLOOKUP(BDREGISTROBTH2025[[#This Row],[NROKARDEX]],Tabla3[],12,FALSE),"NO PAGO")</f>
        <v>8586</v>
      </c>
      <c r="F446" s="1" t="str">
        <f t="shared" si="13"/>
        <v>100</v>
      </c>
    </row>
    <row r="447" spans="2:6" x14ac:dyDescent="0.3">
      <c r="B447" s="1">
        <f t="shared" si="14"/>
        <v>441</v>
      </c>
      <c r="D447" t="str">
        <f>IFERROR(VLOOKUP(BDREGISTROBTH2025[[#This Row],[NROKARDEX]],BDPADRES[],8,FALSE),"Sin registrado")</f>
        <v>DANIELA PEÑA PACHI</v>
      </c>
      <c r="E447" s="1">
        <f>IFERROR(VLOOKUP(BDREGISTROBTH2025[[#This Row],[NROKARDEX]],Tabla3[],12,FALSE),"NO PAGO")</f>
        <v>82637</v>
      </c>
      <c r="F447" s="1" t="str">
        <f t="shared" si="13"/>
        <v>100</v>
      </c>
    </row>
    <row r="448" spans="2:6" x14ac:dyDescent="0.3">
      <c r="B448" s="1">
        <f t="shared" si="14"/>
        <v>442</v>
      </c>
      <c r="D448" t="str">
        <f>IFERROR(VLOOKUP(BDREGISTROBTH2025[[#This Row],[NROKARDEX]],BDPADRES[],8,FALSE),"Sin registrado")</f>
        <v>RILMA FIGUEROA HINOJOSA</v>
      </c>
      <c r="E448" s="1" t="str">
        <f>IFERROR(VLOOKUP(BDREGISTROBTH2025[[#This Row],[NROKARDEX]],Tabla3[],12,FALSE),"NO PAGO")</f>
        <v>NO</v>
      </c>
      <c r="F448" s="1">
        <f t="shared" si="13"/>
        <v>0</v>
      </c>
    </row>
    <row r="449" spans="2:6" x14ac:dyDescent="0.3">
      <c r="B449" s="1">
        <f t="shared" si="14"/>
        <v>443</v>
      </c>
      <c r="D449" t="str">
        <f>IFERROR(VLOOKUP(BDREGISTROBTH2025[[#This Row],[NROKARDEX]],BDPADRES[],8,FALSE),"Sin registrado")</f>
        <v>KARINA CHURATA LAMAS</v>
      </c>
      <c r="E449" s="1">
        <f>IFERROR(VLOOKUP(BDREGISTROBTH2025[[#This Row],[NROKARDEX]],Tabla3[],12,FALSE),"NO PAGO")</f>
        <v>8730</v>
      </c>
      <c r="F449" s="1" t="str">
        <f t="shared" si="13"/>
        <v>100</v>
      </c>
    </row>
    <row r="450" spans="2:6" x14ac:dyDescent="0.3">
      <c r="B450" s="1">
        <f t="shared" si="14"/>
        <v>444</v>
      </c>
      <c r="D450" t="str">
        <f>IFERROR(VLOOKUP(BDREGISTROBTH2025[[#This Row],[NROKARDEX]],BDPADRES[],8,FALSE),"Sin registrado")</f>
        <v>JAHEL  ROMERO ACHO</v>
      </c>
      <c r="E450" s="1">
        <f>IFERROR(VLOOKUP(BDREGISTROBTH2025[[#This Row],[NROKARDEX]],Tabla3[],12,FALSE),"NO PAGO")</f>
        <v>82643</v>
      </c>
      <c r="F450" s="1" t="str">
        <f t="shared" si="13"/>
        <v>100</v>
      </c>
    </row>
    <row r="451" spans="2:6" x14ac:dyDescent="0.3">
      <c r="B451" s="1">
        <f t="shared" si="14"/>
        <v>445</v>
      </c>
      <c r="D451" t="str">
        <f>IFERROR(VLOOKUP(BDREGISTROBTH2025[[#This Row],[NROKARDEX]],BDPADRES[],8,FALSE),"Sin registrado")</f>
        <v>MARISOL CHAVARRIA SANCHEZ</v>
      </c>
      <c r="E451" s="1">
        <f>IFERROR(VLOOKUP(BDREGISTROBTH2025[[#This Row],[NROKARDEX]],Tabla3[],12,FALSE),"NO PAGO")</f>
        <v>64183</v>
      </c>
      <c r="F451" s="1" t="str">
        <f t="shared" si="13"/>
        <v>100</v>
      </c>
    </row>
    <row r="452" spans="2:6" x14ac:dyDescent="0.3">
      <c r="B452" s="1">
        <f t="shared" si="14"/>
        <v>446</v>
      </c>
      <c r="D452" t="str">
        <f>IFERROR(VLOOKUP(BDREGISTROBTH2025[[#This Row],[NROKARDEX]],BDPADRES[],8,FALSE),"Sin registrado")</f>
        <v>JESIKA BONILLA GALVIZ</v>
      </c>
      <c r="E452" s="1">
        <f>IFERROR(VLOOKUP(BDREGISTROBTH2025[[#This Row],[NROKARDEX]],Tabla3[],12,FALSE),"NO PAGO")</f>
        <v>56024</v>
      </c>
      <c r="F452" s="1" t="str">
        <f t="shared" si="13"/>
        <v>100</v>
      </c>
    </row>
    <row r="453" spans="2:6" x14ac:dyDescent="0.3">
      <c r="B453" s="1">
        <f t="shared" si="14"/>
        <v>447</v>
      </c>
      <c r="D453" t="str">
        <f>IFERROR(VLOOKUP(BDREGISTROBTH2025[[#This Row],[NROKARDEX]],BDPADRES[],8,FALSE),"Sin registrado")</f>
        <v>Sin registrado</v>
      </c>
      <c r="E453" s="1" t="str">
        <f>IFERROR(VLOOKUP(BDREGISTROBTH2025[[#This Row],[NROKARDEX]],Tabla3[],12,FALSE),"NO PAGO")</f>
        <v>NO PAGO</v>
      </c>
      <c r="F453" s="1">
        <v>0</v>
      </c>
    </row>
    <row r="454" spans="2:6" x14ac:dyDescent="0.3">
      <c r="B454" s="1">
        <f t="shared" si="14"/>
        <v>448</v>
      </c>
      <c r="D454" t="str">
        <f>IFERROR(VLOOKUP(BDREGISTROBTH2025[[#This Row],[NROKARDEX]],BDPADRES[],8,FALSE),"Sin registrado")</f>
        <v>Sin registrado</v>
      </c>
      <c r="E454" s="1" t="str">
        <f>IFERROR(VLOOKUP(BDREGISTROBTH2025[[#This Row],[NROKARDEX]],Tabla3[],12,FALSE),"NO PAGO")</f>
        <v>NO PAGO</v>
      </c>
      <c r="F454" s="1">
        <v>0</v>
      </c>
    </row>
    <row r="455" spans="2:6" x14ac:dyDescent="0.3">
      <c r="B455" s="1">
        <f t="shared" si="14"/>
        <v>449</v>
      </c>
      <c r="D455" t="str">
        <f>IFERROR(VLOOKUP(BDREGISTROBTH2025[[#This Row],[NROKARDEX]],BDPADRES[],8,FALSE),"Sin registrado")</f>
        <v>CINTHIA RODRIGUEZ MARISCAL</v>
      </c>
      <c r="E455" s="1" t="str">
        <f>IFERROR(VLOOKUP(BDREGISTROBTH2025[[#This Row],[NROKARDEX]],Tabla3[],12,FALSE),"NO PAGO")</f>
        <v>NO</v>
      </c>
      <c r="F455" s="1">
        <f t="shared" ref="F455:F461" si="15">IF(E455="NO",0,"100")</f>
        <v>0</v>
      </c>
    </row>
    <row r="456" spans="2:6" x14ac:dyDescent="0.3">
      <c r="B456" s="1">
        <f t="shared" ref="B456:B468" si="16">ROW(A450)</f>
        <v>450</v>
      </c>
      <c r="D456" t="str">
        <f>IFERROR(VLOOKUP(BDREGISTROBTH2025[[#This Row],[NROKARDEX]],BDPADRES[],8,FALSE),"Sin registrado")</f>
        <v>Sin registrado</v>
      </c>
      <c r="E456" s="1" t="str">
        <f>IFERROR(VLOOKUP(BDREGISTROBTH2025[[#This Row],[NROKARDEX]],Tabla3[],12,FALSE),"NO PAGO")</f>
        <v>NO PAGO</v>
      </c>
      <c r="F456" s="1">
        <v>0</v>
      </c>
    </row>
    <row r="457" spans="2:6" x14ac:dyDescent="0.3">
      <c r="B457" s="1">
        <f t="shared" si="16"/>
        <v>451</v>
      </c>
      <c r="D457" t="str">
        <f>IFERROR(VLOOKUP(BDREGISTROBTH2025[[#This Row],[NROKARDEX]],BDPADRES[],8,FALSE),"Sin registrado")</f>
        <v>Sin registrado</v>
      </c>
      <c r="E457" s="1" t="str">
        <f>IFERROR(VLOOKUP(BDREGISTROBTH2025[[#This Row],[NROKARDEX]],Tabla3[],12,FALSE),"NO PAGO")</f>
        <v>NO PAGO</v>
      </c>
      <c r="F457" s="1">
        <v>0</v>
      </c>
    </row>
    <row r="458" spans="2:6" x14ac:dyDescent="0.3">
      <c r="B458" s="1">
        <f t="shared" si="16"/>
        <v>452</v>
      </c>
      <c r="D458" t="str">
        <f>IFERROR(VLOOKUP(BDREGISTROBTH2025[[#This Row],[NROKARDEX]],BDPADRES[],8,FALSE),"Sin registrado")</f>
        <v>LORENA RODRIGUEZ CAMACHO</v>
      </c>
      <c r="E458" s="1">
        <f>IFERROR(VLOOKUP(BDREGISTROBTH2025[[#This Row],[NROKARDEX]],Tabla3[],12,FALSE),"NO PAGO")</f>
        <v>82649</v>
      </c>
      <c r="F458" s="1" t="str">
        <f t="shared" si="15"/>
        <v>100</v>
      </c>
    </row>
    <row r="459" spans="2:6" x14ac:dyDescent="0.3">
      <c r="B459" s="1">
        <f t="shared" si="16"/>
        <v>453</v>
      </c>
      <c r="D459" t="str">
        <f>IFERROR(VLOOKUP(BDREGISTROBTH2025[[#This Row],[NROKARDEX]],BDPADRES[],8,FALSE),"Sin registrado")</f>
        <v>Sin registrado</v>
      </c>
      <c r="E459" s="1" t="str">
        <f>IFERROR(VLOOKUP(BDREGISTROBTH2025[[#This Row],[NROKARDEX]],Tabla3[],12,FALSE),"NO PAGO")</f>
        <v>NO PAGO</v>
      </c>
      <c r="F459" s="1">
        <v>0</v>
      </c>
    </row>
    <row r="460" spans="2:6" x14ac:dyDescent="0.3">
      <c r="B460" s="1">
        <f t="shared" si="16"/>
        <v>454</v>
      </c>
      <c r="D460" t="str">
        <f>IFERROR(VLOOKUP(BDREGISTROBTH2025[[#This Row],[NROKARDEX]],BDPADRES[],8,FALSE),"Sin registrado")</f>
        <v>LOURDES ORIAS CALDERON</v>
      </c>
      <c r="E460" s="1">
        <f>IFERROR(VLOOKUP(BDREGISTROBTH2025[[#This Row],[NROKARDEX]],Tabla3[],12,FALSE),"NO PAGO")</f>
        <v>56022</v>
      </c>
      <c r="F460" s="1" t="str">
        <f t="shared" si="15"/>
        <v>100</v>
      </c>
    </row>
    <row r="461" spans="2:6" x14ac:dyDescent="0.3">
      <c r="B461" s="1">
        <f t="shared" si="16"/>
        <v>455</v>
      </c>
      <c r="D461" t="str">
        <f>IFERROR(VLOOKUP(BDREGISTROBTH2025[[#This Row],[NROKARDEX]],BDPADRES[],8,FALSE),"Sin registrado")</f>
        <v>DAMIANA COLQUE QUISPE</v>
      </c>
      <c r="E461" s="1">
        <f>IFERROR(VLOOKUP(BDREGISTROBTH2025[[#This Row],[NROKARDEX]],Tabla3[],12,FALSE),"NO PAGO")</f>
        <v>56029</v>
      </c>
      <c r="F461" s="1" t="str">
        <f t="shared" si="15"/>
        <v>100</v>
      </c>
    </row>
    <row r="462" spans="2:6" x14ac:dyDescent="0.3">
      <c r="B462" s="1">
        <f t="shared" si="16"/>
        <v>456</v>
      </c>
      <c r="D462" t="str">
        <f>IFERROR(VLOOKUP(BDREGISTROBTH2025[[#This Row],[NROKARDEX]],BDPADRES[],8,FALSE),"Sin registrado")</f>
        <v>Sin registrado</v>
      </c>
      <c r="E462" s="1" t="str">
        <f>IFERROR(VLOOKUP(BDREGISTROBTH2025[[#This Row],[NROKARDEX]],Tabla3[],12,FALSE),"NO PAGO")</f>
        <v>NO PAGO</v>
      </c>
      <c r="F462" s="1">
        <v>0</v>
      </c>
    </row>
    <row r="463" spans="2:6" x14ac:dyDescent="0.3">
      <c r="B463" s="1">
        <f t="shared" si="16"/>
        <v>457</v>
      </c>
      <c r="D463" t="str">
        <f>IFERROR(VLOOKUP(BDREGISTROBTH2025[[#This Row],[NROKARDEX]],BDPADRES[],8,FALSE),"Sin registrado")</f>
        <v>Sin registrado</v>
      </c>
      <c r="E463" s="1" t="str">
        <f>IFERROR(VLOOKUP(BDREGISTROBTH2025[[#This Row],[NROKARDEX]],Tabla3[],12,FALSE),"NO PAGO")</f>
        <v>NO PAGO</v>
      </c>
      <c r="F463" s="1">
        <v>0</v>
      </c>
    </row>
    <row r="464" spans="2:6" x14ac:dyDescent="0.3">
      <c r="B464" s="1">
        <f t="shared" si="16"/>
        <v>458</v>
      </c>
      <c r="D464" t="str">
        <f>IFERROR(VLOOKUP(BDREGISTROBTH2025[[#This Row],[NROKARDEX]],BDPADRES[],8,FALSE),"Sin registrado")</f>
        <v>Sin registrado</v>
      </c>
      <c r="E464" s="1" t="str">
        <f>IFERROR(VLOOKUP(BDREGISTROBTH2025[[#This Row],[NROKARDEX]],Tabla3[],12,FALSE),"NO PAGO")</f>
        <v>NO PAGO</v>
      </c>
      <c r="F464" s="1">
        <v>0</v>
      </c>
    </row>
    <row r="465" spans="2:6" x14ac:dyDescent="0.3">
      <c r="B465" s="1">
        <f t="shared" si="16"/>
        <v>459</v>
      </c>
      <c r="D465" t="str">
        <f>IFERROR(VLOOKUP(BDREGISTROBTH2025[[#This Row],[NROKARDEX]],BDPADRES[],8,FALSE),"Sin registrado")</f>
        <v>Sin registrado</v>
      </c>
      <c r="E465" s="1" t="str">
        <f>IFERROR(VLOOKUP(BDREGISTROBTH2025[[#This Row],[NROKARDEX]],Tabla3[],12,FALSE),"NO PAGO")</f>
        <v>NO PAGO</v>
      </c>
      <c r="F465" s="1">
        <v>0</v>
      </c>
    </row>
    <row r="466" spans="2:6" x14ac:dyDescent="0.3">
      <c r="B466" s="1">
        <f t="shared" si="16"/>
        <v>460</v>
      </c>
      <c r="D466" t="str">
        <f>IFERROR(VLOOKUP(BDREGISTROBTH2025[[#This Row],[NROKARDEX]],BDPADRES[],8,FALSE),"Sin registrado")</f>
        <v>Sin registrado</v>
      </c>
      <c r="E466" s="1" t="str">
        <f>IFERROR(VLOOKUP(BDREGISTROBTH2025[[#This Row],[NROKARDEX]],Tabla3[],12,FALSE),"NO PAGO")</f>
        <v>NO PAGO</v>
      </c>
      <c r="F466" s="1">
        <v>0</v>
      </c>
    </row>
    <row r="467" spans="2:6" x14ac:dyDescent="0.3">
      <c r="B467" s="1">
        <f t="shared" si="16"/>
        <v>461</v>
      </c>
      <c r="D467" t="str">
        <f>IFERROR(VLOOKUP(BDREGISTROBTH2025[[#This Row],[NROKARDEX]],BDPADRES[],8,FALSE),"Sin registrado")</f>
        <v>Sin registrado</v>
      </c>
      <c r="E467" s="1" t="str">
        <f>IFERROR(VLOOKUP(BDREGISTROBTH2025[[#This Row],[NROKARDEX]],Tabla3[],12,FALSE),"NO PAGO")</f>
        <v>NO PAGO</v>
      </c>
      <c r="F467" s="1">
        <v>0</v>
      </c>
    </row>
    <row r="468" spans="2:6" x14ac:dyDescent="0.3">
      <c r="B468" s="1">
        <f t="shared" si="16"/>
        <v>462</v>
      </c>
      <c r="D468" t="str">
        <f>IFERROR(VLOOKUP(BDREGISTROBTH2025[[#This Row],[NROKARDEX]],BDPADRES[],8,FALSE),"Sin registrado")</f>
        <v>Sin registrado</v>
      </c>
      <c r="E468" s="1" t="str">
        <f>IFERROR(VLOOKUP(BDREGISTROBTH2025[[#This Row],[NROKARDEX]],Tabla3[],12,FALSE),"NO PAGO")</f>
        <v>NO PAGO</v>
      </c>
      <c r="F468" s="1">
        <v>0</v>
      </c>
    </row>
    <row r="469" spans="2:6" x14ac:dyDescent="0.3">
      <c r="B469" s="1">
        <f t="shared" ref="B469:B475" si="17">ROW(A463)</f>
        <v>463</v>
      </c>
      <c r="D469" t="str">
        <f>IFERROR(VLOOKUP(BDREGISTROBTH2025[[#This Row],[NROKARDEX]],BDPADRES[],8,FALSE),"Sin registrado")</f>
        <v>Sin registrado</v>
      </c>
      <c r="E469" s="1" t="str">
        <f>IFERROR(VLOOKUP(BDREGISTROBTH2025[[#This Row],[NROKARDEX]],Tabla3[],12,FALSE),"NO PAGO")</f>
        <v>NO PAGO</v>
      </c>
      <c r="F469" s="1">
        <v>0</v>
      </c>
    </row>
    <row r="470" spans="2:6" x14ac:dyDescent="0.3">
      <c r="B470" s="1">
        <f t="shared" si="17"/>
        <v>464</v>
      </c>
      <c r="D470" t="str">
        <f>IFERROR(VLOOKUP(BDREGISTROBTH2025[[#This Row],[NROKARDEX]],BDPADRES[],8,FALSE),"Sin registrado")</f>
        <v>Sin registrado</v>
      </c>
      <c r="E470" s="1" t="str">
        <f>IFERROR(VLOOKUP(BDREGISTROBTH2025[[#This Row],[NROKARDEX]],Tabla3[],12,FALSE),"NO PAGO")</f>
        <v>NO PAGO</v>
      </c>
      <c r="F470" s="1">
        <v>0</v>
      </c>
    </row>
    <row r="471" spans="2:6" x14ac:dyDescent="0.3">
      <c r="B471" s="1">
        <f t="shared" si="17"/>
        <v>465</v>
      </c>
      <c r="D471" t="str">
        <f>IFERROR(VLOOKUP(BDREGISTROBTH2025[[#This Row],[NROKARDEX]],BDPADRES[],8,FALSE),"Sin registrado")</f>
        <v>LINA SOLIS GARNICA</v>
      </c>
      <c r="E471" s="1">
        <f>IFERROR(VLOOKUP(BDREGISTROBTH2025[[#This Row],[NROKARDEX]],Tabla3[],12,FALSE),"NO PAGO")</f>
        <v>56264</v>
      </c>
      <c r="F471" s="1">
        <v>0</v>
      </c>
    </row>
    <row r="472" spans="2:6" x14ac:dyDescent="0.3">
      <c r="B472" s="1">
        <f t="shared" si="17"/>
        <v>466</v>
      </c>
      <c r="D472" t="str">
        <f>IFERROR(VLOOKUP(BDREGISTROBTH2025[[#This Row],[NROKARDEX]],BDPADRES[],8,FALSE),"Sin registrado")</f>
        <v>Sin registrado</v>
      </c>
      <c r="E472" s="1" t="str">
        <f>IFERROR(VLOOKUP(BDREGISTROBTH2025[[#This Row],[NROKARDEX]],Tabla3[],12,FALSE),"NO PAGO")</f>
        <v>NO PAGO</v>
      </c>
      <c r="F472" s="1">
        <v>0</v>
      </c>
    </row>
    <row r="473" spans="2:6" x14ac:dyDescent="0.3">
      <c r="B473" s="1">
        <f t="shared" si="17"/>
        <v>467</v>
      </c>
      <c r="D473" t="str">
        <f>IFERROR(VLOOKUP(BDREGISTROBTH2025[[#This Row],[NROKARDEX]],BDPADRES[],8,FALSE),"Sin registrado")</f>
        <v>Sin registrado</v>
      </c>
      <c r="E473" s="1" t="str">
        <f>IFERROR(VLOOKUP(BDREGISTROBTH2025[[#This Row],[NROKARDEX]],Tabla3[],12,FALSE),"NO PAGO")</f>
        <v>NO PAGO</v>
      </c>
      <c r="F473" s="1">
        <v>0</v>
      </c>
    </row>
    <row r="474" spans="2:6" x14ac:dyDescent="0.3">
      <c r="B474" s="1">
        <f t="shared" si="17"/>
        <v>468</v>
      </c>
      <c r="D474" t="str">
        <f>IFERROR(VLOOKUP(BDREGISTROBTH2025[[#This Row],[NROKARDEX]],BDPADRES[],8,FALSE),"Sin registrado")</f>
        <v>Sin registrado</v>
      </c>
      <c r="E474" s="1" t="str">
        <f>IFERROR(VLOOKUP(BDREGISTROBTH2025[[#This Row],[NROKARDEX]],Tabla3[],12,FALSE),"NO PAGO")</f>
        <v>NO PAGO</v>
      </c>
      <c r="F474" s="1">
        <v>0</v>
      </c>
    </row>
    <row r="475" spans="2:6" x14ac:dyDescent="0.3">
      <c r="B475" s="1">
        <f t="shared" si="17"/>
        <v>469</v>
      </c>
      <c r="D475" t="str">
        <f>IFERROR(VLOOKUP(BDREGISTROBTH2025[[#This Row],[NROKARDEX]],BDPADRES[],8,FALSE),"Sin registrado")</f>
        <v>Sin registrado</v>
      </c>
      <c r="E475" s="1" t="str">
        <f>IFERROR(VLOOKUP(BDREGISTROBTH2025[[#This Row],[NROKARDEX]],Tabla3[],12,FALSE),"NO PAGO")</f>
        <v>NO PAGO</v>
      </c>
      <c r="F475" s="1">
        <v>0</v>
      </c>
    </row>
    <row r="476" spans="2:6" x14ac:dyDescent="0.3">
      <c r="B476" s="1">
        <f t="shared" ref="B476:B477" si="18">ROW(A470)</f>
        <v>470</v>
      </c>
      <c r="D476" t="str">
        <f>IFERROR(VLOOKUP(BDREGISTROBTH2025[[#This Row],[NROKARDEX]],BDPADRES[],8,FALSE),"Sin registrado")</f>
        <v>Sin registrado</v>
      </c>
      <c r="E476" s="1" t="str">
        <f>IFERROR(VLOOKUP(BDREGISTROBTH2025[[#This Row],[NROKARDEX]],Tabla3[],12,FALSE),"NO PAGO")</f>
        <v>NO PAGO</v>
      </c>
      <c r="F476" s="1">
        <v>0</v>
      </c>
    </row>
    <row r="477" spans="2:6" x14ac:dyDescent="0.3">
      <c r="B477" s="1">
        <f t="shared" si="18"/>
        <v>471</v>
      </c>
      <c r="D477" t="str">
        <f>IFERROR(VLOOKUP(BDREGISTROBTH2025[[#This Row],[NROKARDEX]],BDPADRES[],8,FALSE),"Sin registrado")</f>
        <v>Sin registrado</v>
      </c>
      <c r="E477" s="1" t="str">
        <f>IFERROR(VLOOKUP(BDREGISTROBTH2025[[#This Row],[NROKARDEX]],Tabla3[],12,FALSE),"NO PAGO")</f>
        <v>NO PAGO</v>
      </c>
      <c r="F477" s="1">
        <v>0</v>
      </c>
    </row>
    <row r="478" spans="2:6" x14ac:dyDescent="0.3">
      <c r="B478" s="1">
        <f t="shared" ref="B478" si="19">ROW(A472)</f>
        <v>472</v>
      </c>
      <c r="D478" t="str">
        <f>IFERROR(VLOOKUP(BDREGISTROBTH2025[[#This Row],[NROKARDEX]],BDPADRES[],8,FALSE),"Sin registrado")</f>
        <v>CATHIA ORTIZ CRUZ</v>
      </c>
      <c r="E478" s="1">
        <f>IFERROR(VLOOKUP(BDREGISTROBTH2025[[#This Row],[NROKARDEX]],Tabla3[],12,FALSE),"NO PAGO")</f>
        <v>82645</v>
      </c>
      <c r="F478" s="1" t="str">
        <f t="shared" ref="F478" si="20">IF(E478="NO",0,"100")</f>
        <v>100</v>
      </c>
    </row>
    <row r="479" spans="2:6" x14ac:dyDescent="0.3">
      <c r="B479" s="1" t="s">
        <v>3114</v>
      </c>
      <c r="D479" t="str">
        <f>IFERROR(VLOOKUP(BDREGISTROBTH2025[[#This Row],[NROKARDEX]],BDPADRES[],8,FALSE),"Sin registrado")</f>
        <v>ANA LUISA RIVERA MENESES</v>
      </c>
      <c r="E479" s="1" t="str">
        <f>IFERROR(VLOOKUP(BDREGISTROBTH2025[[#This Row],[NROKARDEX]],Tabla3[],12,FALSE),"NO PAGO")</f>
        <v>NO PAGO</v>
      </c>
      <c r="F479" s="1">
        <v>0</v>
      </c>
    </row>
    <row r="480" spans="2:6" x14ac:dyDescent="0.3">
      <c r="B480" s="1" t="s">
        <v>3115</v>
      </c>
      <c r="D480" t="str">
        <f>IFERROR(VLOOKUP(BDREGISTROBTH2025[[#This Row],[NROKARDEX]],BDPADRES[],8,FALSE),"Sin registrado")</f>
        <v>BETANIA SICPORO RODRIGUEZ</v>
      </c>
      <c r="E480" s="1" t="str">
        <f>IFERROR(VLOOKUP(BDREGISTROBTH2025[[#This Row],[NROKARDEX]],Tabla3[],12,FALSE),"NO PAGO")</f>
        <v>NO</v>
      </c>
      <c r="F480" s="1">
        <f t="shared" ref="F480:F494" si="21">IF(E480="NO",0,"100")</f>
        <v>0</v>
      </c>
    </row>
    <row r="481" spans="2:6" x14ac:dyDescent="0.3">
      <c r="B481" s="1" t="s">
        <v>3116</v>
      </c>
      <c r="D481" t="str">
        <f>IFERROR(VLOOKUP(BDREGISTROBTH2025[[#This Row],[NROKARDEX]],BDPADRES[],8,FALSE),"Sin registrado")</f>
        <v>Sin registrado</v>
      </c>
      <c r="E481" s="1" t="str">
        <f>IFERROR(VLOOKUP(BDREGISTROBTH2025[[#This Row],[NROKARDEX]],Tabla3[],12,FALSE),"NO PAGO")</f>
        <v>NO PAGO</v>
      </c>
      <c r="F481" s="1" t="str">
        <f>IF(E481="NO",0,"100")</f>
        <v>100</v>
      </c>
    </row>
    <row r="482" spans="2:6" x14ac:dyDescent="0.3">
      <c r="B482" s="1" t="s">
        <v>3117</v>
      </c>
      <c r="D482" t="str">
        <f>IFERROR(VLOOKUP(BDREGISTROBTH2025[[#This Row],[NROKARDEX]],BDPADRES[],8,FALSE),"Sin registrado")</f>
        <v>Sin registrado</v>
      </c>
      <c r="E482" s="1">
        <f>IFERROR(VLOOKUP(BDREGISTROBTH2025[[#This Row],[NROKARDEX]],Tabla3[],12,FALSE),"NO PAGO")</f>
        <v>56291</v>
      </c>
      <c r="F482" s="1" t="str">
        <f t="shared" si="21"/>
        <v>100</v>
      </c>
    </row>
    <row r="483" spans="2:6" x14ac:dyDescent="0.3">
      <c r="B483" s="1" t="s">
        <v>3118</v>
      </c>
      <c r="D483" t="str">
        <f>IFERROR(VLOOKUP(BDREGISTROBTH2025[[#This Row],[NROKARDEX]],BDPADRES[],8,FALSE),"Sin registrado")</f>
        <v>FIDELIA LAQUE RAMOS</v>
      </c>
      <c r="E483" s="1" t="str">
        <f>IFERROR(VLOOKUP(BDREGISTROBTH2025[[#This Row],[NROKARDEX]],Tabla3[],12,FALSE),"NO PAGO")</f>
        <v>NO</v>
      </c>
      <c r="F483" s="1">
        <f t="shared" si="21"/>
        <v>0</v>
      </c>
    </row>
    <row r="484" spans="2:6" x14ac:dyDescent="0.3">
      <c r="B484" s="1" t="s">
        <v>3119</v>
      </c>
      <c r="D484" t="str">
        <f>IFERROR(VLOOKUP(BDREGISTROBTH2025[[#This Row],[NROKARDEX]],BDPADRES[],8,FALSE),"Sin registrado")</f>
        <v>MARINA USCAMAYTA CONDORI</v>
      </c>
      <c r="E484" s="1" t="str">
        <f>IFERROR(VLOOKUP(BDREGISTROBTH2025[[#This Row],[NROKARDEX]],Tabla3[],12,FALSE),"NO PAGO")</f>
        <v>NO</v>
      </c>
      <c r="F484" s="1">
        <f t="shared" si="21"/>
        <v>0</v>
      </c>
    </row>
    <row r="485" spans="2:6" x14ac:dyDescent="0.3">
      <c r="B485" s="1" t="s">
        <v>3120</v>
      </c>
      <c r="D485" t="str">
        <f>IFERROR(VLOOKUP(BDREGISTROBTH2025[[#This Row],[NROKARDEX]],BDPADRES[],8,FALSE),"Sin registrado")</f>
        <v>PATRICIA SALVATIERRA JIMENEZ</v>
      </c>
      <c r="E485" s="1">
        <f>IFERROR(VLOOKUP(BDREGISTROBTH2025[[#This Row],[NROKARDEX]],Tabla3[],12,FALSE),"NO PAGO")</f>
        <v>56254</v>
      </c>
      <c r="F485" s="1" t="str">
        <f t="shared" si="21"/>
        <v>100</v>
      </c>
    </row>
    <row r="486" spans="2:6" x14ac:dyDescent="0.3">
      <c r="B486" s="1" t="s">
        <v>3121</v>
      </c>
      <c r="D486" t="str">
        <f>IFERROR(VLOOKUP(BDREGISTROBTH2025[[#This Row],[NROKARDEX]],BDPADRES[],8,FALSE),"Sin registrado")</f>
        <v>MARIELA MAMANI ACHAYA</v>
      </c>
      <c r="E486" s="1">
        <f>IFERROR(VLOOKUP(BDREGISTROBTH2025[[#This Row],[NROKARDEX]],Tabla3[],12,FALSE),"NO PAGO")</f>
        <v>82625</v>
      </c>
      <c r="F486" s="1" t="str">
        <f t="shared" si="21"/>
        <v>100</v>
      </c>
    </row>
    <row r="487" spans="2:6" x14ac:dyDescent="0.3">
      <c r="B487" s="1" t="s">
        <v>3122</v>
      </c>
      <c r="D487" t="str">
        <f>IFERROR(VLOOKUP(BDREGISTROBTH2025[[#This Row],[NROKARDEX]],BDPADRES[],8,FALSE),"Sin registrado")</f>
        <v>IVET BELTRAN GONZALES</v>
      </c>
      <c r="E487" s="1">
        <f>IFERROR(VLOOKUP(BDREGISTROBTH2025[[#This Row],[NROKARDEX]],Tabla3[],12,FALSE),"NO PAGO")</f>
        <v>8717</v>
      </c>
      <c r="F487" s="1" t="str">
        <f t="shared" si="21"/>
        <v>100</v>
      </c>
    </row>
    <row r="488" spans="2:6" x14ac:dyDescent="0.3">
      <c r="B488" s="1" t="s">
        <v>3123</v>
      </c>
      <c r="D488" t="str">
        <f>IFERROR(VLOOKUP(BDREGISTROBTH2025[[#This Row],[NROKARDEX]],BDPADRES[],8,FALSE),"Sin registrado")</f>
        <v>LOURDES FERNANDEZ ORTIZ</v>
      </c>
      <c r="E488" s="1">
        <f>IFERROR(VLOOKUP(BDREGISTROBTH2025[[#This Row],[NROKARDEX]],Tabla3[],12,FALSE),"NO PAGO")</f>
        <v>56102</v>
      </c>
      <c r="F488" s="1" t="str">
        <f t="shared" si="21"/>
        <v>100</v>
      </c>
    </row>
    <row r="489" spans="2:6" x14ac:dyDescent="0.3">
      <c r="B489" s="1" t="s">
        <v>3124</v>
      </c>
      <c r="D489" t="str">
        <f>IFERROR(VLOOKUP(BDREGISTROBTH2025[[#This Row],[NROKARDEX]],BDPADRES[],8,FALSE),"Sin registrado")</f>
        <v>DEYSY ROBLEDO AVALOS</v>
      </c>
      <c r="E489" s="1">
        <f>IFERROR(VLOOKUP(BDREGISTROBTH2025[[#This Row],[NROKARDEX]],Tabla3[],12,FALSE),"NO PAGO")</f>
        <v>82578</v>
      </c>
      <c r="F489" s="1" t="str">
        <f t="shared" si="21"/>
        <v>100</v>
      </c>
    </row>
    <row r="490" spans="2:6" x14ac:dyDescent="0.3">
      <c r="B490" s="1" t="s">
        <v>3125</v>
      </c>
      <c r="D490" t="str">
        <f>IFERROR(VLOOKUP(BDREGISTROBTH2025[[#This Row],[NROKARDEX]],BDPADRES[],8,FALSE),"Sin registrado")</f>
        <v>MARIANA VACA NOVA</v>
      </c>
      <c r="E490" s="1">
        <f>IFERROR(VLOOKUP(BDREGISTROBTH2025[[#This Row],[NROKARDEX]],Tabla3[],12,FALSE),"NO PAGO")</f>
        <v>56301</v>
      </c>
      <c r="F490" s="1" t="str">
        <f t="shared" si="21"/>
        <v>100</v>
      </c>
    </row>
    <row r="491" spans="2:6" x14ac:dyDescent="0.3">
      <c r="B491" s="1" t="s">
        <v>3126</v>
      </c>
      <c r="D491" t="str">
        <f>IFERROR(VLOOKUP(BDREGISTROBTH2025[[#This Row],[NROKARDEX]],BDPADRES[],8,FALSE),"Sin registrado")</f>
        <v>ADRIANA HUAILLA ORELLANA</v>
      </c>
      <c r="E491" s="1" t="str">
        <f>IFERROR(VLOOKUP(BDREGISTROBTH2025[[#This Row],[NROKARDEX]],Tabla3[],12,FALSE),"NO PAGO")</f>
        <v>NO</v>
      </c>
      <c r="F491" s="1">
        <f t="shared" si="21"/>
        <v>0</v>
      </c>
    </row>
    <row r="492" spans="2:6" x14ac:dyDescent="0.3">
      <c r="B492" s="1" t="s">
        <v>3127</v>
      </c>
      <c r="D492" t="str">
        <f>IFERROR(VLOOKUP(BDREGISTROBTH2025[[#This Row],[NROKARDEX]],BDPADRES[],8,FALSE),"Sin registrado")</f>
        <v>MIRIAN MENDOZA RIVERA</v>
      </c>
      <c r="E492" s="1" t="str">
        <f>IFERROR(VLOOKUP(BDREGISTROBTH2025[[#This Row],[NROKARDEX]],Tabla3[],12,FALSE),"NO PAGO")</f>
        <v>NO</v>
      </c>
      <c r="F492" s="1">
        <f t="shared" si="21"/>
        <v>0</v>
      </c>
    </row>
    <row r="493" spans="2:6" x14ac:dyDescent="0.3">
      <c r="B493" s="1" t="s">
        <v>3128</v>
      </c>
      <c r="D493" t="str">
        <f>IFERROR(VLOOKUP(BDREGISTROBTH2025[[#This Row],[NROKARDEX]],BDPADRES[],8,FALSE),"Sin registrado")</f>
        <v>HERMINIA QUEMAYA GARCIA</v>
      </c>
      <c r="E493" s="1">
        <f>IFERROR(VLOOKUP(BDREGISTROBTH2025[[#This Row],[NROKARDEX]],Tabla3[],12,FALSE),"NO PAGO")</f>
        <v>8595</v>
      </c>
      <c r="F493" s="1" t="str">
        <f t="shared" si="21"/>
        <v>100</v>
      </c>
    </row>
    <row r="494" spans="2:6" x14ac:dyDescent="0.3">
      <c r="B494" s="1" t="s">
        <v>3129</v>
      </c>
      <c r="D494" t="str">
        <f>IFERROR(VLOOKUP(BDREGISTROBTH2025[[#This Row],[NROKARDEX]],BDPADRES[],8,FALSE),"Sin registrado")</f>
        <v>DELMA MERUBIA AVILA</v>
      </c>
      <c r="E494" s="1">
        <f>IFERROR(VLOOKUP(BDREGISTROBTH2025[[#This Row],[NROKARDEX]],Tabla3[],12,FALSE),"NO PAGO")</f>
        <v>8733</v>
      </c>
      <c r="F494" s="1" t="str">
        <f t="shared" si="21"/>
        <v>100</v>
      </c>
    </row>
    <row r="495" spans="2:6" x14ac:dyDescent="0.3">
      <c r="B495" s="1" t="s">
        <v>3130</v>
      </c>
      <c r="D495" t="str">
        <f>IFERROR(VLOOKUP(BDREGISTROBTH2025[[#This Row],[NROKARDEX]],BDPADRES[],8,FALSE),"Sin registrado")</f>
        <v>YOVANA MARTINEZ ROMERO</v>
      </c>
      <c r="E495" s="1" t="str">
        <f>IFERROR(VLOOKUP(BDREGISTROBTH2025[[#This Row],[NROKARDEX]],Tabla3[],12,FALSE),"NO PAGO")</f>
        <v>NO</v>
      </c>
      <c r="F495" s="1">
        <f t="shared" ref="F495:F510" si="22">IF(E495="NO",0,"100")</f>
        <v>0</v>
      </c>
    </row>
    <row r="496" spans="2:6" x14ac:dyDescent="0.3">
      <c r="B496" s="1" t="s">
        <v>3131</v>
      </c>
      <c r="D496" t="str">
        <f>IFERROR(VLOOKUP(BDREGISTROBTH2025[[#This Row],[NROKARDEX]],BDPADRES[],8,FALSE),"Sin registrado")</f>
        <v>Sin registrado</v>
      </c>
      <c r="E496" s="1" t="str">
        <f>IFERROR(VLOOKUP(BDREGISTROBTH2025[[#This Row],[NROKARDEX]],Tabla3[],12,FALSE),"NO PAGO")</f>
        <v>NO PAGO</v>
      </c>
      <c r="F496" s="1" t="str">
        <f t="shared" si="22"/>
        <v>100</v>
      </c>
    </row>
    <row r="497" spans="2:6" x14ac:dyDescent="0.3">
      <c r="B497" s="1" t="s">
        <v>3132</v>
      </c>
      <c r="D497" t="str">
        <f>IFERROR(VLOOKUP(BDREGISTROBTH2025[[#This Row],[NROKARDEX]],BDPADRES[],8,FALSE),"Sin registrado")</f>
        <v>NORMA FLORES ABREGO</v>
      </c>
      <c r="E497" s="1">
        <f>IFERROR(VLOOKUP(BDREGISTROBTH2025[[#This Row],[NROKARDEX]],Tabla3[],12,FALSE),"NO PAGO")</f>
        <v>56287</v>
      </c>
      <c r="F497" s="1" t="str">
        <f t="shared" si="22"/>
        <v>100</v>
      </c>
    </row>
    <row r="498" spans="2:6" x14ac:dyDescent="0.3">
      <c r="B498" s="1" t="s">
        <v>3133</v>
      </c>
      <c r="D498" t="str">
        <f>IFERROR(VLOOKUP(BDREGISTROBTH2025[[#This Row],[NROKARDEX]],BDPADRES[],8,FALSE),"Sin registrado")</f>
        <v>MARGARITA COIMBRA SOLIZ</v>
      </c>
      <c r="E498" s="1">
        <f>IFERROR(VLOOKUP(BDREGISTROBTH2025[[#This Row],[NROKARDEX]],Tabla3[],12,FALSE),"NO PAGO")</f>
        <v>82640</v>
      </c>
      <c r="F498" s="1" t="str">
        <f t="shared" si="22"/>
        <v>100</v>
      </c>
    </row>
    <row r="499" spans="2:6" x14ac:dyDescent="0.3">
      <c r="B499" s="1" t="s">
        <v>3134</v>
      </c>
      <c r="D499" t="str">
        <f>IFERROR(VLOOKUP(BDREGISTROBTH2025[[#This Row],[NROKARDEX]],BDPADRES[],8,FALSE),"Sin registrado")</f>
        <v xml:space="preserve">NREG/NOMBRE PEREZ </v>
      </c>
      <c r="E499" s="1">
        <f>IFERROR(VLOOKUP(BDREGISTROBTH2025[[#This Row],[NROKARDEX]],Tabla3[],12,FALSE),"NO PAGO")</f>
        <v>8747</v>
      </c>
      <c r="F499" s="1" t="str">
        <f t="shared" si="22"/>
        <v>100</v>
      </c>
    </row>
    <row r="500" spans="2:6" x14ac:dyDescent="0.3">
      <c r="B500" s="1" t="s">
        <v>3135</v>
      </c>
      <c r="D500" t="str">
        <f>IFERROR(VLOOKUP(BDREGISTROBTH2025[[#This Row],[NROKARDEX]],BDPADRES[],8,FALSE),"Sin registrado")</f>
        <v>CIERIDEY CEREZO GARCIA</v>
      </c>
      <c r="E500" s="1" t="str">
        <f>IFERROR(VLOOKUP(BDREGISTROBTH2025[[#This Row],[NROKARDEX]],Tabla3[],12,FALSE),"NO PAGO")</f>
        <v>82594
50%</v>
      </c>
      <c r="F500" s="1" t="str">
        <f t="shared" si="22"/>
        <v>100</v>
      </c>
    </row>
    <row r="501" spans="2:6" x14ac:dyDescent="0.3">
      <c r="B501" s="1" t="s">
        <v>3136</v>
      </c>
      <c r="D501" t="str">
        <f>IFERROR(VLOOKUP(BDREGISTROBTH2025[[#This Row],[NROKARDEX]],BDPADRES[],8,FALSE),"Sin registrado")</f>
        <v>CONSUELO MILENKA RAMOS VILLEGAS</v>
      </c>
      <c r="E501" s="1">
        <f>IFERROR(VLOOKUP(BDREGISTROBTH2025[[#This Row],[NROKARDEX]],Tabla3[],12,FALSE),"NO PAGO")</f>
        <v>56299</v>
      </c>
      <c r="F501" s="1" t="str">
        <f t="shared" si="22"/>
        <v>100</v>
      </c>
    </row>
    <row r="502" spans="2:6" x14ac:dyDescent="0.3">
      <c r="B502" s="1" t="s">
        <v>3137</v>
      </c>
      <c r="D502" t="str">
        <f>IFERROR(VLOOKUP(BDREGISTROBTH2025[[#This Row],[NROKARDEX]],BDPADRES[],8,FALSE),"Sin registrado")</f>
        <v>NICOLAZA BONIFAZ ALVAREZ</v>
      </c>
      <c r="E502" s="1" t="str">
        <f>IFERROR(VLOOKUP(BDREGISTROBTH2025[[#This Row],[NROKARDEX]],Tabla3[],12,FALSE),"NO PAGO")</f>
        <v>NO</v>
      </c>
      <c r="F502" s="1">
        <f t="shared" si="22"/>
        <v>0</v>
      </c>
    </row>
    <row r="503" spans="2:6" x14ac:dyDescent="0.3">
      <c r="B503" s="1" t="s">
        <v>3138</v>
      </c>
      <c r="D503" t="str">
        <f>IFERROR(VLOOKUP(BDREGISTROBTH2025[[#This Row],[NROKARDEX]],BDPADRES[],8,FALSE),"Sin registrado")</f>
        <v>MARIA CUELLAR MOSCOSO</v>
      </c>
      <c r="E503" s="1">
        <f>IFERROR(VLOOKUP(BDREGISTROBTH2025[[#This Row],[NROKARDEX]],Tabla3[],12,FALSE),"NO PAGO")</f>
        <v>8725</v>
      </c>
      <c r="F503" s="1" t="str">
        <f t="shared" si="22"/>
        <v>100</v>
      </c>
    </row>
    <row r="504" spans="2:6" x14ac:dyDescent="0.3">
      <c r="B504" s="1" t="s">
        <v>3139</v>
      </c>
      <c r="D504" t="str">
        <f>IFERROR(VLOOKUP(BDREGISTROBTH2025[[#This Row],[NROKARDEX]],BDPADRES[],8,FALSE),"Sin registrado")</f>
        <v>PATRICIA CLAUDIA SERRANO BANEGAS</v>
      </c>
      <c r="E504" s="1" t="str">
        <f>IFERROR(VLOOKUP(BDREGISTROBTH2025[[#This Row],[NROKARDEX]],Tabla3[],12,FALSE),"NO PAGO")</f>
        <v>NO</v>
      </c>
      <c r="F504" s="1">
        <f t="shared" si="22"/>
        <v>0</v>
      </c>
    </row>
    <row r="505" spans="2:6" x14ac:dyDescent="0.3">
      <c r="B505" s="1" t="s">
        <v>3140</v>
      </c>
      <c r="D505" t="str">
        <f>IFERROR(VLOOKUP(BDREGISTROBTH2025[[#This Row],[NROKARDEX]],BDPADRES[],8,FALSE),"Sin registrado")</f>
        <v>ISABELA CONDORI PATZI</v>
      </c>
      <c r="E505" s="1" t="str">
        <f>IFERROR(VLOOKUP(BDREGISTROBTH2025[[#This Row],[NROKARDEX]],Tabla3[],12,FALSE),"NO PAGO")</f>
        <v>NO</v>
      </c>
      <c r="F505" s="1">
        <f t="shared" si="22"/>
        <v>0</v>
      </c>
    </row>
    <row r="506" spans="2:6" x14ac:dyDescent="0.3">
      <c r="B506" s="1" t="s">
        <v>3141</v>
      </c>
      <c r="D506" t="str">
        <f>IFERROR(VLOOKUP(BDREGISTROBTH2025[[#This Row],[NROKARDEX]],BDPADRES[],8,FALSE),"Sin registrado")</f>
        <v>YANIRA  CARVALHO ESCOBAR</v>
      </c>
      <c r="E506" s="1" t="str">
        <f>IFERROR(VLOOKUP(BDREGISTROBTH2025[[#This Row],[NROKARDEX]],Tabla3[],12,FALSE),"NO PAGO")</f>
        <v>NO</v>
      </c>
      <c r="F506" s="1">
        <f t="shared" si="22"/>
        <v>0</v>
      </c>
    </row>
    <row r="507" spans="2:6" x14ac:dyDescent="0.3">
      <c r="B507" s="1" t="s">
        <v>3142</v>
      </c>
      <c r="D507" t="str">
        <f>IFERROR(VLOOKUP(BDREGISTROBTH2025[[#This Row],[NROKARDEX]],BDPADRES[],8,FALSE),"Sin registrado")</f>
        <v>CRISTINA  CRUZ OYOLA</v>
      </c>
      <c r="E507" s="1">
        <f>IFERROR(VLOOKUP(BDREGISTROBTH2025[[#This Row],[NROKARDEX]],Tabla3[],12,FALSE),"NO PAGO")</f>
        <v>82635</v>
      </c>
      <c r="F507" s="1" t="str">
        <f t="shared" si="22"/>
        <v>100</v>
      </c>
    </row>
    <row r="508" spans="2:6" x14ac:dyDescent="0.3">
      <c r="B508" s="1" t="s">
        <v>3143</v>
      </c>
      <c r="D508" t="str">
        <f>IFERROR(VLOOKUP(BDREGISTROBTH2025[[#This Row],[NROKARDEX]],BDPADRES[],8,FALSE),"Sin registrado")</f>
        <v>MARIELY HURTADO</v>
      </c>
      <c r="E508" s="1" t="str">
        <f>IFERROR(VLOOKUP(BDREGISTROBTH2025[[#This Row],[NROKARDEX]],Tabla3[],12,FALSE),"NO PAGO")</f>
        <v>NO</v>
      </c>
      <c r="F508" s="1">
        <f t="shared" si="22"/>
        <v>0</v>
      </c>
    </row>
    <row r="509" spans="2:6" x14ac:dyDescent="0.3">
      <c r="B509" s="1" t="s">
        <v>3144</v>
      </c>
      <c r="D509" t="str">
        <f>IFERROR(VLOOKUP(BDREGISTROBTH2025[[#This Row],[NROKARDEX]],BDPADRES[],8,FALSE),"Sin registrado")</f>
        <v>LORENA SANDOVAL ALGARAÑAZ</v>
      </c>
      <c r="E509" s="1">
        <f>IFERROR(VLOOKUP(BDREGISTROBTH2025[[#This Row],[NROKARDEX]],Tabla3[],12,FALSE),"NO PAGO")</f>
        <v>56298</v>
      </c>
      <c r="F509" s="1" t="str">
        <f t="shared" si="22"/>
        <v>100</v>
      </c>
    </row>
    <row r="510" spans="2:6" x14ac:dyDescent="0.3">
      <c r="B510" s="1" t="s">
        <v>3145</v>
      </c>
      <c r="D510" t="str">
        <f>IFERROR(VLOOKUP(BDREGISTROBTH2025[[#This Row],[NROKARDEX]],BDPADRES[],8,FALSE),"Sin registrado")</f>
        <v>MARLENI SOLEDAD ALDAPI GONZALES</v>
      </c>
      <c r="E510" s="1" t="str">
        <f>IFERROR(VLOOKUP(BDREGISTROBTH2025[[#This Row],[NROKARDEX]],Tabla3[],12,FALSE),"NO PAGO")</f>
        <v>NO</v>
      </c>
      <c r="F510" s="1">
        <f t="shared" si="22"/>
        <v>0</v>
      </c>
    </row>
    <row r="511" spans="2:6" x14ac:dyDescent="0.3">
      <c r="B511" s="1" t="s">
        <v>3146</v>
      </c>
      <c r="D511" t="str">
        <f>IFERROR(VLOOKUP(BDREGISTROBTH2025[[#This Row],[NROKARDEX]],BDPADRES[],8,FALSE),"Sin registrado")</f>
        <v>RICHARD JOSE VARGAS TELLEZ</v>
      </c>
      <c r="E511" s="1">
        <f>IFERROR(VLOOKUP(BDREGISTROBTH2025[[#This Row],[NROKARDEX]],Tabla3[],12,FALSE),"NO PAGO")</f>
        <v>82638</v>
      </c>
      <c r="F511" s="1" t="str">
        <f t="shared" ref="F511:F513" si="23">IF(E511="NO",0,"100")</f>
        <v>100</v>
      </c>
    </row>
    <row r="512" spans="2:6" x14ac:dyDescent="0.3">
      <c r="B512" s="1" t="s">
        <v>3147</v>
      </c>
      <c r="D512" t="str">
        <f>IFERROR(VLOOKUP(BDREGISTROBTH2025[[#This Row],[NROKARDEX]],BDPADRES[],8,FALSE),"Sin registrado")</f>
        <v>MARLENI   LAQUE RAMOS</v>
      </c>
      <c r="E512" s="1" t="str">
        <f>IFERROR(VLOOKUP(BDREGISTROBTH2025[[#This Row],[NROKARDEX]],Tabla3[],12,FALSE),"NO PAGO")</f>
        <v>NO</v>
      </c>
      <c r="F512" s="1">
        <f t="shared" si="23"/>
        <v>0</v>
      </c>
    </row>
    <row r="513" spans="2:6" x14ac:dyDescent="0.3">
      <c r="B513" s="1" t="s">
        <v>3148</v>
      </c>
      <c r="D513" t="str">
        <f>IFERROR(VLOOKUP(BDREGISTROBTH2025[[#This Row],[NROKARDEX]],BDPADRES[],8,FALSE),"Sin registrado")</f>
        <v>MIOLET CEREZO GARCIA</v>
      </c>
      <c r="E513" s="1" t="str">
        <f>IFERROR(VLOOKUP(BDREGISTROBTH2025[[#This Row],[NROKARDEX]],Tabla3[],12,FALSE),"NO PAGO")</f>
        <v>NO</v>
      </c>
      <c r="F513" s="1">
        <f t="shared" si="23"/>
        <v>0</v>
      </c>
    </row>
    <row r="514" spans="2:6" x14ac:dyDescent="0.3">
      <c r="B514" s="1" t="s">
        <v>3149</v>
      </c>
      <c r="D514" t="str">
        <f>IFERROR(VLOOKUP(BDREGISTROBTH2025[[#This Row],[NROKARDEX]],BDPADRES[],8,FALSE),"Sin registrado")</f>
        <v>MAIBER PESSOA GARCIA</v>
      </c>
      <c r="E514" s="1">
        <f>IFERROR(VLOOKUP(BDREGISTROBTH2025[[#This Row],[NROKARDEX]],Tabla3[],12,FALSE),"NO PAGO")</f>
        <v>56024</v>
      </c>
      <c r="F514" s="1" t="str">
        <f t="shared" ref="F514:F521" si="24">IF(E514="NO",0,"100")</f>
        <v>100</v>
      </c>
    </row>
    <row r="515" spans="2:6" x14ac:dyDescent="0.3">
      <c r="B515" s="1" t="s">
        <v>3150</v>
      </c>
      <c r="D515" t="str">
        <f>IFERROR(VLOOKUP(BDREGISTROBTH2025[[#This Row],[NROKARDEX]],BDPADRES[],8,FALSE),"Sin registrado")</f>
        <v>ELSA ALVAREZ ORELLANA</v>
      </c>
      <c r="E515" s="1">
        <f>IFERROR(VLOOKUP(BDREGISTROBTH2025[[#This Row],[NROKARDEX]],Tabla3[],12,FALSE),"NO PAGO")</f>
        <v>8676</v>
      </c>
      <c r="F515" s="1" t="str">
        <f t="shared" si="24"/>
        <v>100</v>
      </c>
    </row>
    <row r="516" spans="2:6" x14ac:dyDescent="0.3">
      <c r="B516" s="1" t="s">
        <v>3151</v>
      </c>
      <c r="D516" t="str">
        <f>IFERROR(VLOOKUP(BDREGISTROBTH2025[[#This Row],[NROKARDEX]],BDPADRES[],8,FALSE),"Sin registrado")</f>
        <v>MARY GULDING VILLAVICENCIO CONTRERAS</v>
      </c>
      <c r="E516" s="1">
        <f>IFERROR(VLOOKUP(BDREGISTROBTH2025[[#This Row],[NROKARDEX]],Tabla3[],12,FALSE),"NO PAGO")</f>
        <v>82598</v>
      </c>
      <c r="F516" s="1" t="str">
        <f t="shared" si="24"/>
        <v>100</v>
      </c>
    </row>
    <row r="517" spans="2:6" x14ac:dyDescent="0.3">
      <c r="B517" s="1" t="s">
        <v>3155</v>
      </c>
      <c r="D517" t="str">
        <f>IFERROR(VLOOKUP(BDREGISTROBTH2025[[#This Row],[NROKARDEX]],BDPADRES[],8,FALSE),"Sin registrado")</f>
        <v>MATILDE FLORES MAIZARES</v>
      </c>
      <c r="E517" s="1">
        <f>IFERROR(VLOOKUP(BDREGISTROBTH2025[[#This Row],[NROKARDEX]],Tabla3[],12,FALSE),"NO PAGO")</f>
        <v>8670</v>
      </c>
      <c r="F517" s="1" t="str">
        <f t="shared" si="24"/>
        <v>100</v>
      </c>
    </row>
    <row r="518" spans="2:6" x14ac:dyDescent="0.3">
      <c r="B518" s="1" t="s">
        <v>3152</v>
      </c>
      <c r="D518" t="str">
        <f>IFERROR(VLOOKUP(BDREGISTROBTH2025[[#This Row],[NROKARDEX]],BDPADRES[],8,FALSE),"Sin registrado")</f>
        <v>N/SINREGISTRO RODAS</v>
      </c>
      <c r="E518" s="1">
        <f>IFERROR(VLOOKUP(BDREGISTROBTH2025[[#This Row],[NROKARDEX]],Tabla3[],12,FALSE),"NO PAGO")</f>
        <v>64192</v>
      </c>
      <c r="F518" s="1" t="str">
        <f t="shared" si="24"/>
        <v>100</v>
      </c>
    </row>
    <row r="519" spans="2:6" x14ac:dyDescent="0.3">
      <c r="B519" s="1" t="s">
        <v>3153</v>
      </c>
      <c r="D519" t="str">
        <f>IFERROR(VLOOKUP(BDREGISTROBTH2025[[#This Row],[NROKARDEX]],BDPADRES[],8,FALSE),"Sin registrado")</f>
        <v xml:space="preserve"> ROBLEDO</v>
      </c>
      <c r="E519" s="1">
        <f>IFERROR(VLOOKUP(BDREGISTROBTH2025[[#This Row],[NROKARDEX]],Tabla3[],12,FALSE),"NO PAGO")</f>
        <v>82620</v>
      </c>
      <c r="F519" s="1" t="str">
        <f t="shared" si="24"/>
        <v>100</v>
      </c>
    </row>
    <row r="520" spans="2:6" x14ac:dyDescent="0.3">
      <c r="B520" s="1" t="s">
        <v>3154</v>
      </c>
      <c r="D520" t="str">
        <f>IFERROR(VLOOKUP(BDREGISTROBTH2025[[#This Row],[NROKARDEX]],BDPADRES[],8,FALSE),"Sin registrado")</f>
        <v>TERESA JIMENEZ CARRIAZO</v>
      </c>
      <c r="E520" s="1" t="str">
        <f>IFERROR(VLOOKUP(BDREGISTROBTH2025[[#This Row],[NROKARDEX]],Tabla3[],12,FALSE),"NO PAGO")</f>
        <v>NO</v>
      </c>
      <c r="F520" s="1">
        <f t="shared" si="24"/>
        <v>0</v>
      </c>
    </row>
    <row r="521" spans="2:6" x14ac:dyDescent="0.3">
      <c r="B521" s="1" t="s">
        <v>3156</v>
      </c>
      <c r="D521" t="str">
        <f>IFERROR(VLOOKUP(BDREGISTROBTH2025[[#This Row],[NROKARDEX]],BDPADRES[],8,FALSE),"Sin registrado")</f>
        <v>Sin registrado</v>
      </c>
      <c r="E521" s="1" t="str">
        <f>IFERROR(VLOOKUP(BDREGISTROBTH2025[[#This Row],[NROKARDEX]],Tabla3[],12,FALSE),"NO PAGO")</f>
        <v>NO PAGO</v>
      </c>
      <c r="F521" s="1" t="str">
        <f t="shared" si="24"/>
        <v>100</v>
      </c>
    </row>
    <row r="522" spans="2:6" x14ac:dyDescent="0.3">
      <c r="B522" s="1">
        <v>473</v>
      </c>
      <c r="D522" t="str">
        <f>IFERROR(VLOOKUP(BDREGISTROBTH2025[[#This Row],[NROKARDEX]],BDPADRES[],8,FALSE),"Sin registrado")</f>
        <v>Sin registrado</v>
      </c>
      <c r="E522" s="1" t="str">
        <f>IFERROR(VLOOKUP(BDREGISTROBTH2025[[#This Row],[NROKARDEX]],Tabla3[],12,FALSE),"NO PAGO")</f>
        <v>NO PAGO</v>
      </c>
      <c r="F522" s="1" t="str">
        <f t="shared" ref="F522:F523" si="25">IF(E522="NO",0,"100")</f>
        <v>100</v>
      </c>
    </row>
    <row r="523" spans="2:6" x14ac:dyDescent="0.3">
      <c r="B523" s="1">
        <f t="shared" ref="B523" si="26">ROW(A517)</f>
        <v>517</v>
      </c>
      <c r="D523" t="str">
        <f>IFERROR(VLOOKUP(BDREGISTROBTH2025[[#This Row],[NROKARDEX]],BDPADRES[],8,FALSE),"Sin registrado")</f>
        <v>Sin registrado</v>
      </c>
      <c r="E523" s="1" t="str">
        <f>IFERROR(VLOOKUP(BDREGISTROBTH2025[[#This Row],[NROKARDEX]],Tabla3[],12,FALSE),"NO PAGO")</f>
        <v>NO PAGO</v>
      </c>
      <c r="F523" s="1" t="str">
        <f t="shared" si="25"/>
        <v>100</v>
      </c>
    </row>
  </sheetData>
  <mergeCells count="1">
    <mergeCell ref="A1:I3"/>
  </mergeCells>
  <conditionalFormatting sqref="E7">
    <cfRule type="duplicateValues" dxfId="24" priority="3"/>
  </conditionalFormatting>
  <conditionalFormatting sqref="E4:E1048576">
    <cfRule type="duplicateValues" dxfId="23" priority="2"/>
  </conditionalFormatting>
  <conditionalFormatting sqref="D1:D1048576">
    <cfRule type="duplicateValues" dxfId="22" priority="1"/>
  </conditionalFormatting>
  <pageMargins left="0.25" right="0.25" top="0.75" bottom="0.75" header="0.3" footer="0.3"/>
  <pageSetup orientation="landscape" horizontalDpi="360" verticalDpi="360" r:id="rId1"/>
  <ignoredErrors>
    <ignoredError sqref="B479:H479 B513:H513 B512 B511:H511 B510:H510 B507:H507 B508:H508 B509:H509 B505:B506 B504:H504 B503:H503 B501:B502 B500:H500 B499:H499 B497:H497 B498 B480 B481:H481 B482:H482 B483:H483 B484:H484 B485:H485 B486 B487:H487 B488:B492 B494:B496 B493:H493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A93DA-878F-4A44-BFD1-A29D14AF1A40}">
  <sheetPr codeName="Hoja7"/>
  <dimension ref="A1:O523"/>
  <sheetViews>
    <sheetView topLeftCell="A222" workbookViewId="0">
      <selection activeCell="F233" sqref="F233"/>
    </sheetView>
  </sheetViews>
  <sheetFormatPr baseColWidth="10" defaultRowHeight="14.4" x14ac:dyDescent="0.3"/>
  <cols>
    <col min="1" max="1" width="16.77734375" style="1" bestFit="1" customWidth="1"/>
    <col min="2" max="2" width="11.5546875" style="1" bestFit="1" customWidth="1"/>
    <col min="3" max="3" width="40" bestFit="1" customWidth="1"/>
    <col min="4" max="4" width="28.33203125" style="1" bestFit="1" customWidth="1"/>
    <col min="5" max="5" width="12.33203125" style="1" bestFit="1" customWidth="1"/>
    <col min="6" max="6" width="18.5546875" style="1" bestFit="1" customWidth="1"/>
    <col min="7" max="7" width="10.5546875" bestFit="1" customWidth="1"/>
    <col min="11" max="11" width="69.88671875" bestFit="1" customWidth="1"/>
  </cols>
  <sheetData>
    <row r="1" spans="1:15" x14ac:dyDescent="0.3">
      <c r="A1" s="166" t="s">
        <v>3065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</row>
    <row r="2" spans="1:15" x14ac:dyDescent="0.3">
      <c r="A2" s="166"/>
      <c r="B2" s="166"/>
      <c r="C2" s="166"/>
      <c r="D2" s="166"/>
      <c r="E2" s="166"/>
      <c r="F2" s="166"/>
      <c r="G2" s="166"/>
      <c r="H2" s="166"/>
      <c r="I2" s="166"/>
      <c r="J2" s="166"/>
      <c r="K2" s="166"/>
      <c r="L2" s="166"/>
      <c r="M2" s="166"/>
      <c r="N2" s="166"/>
      <c r="O2" s="166"/>
    </row>
    <row r="3" spans="1:15" x14ac:dyDescent="0.3">
      <c r="A3" s="166"/>
      <c r="B3" s="166"/>
      <c r="C3" s="166"/>
      <c r="D3" s="166"/>
      <c r="E3" s="166"/>
      <c r="F3" s="166"/>
      <c r="G3" s="166"/>
      <c r="H3" s="166"/>
      <c r="I3" s="166"/>
      <c r="J3" s="166"/>
      <c r="K3" s="166"/>
      <c r="L3" s="166"/>
      <c r="M3" s="166"/>
      <c r="N3" s="166"/>
      <c r="O3" s="166"/>
    </row>
    <row r="5" spans="1:15" ht="18" x14ac:dyDescent="0.35">
      <c r="C5" s="142" t="s">
        <v>3070</v>
      </c>
      <c r="D5" s="149">
        <v>165</v>
      </c>
    </row>
    <row r="6" spans="1:15" x14ac:dyDescent="0.3">
      <c r="A6" s="1" t="s">
        <v>26</v>
      </c>
      <c r="B6" s="1" t="s">
        <v>3069</v>
      </c>
      <c r="C6" t="s">
        <v>3067</v>
      </c>
      <c r="D6" s="1" t="s">
        <v>3068</v>
      </c>
      <c r="E6" s="1" t="s">
        <v>2990</v>
      </c>
      <c r="F6" s="1" t="s">
        <v>3073</v>
      </c>
      <c r="G6" t="s">
        <v>3071</v>
      </c>
    </row>
    <row r="7" spans="1:15" x14ac:dyDescent="0.3">
      <c r="A7" s="1">
        <f t="shared" ref="A7:A13" si="0">ROW(A1)</f>
        <v>1</v>
      </c>
      <c r="C7" t="str">
        <f>IFERROR(VLOOKUP(BDREGISTROAPORTES2025[[#This Row],[NROKARDEX]],BDPADRES[],8,FALSE),"Sin registrado")</f>
        <v>ZUNILDA ARANCIBIA ROSADO</v>
      </c>
      <c r="D7" s="1">
        <f>IFERROR(VLOOKUP(BDREGISTROAPORTES2025[[#This Row],[NROKARDEX]],Tabla3[],11,FALSE),"NO PAGO")</f>
        <v>1055588</v>
      </c>
      <c r="E7" s="1" t="str">
        <f>IF(D7="NO",0,"165")</f>
        <v>165</v>
      </c>
    </row>
    <row r="8" spans="1:15" x14ac:dyDescent="0.3">
      <c r="A8" s="1">
        <f t="shared" si="0"/>
        <v>2</v>
      </c>
      <c r="C8" t="str">
        <f>IFERROR(VLOOKUP(BDREGISTROAPORTES2025[[#This Row],[NROKARDEX]],BDPADRES[],8,FALSE),"Sin registrado")</f>
        <v>GUISELA ULLOA MAMANI</v>
      </c>
      <c r="D8" s="1">
        <f>IFERROR(VLOOKUP(BDREGISTROAPORTES2025[[#This Row],[NROKARDEX]],Tabla3[],11,FALSE),"NO PAGO")</f>
        <v>1055456</v>
      </c>
      <c r="E8" s="1" t="str">
        <f t="shared" ref="E8:E70" si="1">IF(D8="NO",0,"165")</f>
        <v>165</v>
      </c>
    </row>
    <row r="9" spans="1:15" x14ac:dyDescent="0.3">
      <c r="A9" s="1">
        <f t="shared" si="0"/>
        <v>3</v>
      </c>
      <c r="C9" t="str">
        <f>IFERROR(VLOOKUP(BDREGISTROAPORTES2025[[#This Row],[NROKARDEX]],BDPADRES[],8,FALSE),"Sin registrado")</f>
        <v>BENITA VILLARES PACHILE</v>
      </c>
      <c r="D9" s="1">
        <f>IFERROR(VLOOKUP(BDREGISTROAPORTES2025[[#This Row],[NROKARDEX]],Tabla3[],11,FALSE),"NO PAGO")</f>
        <v>1055724</v>
      </c>
      <c r="E9" s="1" t="str">
        <f t="shared" si="1"/>
        <v>165</v>
      </c>
    </row>
    <row r="10" spans="1:15" x14ac:dyDescent="0.3">
      <c r="A10" s="1">
        <f t="shared" si="0"/>
        <v>4</v>
      </c>
      <c r="C10" t="str">
        <f>IFERROR(VLOOKUP(BDREGISTROAPORTES2025[[#This Row],[NROKARDEX]],BDPADRES[],8,FALSE),"Sin registrado")</f>
        <v>MARIELA ORELLANA ARANCIBIA</v>
      </c>
      <c r="D10" s="1">
        <f>IFERROR(VLOOKUP(BDREGISTROAPORTES2025[[#This Row],[NROKARDEX]],Tabla3[],11,FALSE),"NO PAGO")</f>
        <v>1055479</v>
      </c>
      <c r="E10" s="1" t="str">
        <f t="shared" si="1"/>
        <v>165</v>
      </c>
    </row>
    <row r="11" spans="1:15" x14ac:dyDescent="0.3">
      <c r="A11" s="1">
        <f t="shared" si="0"/>
        <v>5</v>
      </c>
      <c r="C11" t="str">
        <f>IFERROR(VLOOKUP(BDREGISTROAPORTES2025[[#This Row],[NROKARDEX]],BDPADRES[],8,FALSE),"Sin registrado")</f>
        <v>YILDA ROSADO ARAUZ</v>
      </c>
      <c r="D11" s="1">
        <f>IFERROR(VLOOKUP(BDREGISTROAPORTES2025[[#This Row],[NROKARDEX]],Tabla3[],11,FALSE),"NO PAGO")</f>
        <v>1055314</v>
      </c>
      <c r="E11" s="1" t="str">
        <f t="shared" si="1"/>
        <v>165</v>
      </c>
    </row>
    <row r="12" spans="1:15" x14ac:dyDescent="0.3">
      <c r="A12" s="1">
        <f t="shared" si="0"/>
        <v>6</v>
      </c>
      <c r="C12" t="str">
        <f>IFERROR(VLOOKUP(BDREGISTROAPORTES2025[[#This Row],[NROKARDEX]],BDPADRES[],8,FALSE),"Sin registrado")</f>
        <v>LEIDY KAROLA MEDINA BELTRAN</v>
      </c>
      <c r="D12" s="1">
        <f>IFERROR(VLOOKUP(BDREGISTROAPORTES2025[[#This Row],[NROKARDEX]],Tabla3[],11,FALSE),"NO PAGO")</f>
        <v>1055319</v>
      </c>
      <c r="E12" s="1" t="str">
        <f t="shared" si="1"/>
        <v>165</v>
      </c>
    </row>
    <row r="13" spans="1:15" x14ac:dyDescent="0.3">
      <c r="A13" s="1">
        <f t="shared" si="0"/>
        <v>7</v>
      </c>
      <c r="C13" t="str">
        <f>IFERROR(VLOOKUP(BDREGISTROAPORTES2025[[#This Row],[NROKARDEX]],BDPADRES[],8,FALSE),"Sin registrado")</f>
        <v>LUZ CORAZON ALBORNOS ZABALAGA</v>
      </c>
      <c r="D13" s="1">
        <f>IFERROR(VLOOKUP(BDREGISTROAPORTES2025[[#This Row],[NROKARDEX]],Tabla3[],11,FALSE),"NO PAGO")</f>
        <v>1055431</v>
      </c>
      <c r="E13" s="1" t="str">
        <f t="shared" si="1"/>
        <v>165</v>
      </c>
    </row>
    <row r="14" spans="1:15" x14ac:dyDescent="0.3">
      <c r="A14" s="1">
        <f t="shared" ref="A14:A21" si="2">ROW(A8)</f>
        <v>8</v>
      </c>
      <c r="C14" t="str">
        <f>IFERROR(VLOOKUP(BDREGISTROAPORTES2025[[#This Row],[NROKARDEX]],BDPADRES[],8,FALSE),"Sin registrado")</f>
        <v>ANA KAREN ESTRADA URIONA</v>
      </c>
      <c r="D14" s="1">
        <f>IFERROR(VLOOKUP(BDREGISTROAPORTES2025[[#This Row],[NROKARDEX]],Tabla3[],11,FALSE),"NO PAGO")</f>
        <v>1055464</v>
      </c>
      <c r="E14" s="1" t="str">
        <f t="shared" si="1"/>
        <v>165</v>
      </c>
    </row>
    <row r="15" spans="1:15" x14ac:dyDescent="0.3">
      <c r="A15" s="1">
        <f t="shared" si="2"/>
        <v>9</v>
      </c>
      <c r="C15" t="str">
        <f>IFERROR(VLOOKUP(BDREGISTROAPORTES2025[[#This Row],[NROKARDEX]],BDPADRES[],8,FALSE),"Sin registrado")</f>
        <v>PAMELA LEONESA MARTINEZ ROMERO</v>
      </c>
      <c r="D15" s="1">
        <f>IFERROR(VLOOKUP(BDREGISTROAPORTES2025[[#This Row],[NROKARDEX]],Tabla3[],11,FALSE),"NO PAGO")</f>
        <v>1055299</v>
      </c>
      <c r="E15" s="1" t="str">
        <f t="shared" si="1"/>
        <v>165</v>
      </c>
    </row>
    <row r="16" spans="1:15" x14ac:dyDescent="0.3">
      <c r="A16" s="1">
        <f t="shared" si="2"/>
        <v>10</v>
      </c>
      <c r="C16" t="str">
        <f>IFERROR(VLOOKUP(BDREGISTROAPORTES2025[[#This Row],[NROKARDEX]],BDPADRES[],8,FALSE),"Sin registrado")</f>
        <v>EVELIN BALDERRAMA ROJAS</v>
      </c>
      <c r="D16" s="1">
        <f>IFERROR(VLOOKUP(BDREGISTROAPORTES2025[[#This Row],[NROKARDEX]],Tabla3[],11,FALSE),"NO PAGO")</f>
        <v>1055296</v>
      </c>
      <c r="E16" s="1" t="str">
        <f t="shared" si="1"/>
        <v>165</v>
      </c>
    </row>
    <row r="17" spans="1:5" x14ac:dyDescent="0.3">
      <c r="A17" s="1">
        <f t="shared" si="2"/>
        <v>11</v>
      </c>
      <c r="C17" t="str">
        <f>IFERROR(VLOOKUP(BDREGISTROAPORTES2025[[#This Row],[NROKARDEX]],BDPADRES[],8,FALSE),"Sin registrado")</f>
        <v>CELIA ORELLANA GUTIERREZ</v>
      </c>
      <c r="D17" s="1">
        <f>IFERROR(VLOOKUP(BDREGISTROAPORTES2025[[#This Row],[NROKARDEX]],Tabla3[],11,FALSE),"NO PAGO")</f>
        <v>1055522</v>
      </c>
      <c r="E17" s="1" t="str">
        <f t="shared" si="1"/>
        <v>165</v>
      </c>
    </row>
    <row r="18" spans="1:5" x14ac:dyDescent="0.3">
      <c r="A18" s="1">
        <f t="shared" si="2"/>
        <v>12</v>
      </c>
      <c r="C18" t="str">
        <f>IFERROR(VLOOKUP(BDREGISTROAPORTES2025[[#This Row],[NROKARDEX]],BDPADRES[],8,FALSE),"Sin registrado")</f>
        <v>MARCELINA MOJIANO MOSCOSO</v>
      </c>
      <c r="D18" s="1">
        <f>IFERROR(VLOOKUP(BDREGISTROAPORTES2025[[#This Row],[NROKARDEX]],Tabla3[],11,FALSE),"NO PAGO")</f>
        <v>1055383</v>
      </c>
      <c r="E18" s="1" t="str">
        <f t="shared" si="1"/>
        <v>165</v>
      </c>
    </row>
    <row r="19" spans="1:5" x14ac:dyDescent="0.3">
      <c r="A19" s="1">
        <f t="shared" si="2"/>
        <v>13</v>
      </c>
      <c r="C19" t="str">
        <f>IFERROR(VLOOKUP(BDREGISTROAPORTES2025[[#This Row],[NROKARDEX]],BDPADRES[],8,FALSE),"Sin registrado")</f>
        <v>YOLANDA CRUZ AGUIRRE</v>
      </c>
      <c r="D19" s="1">
        <f>IFERROR(VLOOKUP(BDREGISTROAPORTES2025[[#This Row],[NROKARDEX]],Tabla3[],11,FALSE),"NO PAGO")</f>
        <v>1055351</v>
      </c>
      <c r="E19" s="1" t="str">
        <f t="shared" si="1"/>
        <v>165</v>
      </c>
    </row>
    <row r="20" spans="1:5" x14ac:dyDescent="0.3">
      <c r="A20" s="1">
        <f t="shared" si="2"/>
        <v>14</v>
      </c>
      <c r="C20" t="str">
        <f>IFERROR(VLOOKUP(BDREGISTROAPORTES2025[[#This Row],[NROKARDEX]],BDPADRES[],8,FALSE),"Sin registrado")</f>
        <v>MARGARITA VARGAS BOBARIN</v>
      </c>
      <c r="D20" s="1">
        <f>IFERROR(VLOOKUP(BDREGISTROAPORTES2025[[#This Row],[NROKARDEX]],Tabla3[],11,FALSE),"NO PAGO")</f>
        <v>1055789</v>
      </c>
      <c r="E20" s="1" t="str">
        <f t="shared" si="1"/>
        <v>165</v>
      </c>
    </row>
    <row r="21" spans="1:5" x14ac:dyDescent="0.3">
      <c r="A21" s="1">
        <f t="shared" si="2"/>
        <v>15</v>
      </c>
      <c r="C21" t="str">
        <f>IFERROR(VLOOKUP(BDREGISTROAPORTES2025[[#This Row],[NROKARDEX]],BDPADRES[],8,FALSE),"Sin registrado")</f>
        <v>CANDELARIA ZAPATA CRESPO</v>
      </c>
      <c r="D21" s="1">
        <f>IFERROR(VLOOKUP(BDREGISTROAPORTES2025[[#This Row],[NROKARDEX]],Tabla3[],11,FALSE),"NO PAGO")</f>
        <v>1055465</v>
      </c>
      <c r="E21" s="1" t="str">
        <f t="shared" si="1"/>
        <v>165</v>
      </c>
    </row>
    <row r="22" spans="1:5" x14ac:dyDescent="0.3">
      <c r="A22" s="1">
        <f t="shared" ref="A22:A27" si="3">ROW(A16)</f>
        <v>16</v>
      </c>
      <c r="C22" t="str">
        <f>IFERROR(VLOOKUP(BDREGISTROAPORTES2025[[#This Row],[NROKARDEX]],BDPADRES[],8,FALSE),"Sin registrado")</f>
        <v>DOLORES QUENTA BARRIENTOS</v>
      </c>
      <c r="D22" s="1">
        <f>IFERROR(VLOOKUP(BDREGISTROAPORTES2025[[#This Row],[NROKARDEX]],Tabla3[],11,FALSE),"NO PAGO")</f>
        <v>1055318</v>
      </c>
      <c r="E22" s="1" t="str">
        <f t="shared" si="1"/>
        <v>165</v>
      </c>
    </row>
    <row r="23" spans="1:5" x14ac:dyDescent="0.3">
      <c r="A23" s="1">
        <f t="shared" si="3"/>
        <v>17</v>
      </c>
      <c r="C23" t="str">
        <f>IFERROR(VLOOKUP(BDREGISTROAPORTES2025[[#This Row],[NROKARDEX]],BDPADRES[],8,FALSE),"Sin registrado")</f>
        <v>ANA MARIA CHOQUE LEITON</v>
      </c>
      <c r="D23" s="1">
        <f>IFERROR(VLOOKUP(BDREGISTROAPORTES2025[[#This Row],[NROKARDEX]],Tabla3[],11,FALSE),"NO PAGO")</f>
        <v>1055623</v>
      </c>
      <c r="E23" s="1" t="str">
        <f t="shared" si="1"/>
        <v>165</v>
      </c>
    </row>
    <row r="24" spans="1:5" x14ac:dyDescent="0.3">
      <c r="A24" s="1">
        <f t="shared" si="3"/>
        <v>18</v>
      </c>
      <c r="C24" t="str">
        <f>IFERROR(VLOOKUP(BDREGISTROAPORTES2025[[#This Row],[NROKARDEX]],BDPADRES[],8,FALSE),"Sin registrado")</f>
        <v>YASELY RUTH MURILLO CASTRO</v>
      </c>
      <c r="D24" s="1">
        <f>IFERROR(VLOOKUP(BDREGISTROAPORTES2025[[#This Row],[NROKARDEX]],Tabla3[],11,FALSE),"NO PAGO")</f>
        <v>1055471</v>
      </c>
      <c r="E24" s="1" t="str">
        <f t="shared" si="1"/>
        <v>165</v>
      </c>
    </row>
    <row r="25" spans="1:5" x14ac:dyDescent="0.3">
      <c r="A25" s="1">
        <f t="shared" si="3"/>
        <v>19</v>
      </c>
      <c r="C25" t="str">
        <f>IFERROR(VLOOKUP(BDREGISTROAPORTES2025[[#This Row],[NROKARDEX]],BDPADRES[],8,FALSE),"Sin registrado")</f>
        <v>LIBERATA DIAZ CASTRO</v>
      </c>
      <c r="D25" s="1">
        <f>IFERROR(VLOOKUP(BDREGISTROAPORTES2025[[#This Row],[NROKARDEX]],Tabla3[],11,FALSE),"NO PAGO")</f>
        <v>1055483</v>
      </c>
      <c r="E25" s="1" t="str">
        <f t="shared" si="1"/>
        <v>165</v>
      </c>
    </row>
    <row r="26" spans="1:5" x14ac:dyDescent="0.3">
      <c r="A26" s="1">
        <f t="shared" si="3"/>
        <v>20</v>
      </c>
      <c r="C26" t="str">
        <f>IFERROR(VLOOKUP(BDREGISTROAPORTES2025[[#This Row],[NROKARDEX]],BDPADRES[],8,FALSE),"Sin registrado")</f>
        <v>EMY RUDY MURILLO CASTRO</v>
      </c>
      <c r="D26" s="1">
        <f>IFERROR(VLOOKUP(BDREGISTROAPORTES2025[[#This Row],[NROKARDEX]],Tabla3[],11,FALSE),"NO PAGO")</f>
        <v>1055477</v>
      </c>
      <c r="E26" s="1" t="str">
        <f t="shared" si="1"/>
        <v>165</v>
      </c>
    </row>
    <row r="27" spans="1:5" x14ac:dyDescent="0.3">
      <c r="A27" s="1">
        <f t="shared" si="3"/>
        <v>21</v>
      </c>
      <c r="C27" t="str">
        <f>IFERROR(VLOOKUP(BDREGISTROAPORTES2025[[#This Row],[NROKARDEX]],BDPADRES[],8,FALSE),"Sin registrado")</f>
        <v>ABIGAIL LEON SEAS</v>
      </c>
      <c r="D27" s="1">
        <f>IFERROR(VLOOKUP(BDREGISTROAPORTES2025[[#This Row],[NROKARDEX]],Tabla3[],11,FALSE),"NO PAGO")</f>
        <v>1055450</v>
      </c>
      <c r="E27" s="1" t="str">
        <f t="shared" si="1"/>
        <v>165</v>
      </c>
    </row>
    <row r="28" spans="1:5" x14ac:dyDescent="0.3">
      <c r="A28" s="1">
        <f t="shared" ref="A28:A36" si="4">ROW(A22)</f>
        <v>22</v>
      </c>
      <c r="C28" t="str">
        <f>IFERROR(VLOOKUP(BDREGISTROAPORTES2025[[#This Row],[NROKARDEX]],BDPADRES[],8,FALSE),"Sin registrado")</f>
        <v>SANDRA PUMA ROSAS</v>
      </c>
      <c r="D28" s="1">
        <f>IFERROR(VLOOKUP(BDREGISTROAPORTES2025[[#This Row],[NROKARDEX]],Tabla3[],11,FALSE),"NO PAGO")</f>
        <v>1055405</v>
      </c>
      <c r="E28" s="1" t="str">
        <f t="shared" si="1"/>
        <v>165</v>
      </c>
    </row>
    <row r="29" spans="1:5" x14ac:dyDescent="0.3">
      <c r="A29" s="1">
        <f t="shared" si="4"/>
        <v>23</v>
      </c>
      <c r="C29" t="str">
        <f>IFERROR(VLOOKUP(BDREGISTROAPORTES2025[[#This Row],[NROKARDEX]],BDPADRES[],8,FALSE),"Sin registrado")</f>
        <v>VERONICA AIZA QUIROGA</v>
      </c>
      <c r="D29" s="1">
        <f>IFERROR(VLOOKUP(BDREGISTROAPORTES2025[[#This Row],[NROKARDEX]],Tabla3[],11,FALSE),"NO PAGO")</f>
        <v>1055397</v>
      </c>
      <c r="E29" s="1" t="str">
        <f t="shared" si="1"/>
        <v>165</v>
      </c>
    </row>
    <row r="30" spans="1:5" x14ac:dyDescent="0.3">
      <c r="A30" s="1">
        <f t="shared" si="4"/>
        <v>24</v>
      </c>
      <c r="C30" t="str">
        <f>IFERROR(VLOOKUP(BDREGISTROAPORTES2025[[#This Row],[NROKARDEX]],BDPADRES[],8,FALSE),"Sin registrado")</f>
        <v>ESMERALDA MARINA BARRERA PUMA</v>
      </c>
      <c r="D30" s="1">
        <f>IFERROR(VLOOKUP(BDREGISTROAPORTES2025[[#This Row],[NROKARDEX]],Tabla3[],11,FALSE),"NO PAGO")</f>
        <v>1055780</v>
      </c>
      <c r="E30" s="1" t="str">
        <f t="shared" si="1"/>
        <v>165</v>
      </c>
    </row>
    <row r="31" spans="1:5" x14ac:dyDescent="0.3">
      <c r="A31" s="1">
        <f t="shared" si="4"/>
        <v>25</v>
      </c>
      <c r="C31" t="str">
        <f>IFERROR(VLOOKUP(BDREGISTROAPORTES2025[[#This Row],[NROKARDEX]],BDPADRES[],8,FALSE),"Sin registrado")</f>
        <v>HEIDY PACO CASTRO</v>
      </c>
      <c r="D31" s="1">
        <f>IFERROR(VLOOKUP(BDREGISTROAPORTES2025[[#This Row],[NROKARDEX]],Tabla3[],11,FALSE),"NO PAGO")</f>
        <v>1055732</v>
      </c>
      <c r="E31" s="1" t="str">
        <f t="shared" si="1"/>
        <v>165</v>
      </c>
    </row>
    <row r="32" spans="1:5" x14ac:dyDescent="0.3">
      <c r="A32" s="1">
        <f t="shared" si="4"/>
        <v>26</v>
      </c>
      <c r="C32" t="str">
        <f>IFERROR(VLOOKUP(BDREGISTROAPORTES2025[[#This Row],[NROKARDEX]],BDPADRES[],8,FALSE),"Sin registrado")</f>
        <v>PATRICIA LOPEZ CHOQUE</v>
      </c>
      <c r="D32" s="1">
        <f>IFERROR(VLOOKUP(BDREGISTROAPORTES2025[[#This Row],[NROKARDEX]],Tabla3[],11,FALSE),"NO PAGO")</f>
        <v>1055532</v>
      </c>
      <c r="E32" s="1" t="str">
        <f t="shared" si="1"/>
        <v>165</v>
      </c>
    </row>
    <row r="33" spans="1:5" x14ac:dyDescent="0.3">
      <c r="A33" s="1">
        <f t="shared" si="4"/>
        <v>27</v>
      </c>
      <c r="C33" t="str">
        <f>IFERROR(VLOOKUP(BDREGISTROAPORTES2025[[#This Row],[NROKARDEX]],BDPADRES[],8,FALSE),"Sin registrado")</f>
        <v>BASILIA PADILLA REINA</v>
      </c>
      <c r="D33" s="1">
        <f>IFERROR(VLOOKUP(BDREGISTROAPORTES2025[[#This Row],[NROKARDEX]],Tabla3[],11,FALSE),"NO PAGO")</f>
        <v>1055306</v>
      </c>
      <c r="E33" s="1" t="str">
        <f t="shared" si="1"/>
        <v>165</v>
      </c>
    </row>
    <row r="34" spans="1:5" x14ac:dyDescent="0.3">
      <c r="A34" s="1">
        <f t="shared" si="4"/>
        <v>28</v>
      </c>
      <c r="C34" t="str">
        <f>IFERROR(VLOOKUP(BDREGISTROAPORTES2025[[#This Row],[NROKARDEX]],BDPADRES[],8,FALSE),"Sin registrado")</f>
        <v>DALCY SILES ROSADO</v>
      </c>
      <c r="D34" s="1">
        <f>IFERROR(VLOOKUP(BDREGISTROAPORTES2025[[#This Row],[NROKARDEX]],Tabla3[],11,FALSE),"NO PAGO")</f>
        <v>1055307</v>
      </c>
      <c r="E34" s="1" t="str">
        <f t="shared" si="1"/>
        <v>165</v>
      </c>
    </row>
    <row r="35" spans="1:5" x14ac:dyDescent="0.3">
      <c r="A35" s="1">
        <f t="shared" si="4"/>
        <v>29</v>
      </c>
      <c r="C35" t="str">
        <f>IFERROR(VLOOKUP(BDREGISTROAPORTES2025[[#This Row],[NROKARDEX]],BDPADRES[],8,FALSE),"Sin registrado")</f>
        <v>NICOLE PEREYRA CABRERA</v>
      </c>
      <c r="D35" s="1">
        <f>IFERROR(VLOOKUP(BDREGISTROAPORTES2025[[#This Row],[NROKARDEX]],Tabla3[],11,FALSE),"NO PAGO")</f>
        <v>1055322</v>
      </c>
      <c r="E35" s="1" t="str">
        <f t="shared" si="1"/>
        <v>165</v>
      </c>
    </row>
    <row r="36" spans="1:5" x14ac:dyDescent="0.3">
      <c r="A36" s="1">
        <f t="shared" si="4"/>
        <v>30</v>
      </c>
      <c r="C36" t="str">
        <f>IFERROR(VLOOKUP(BDREGISTROAPORTES2025[[#This Row],[NROKARDEX]],BDPADRES[],8,FALSE),"Sin registrado")</f>
        <v>TERESA  ANDREA CONDORI LOPEZ</v>
      </c>
      <c r="D36" s="1">
        <f>IFERROR(VLOOKUP(BDREGISTROAPORTES2025[[#This Row],[NROKARDEX]],Tabla3[],11,FALSE),"NO PAGO")</f>
        <v>1055849</v>
      </c>
      <c r="E36" s="1" t="str">
        <f t="shared" si="1"/>
        <v>165</v>
      </c>
    </row>
    <row r="37" spans="1:5" x14ac:dyDescent="0.3">
      <c r="A37" s="1">
        <f t="shared" ref="A37:A51" si="5">ROW(A31)</f>
        <v>31</v>
      </c>
      <c r="C37" t="str">
        <f>IFERROR(VLOOKUP(BDREGISTROAPORTES2025[[#This Row],[NROKARDEX]],BDPADRES[],8,FALSE),"Sin registrado")</f>
        <v>Sin registrado</v>
      </c>
      <c r="D37" s="1" t="str">
        <f>IFERROR(VLOOKUP(BDREGISTROAPORTES2025[[#This Row],[NROKARDEX]],Tabla3[],11,FALSE),"NO PAGO")</f>
        <v>NO PAGO</v>
      </c>
      <c r="E37" s="1">
        <v>0</v>
      </c>
    </row>
    <row r="38" spans="1:5" x14ac:dyDescent="0.3">
      <c r="A38" s="1">
        <f t="shared" si="5"/>
        <v>32</v>
      </c>
      <c r="C38" t="str">
        <f>IFERROR(VLOOKUP(BDREGISTROAPORTES2025[[#This Row],[NROKARDEX]],BDPADRES[],8,FALSE),"Sin registrado")</f>
        <v>RODEE FLORES TITO</v>
      </c>
      <c r="D38" s="1">
        <f>IFERROR(VLOOKUP(BDREGISTROAPORTES2025[[#This Row],[NROKARDEX]],Tabla3[],11,FALSE),"NO PAGO")</f>
        <v>1055727</v>
      </c>
      <c r="E38" s="1" t="str">
        <f t="shared" si="1"/>
        <v>165</v>
      </c>
    </row>
    <row r="39" spans="1:5" x14ac:dyDescent="0.3">
      <c r="A39" s="1">
        <f t="shared" si="5"/>
        <v>33</v>
      </c>
      <c r="C39" t="str">
        <f>IFERROR(VLOOKUP(BDREGISTROAPORTES2025[[#This Row],[NROKARDEX]],BDPADRES[],8,FALSE),"Sin registrado")</f>
        <v>ANA ISABEL APAZA MAMANI</v>
      </c>
      <c r="D39" s="1">
        <f>IFERROR(VLOOKUP(BDREGISTROAPORTES2025[[#This Row],[NROKARDEX]],Tabla3[],11,FALSE),"NO PAGO")</f>
        <v>1055893</v>
      </c>
      <c r="E39" s="1" t="str">
        <f t="shared" si="1"/>
        <v>165</v>
      </c>
    </row>
    <row r="40" spans="1:5" x14ac:dyDescent="0.3">
      <c r="A40" s="1">
        <f t="shared" si="5"/>
        <v>34</v>
      </c>
      <c r="C40" t="str">
        <f>IFERROR(VLOOKUP(BDREGISTROAPORTES2025[[#This Row],[NROKARDEX]],BDPADRES[],8,FALSE),"Sin registrado")</f>
        <v>JUANA FERNANDEZ LOPEZ</v>
      </c>
      <c r="D40" s="1">
        <f>IFERROR(VLOOKUP(BDREGISTROAPORTES2025[[#This Row],[NROKARDEX]],Tabla3[],11,FALSE),"NO PAGO")</f>
        <v>1055917</v>
      </c>
      <c r="E40" s="1" t="str">
        <f t="shared" si="1"/>
        <v>165</v>
      </c>
    </row>
    <row r="41" spans="1:5" x14ac:dyDescent="0.3">
      <c r="A41" s="1">
        <f t="shared" si="5"/>
        <v>35</v>
      </c>
      <c r="C41" t="str">
        <f>IFERROR(VLOOKUP(BDREGISTROAPORTES2025[[#This Row],[NROKARDEX]],BDPADRES[],8,FALSE),"Sin registrado")</f>
        <v>OLIVIA FLORES SERRUTO</v>
      </c>
      <c r="D41" s="1">
        <f>IFERROR(VLOOKUP(BDREGISTROAPORTES2025[[#This Row],[NROKARDEX]],Tabla3[],11,FALSE),"NO PAGO")</f>
        <v>1055902</v>
      </c>
      <c r="E41" s="1" t="str">
        <f t="shared" si="1"/>
        <v>165</v>
      </c>
    </row>
    <row r="42" spans="1:5" x14ac:dyDescent="0.3">
      <c r="A42" s="1">
        <f t="shared" si="5"/>
        <v>36</v>
      </c>
      <c r="C42" t="str">
        <f>IFERROR(VLOOKUP(BDREGISTROAPORTES2025[[#This Row],[NROKARDEX]],BDPADRES[],8,FALSE),"Sin registrado")</f>
        <v>MARLENE   VEDIA BALLESTEROS</v>
      </c>
      <c r="D42" s="1">
        <f>IFERROR(VLOOKUP(BDREGISTROAPORTES2025[[#This Row],[NROKARDEX]],Tabla3[],11,FALSE),"NO PAGO")</f>
        <v>1055865</v>
      </c>
      <c r="E42" s="1" t="str">
        <f t="shared" si="1"/>
        <v>165</v>
      </c>
    </row>
    <row r="43" spans="1:5" x14ac:dyDescent="0.3">
      <c r="A43" s="1">
        <f t="shared" si="5"/>
        <v>37</v>
      </c>
      <c r="C43" t="str">
        <f>IFERROR(VLOOKUP(BDREGISTROAPORTES2025[[#This Row],[NROKARDEX]],BDPADRES[],8,FALSE),"Sin registrado")</f>
        <v>SEGUNDINA PEÑARRIETA BARVOLIN</v>
      </c>
      <c r="D43" s="1">
        <f>IFERROR(VLOOKUP(BDREGISTROAPORTES2025[[#This Row],[NROKARDEX]],Tabla3[],11,FALSE),"NO PAGO")</f>
        <v>1055735</v>
      </c>
      <c r="E43" s="1" t="str">
        <f t="shared" si="1"/>
        <v>165</v>
      </c>
    </row>
    <row r="44" spans="1:5" x14ac:dyDescent="0.3">
      <c r="A44" s="1">
        <f t="shared" si="5"/>
        <v>38</v>
      </c>
      <c r="C44" t="str">
        <f>IFERROR(VLOOKUP(BDREGISTROAPORTES2025[[#This Row],[NROKARDEX]],BDPADRES[],8,FALSE),"Sin registrado")</f>
        <v>MERY AGUADO TORREZ</v>
      </c>
      <c r="D44" s="1">
        <f>IFERROR(VLOOKUP(BDREGISTROAPORTES2025[[#This Row],[NROKARDEX]],Tabla3[],11,FALSE),"NO PAGO")</f>
        <v>1055911</v>
      </c>
      <c r="E44" s="1" t="str">
        <f t="shared" si="1"/>
        <v>165</v>
      </c>
    </row>
    <row r="45" spans="1:5" x14ac:dyDescent="0.3">
      <c r="A45" s="1">
        <f t="shared" si="5"/>
        <v>39</v>
      </c>
      <c r="C45" t="str">
        <f>IFERROR(VLOOKUP(BDREGISTROAPORTES2025[[#This Row],[NROKARDEX]],BDPADRES[],8,FALSE),"Sin registrado")</f>
        <v>JOVITA GARCIA TANTUTELA</v>
      </c>
      <c r="D45" s="1">
        <f>IFERROR(VLOOKUP(BDREGISTROAPORTES2025[[#This Row],[NROKARDEX]],Tabla3[],11,FALSE),"NO PAGO")</f>
        <v>1055961</v>
      </c>
      <c r="E45" s="1" t="str">
        <f t="shared" si="1"/>
        <v>165</v>
      </c>
    </row>
    <row r="46" spans="1:5" x14ac:dyDescent="0.3">
      <c r="A46" s="1">
        <f t="shared" si="5"/>
        <v>40</v>
      </c>
      <c r="C46" t="str">
        <f>IFERROR(VLOOKUP(BDREGISTROAPORTES2025[[#This Row],[NROKARDEX]],BDPADRES[],8,FALSE),"Sin registrado")</f>
        <v>MARINA MEJIA BEJARANO</v>
      </c>
      <c r="D46" s="1">
        <f>IFERROR(VLOOKUP(BDREGISTROAPORTES2025[[#This Row],[NROKARDEX]],Tabla3[],11,FALSE),"NO PAGO")</f>
        <v>1055967</v>
      </c>
      <c r="E46" s="1" t="str">
        <f t="shared" si="1"/>
        <v>165</v>
      </c>
    </row>
    <row r="47" spans="1:5" x14ac:dyDescent="0.3">
      <c r="A47" s="1">
        <f t="shared" si="5"/>
        <v>41</v>
      </c>
      <c r="C47" t="str">
        <f>IFERROR(VLOOKUP(BDREGISTROAPORTES2025[[#This Row],[NROKARDEX]],BDPADRES[],8,FALSE),"Sin registrado")</f>
        <v>ELSA TITO CABRERA</v>
      </c>
      <c r="D47" s="1">
        <f>IFERROR(VLOOKUP(BDREGISTROAPORTES2025[[#This Row],[NROKARDEX]],Tabla3[],11,FALSE),"NO PAGO")</f>
        <v>1055970</v>
      </c>
      <c r="E47" s="1" t="str">
        <f t="shared" si="1"/>
        <v>165</v>
      </c>
    </row>
    <row r="48" spans="1:5" x14ac:dyDescent="0.3">
      <c r="A48" s="1">
        <f t="shared" si="5"/>
        <v>42</v>
      </c>
      <c r="C48" t="str">
        <f>IFERROR(VLOOKUP(BDREGISTROAPORTES2025[[#This Row],[NROKARDEX]],BDPADRES[],8,FALSE),"Sin registrado")</f>
        <v>MARINA  SANTOS PADILLA</v>
      </c>
      <c r="D48" s="1">
        <f>IFERROR(VLOOKUP(BDREGISTROAPORTES2025[[#This Row],[NROKARDEX]],Tabla3[],11,FALSE),"NO PAGO")</f>
        <v>1055952</v>
      </c>
      <c r="E48" s="1" t="str">
        <f t="shared" si="1"/>
        <v>165</v>
      </c>
    </row>
    <row r="49" spans="1:5" x14ac:dyDescent="0.3">
      <c r="A49" s="1">
        <f t="shared" si="5"/>
        <v>43</v>
      </c>
      <c r="C49" t="str">
        <f>IFERROR(VLOOKUP(BDREGISTROAPORTES2025[[#This Row],[NROKARDEX]],BDPADRES[],8,FALSE),"Sin registrado")</f>
        <v>YOLANDA TORREZ ROJAS</v>
      </c>
      <c r="D49" s="1">
        <f>IFERROR(VLOOKUP(BDREGISTROAPORTES2025[[#This Row],[NROKARDEX]],Tabla3[],11,FALSE),"NO PAGO")</f>
        <v>1055972</v>
      </c>
      <c r="E49" s="1" t="str">
        <f t="shared" si="1"/>
        <v>165</v>
      </c>
    </row>
    <row r="50" spans="1:5" x14ac:dyDescent="0.3">
      <c r="A50" s="1">
        <f t="shared" si="5"/>
        <v>44</v>
      </c>
      <c r="C50" t="str">
        <f>IFERROR(VLOOKUP(BDREGISTROAPORTES2025[[#This Row],[NROKARDEX]],BDPADRES[],8,FALSE),"Sin registrado")</f>
        <v>MARIA DEISY TERRAZAS GUTIERREZ</v>
      </c>
      <c r="D50" s="1">
        <f>IFERROR(VLOOKUP(BDREGISTROAPORTES2025[[#This Row],[NROKARDEX]],Tabla3[],11,FALSE),"NO PAGO")</f>
        <v>1055921</v>
      </c>
      <c r="E50" s="1" t="str">
        <f t="shared" si="1"/>
        <v>165</v>
      </c>
    </row>
    <row r="51" spans="1:5" x14ac:dyDescent="0.3">
      <c r="A51" s="1">
        <f t="shared" si="5"/>
        <v>45</v>
      </c>
      <c r="C51" t="str">
        <f>IFERROR(VLOOKUP(BDREGISTROAPORTES2025[[#This Row],[NROKARDEX]],BDPADRES[],8,FALSE),"Sin registrado")</f>
        <v>LIDIA ALVAREZ MONTAÑO</v>
      </c>
      <c r="D51" s="1">
        <f>IFERROR(VLOOKUP(BDREGISTROAPORTES2025[[#This Row],[NROKARDEX]],Tabla3[],11,FALSE),"NO PAGO")</f>
        <v>1055976</v>
      </c>
      <c r="E51" s="1" t="str">
        <f t="shared" si="1"/>
        <v>165</v>
      </c>
    </row>
    <row r="52" spans="1:5" x14ac:dyDescent="0.3">
      <c r="A52" s="1">
        <f t="shared" ref="A52:A83" si="6">ROW(A46)</f>
        <v>46</v>
      </c>
      <c r="C52" t="str">
        <f>IFERROR(VLOOKUP(BDREGISTROAPORTES2025[[#This Row],[NROKARDEX]],BDPADRES[],8,FALSE),"Sin registrado")</f>
        <v>YESSICA AGUILAR ALVAREZ</v>
      </c>
      <c r="D52" s="1">
        <f>IFERROR(VLOOKUP(BDREGISTROAPORTES2025[[#This Row],[NROKARDEX]],Tabla3[],11,FALSE),"NO PAGO")</f>
        <v>1056026</v>
      </c>
      <c r="E52" s="1" t="str">
        <f t="shared" si="1"/>
        <v>165</v>
      </c>
    </row>
    <row r="53" spans="1:5" x14ac:dyDescent="0.3">
      <c r="A53" s="1">
        <f t="shared" si="6"/>
        <v>47</v>
      </c>
      <c r="C53" t="str">
        <f>IFERROR(VLOOKUP(BDREGISTROAPORTES2025[[#This Row],[NROKARDEX]],BDPADRES[],8,FALSE),"Sin registrado")</f>
        <v>EUNICE CARTAGENA RUIZ</v>
      </c>
      <c r="D53" s="1">
        <f>IFERROR(VLOOKUP(BDREGISTROAPORTES2025[[#This Row],[NROKARDEX]],Tabla3[],11,FALSE),"NO PAGO")</f>
        <v>1056067</v>
      </c>
      <c r="E53" s="1" t="str">
        <f t="shared" si="1"/>
        <v>165</v>
      </c>
    </row>
    <row r="54" spans="1:5" x14ac:dyDescent="0.3">
      <c r="A54" s="1">
        <f t="shared" si="6"/>
        <v>48</v>
      </c>
      <c r="C54" t="str">
        <f>IFERROR(VLOOKUP(BDREGISTROAPORTES2025[[#This Row],[NROKARDEX]],BDPADRES[],8,FALSE),"Sin registrado")</f>
        <v>SHEILA VANESSA VARGAS TITO</v>
      </c>
      <c r="D54" s="1">
        <f>IFERROR(VLOOKUP(BDREGISTROAPORTES2025[[#This Row],[NROKARDEX]],Tabla3[],11,FALSE),"NO PAGO")</f>
        <v>1056041</v>
      </c>
      <c r="E54" s="1" t="str">
        <f t="shared" si="1"/>
        <v>165</v>
      </c>
    </row>
    <row r="55" spans="1:5" x14ac:dyDescent="0.3">
      <c r="A55" s="1">
        <f t="shared" si="6"/>
        <v>49</v>
      </c>
      <c r="C55" t="str">
        <f>IFERROR(VLOOKUP(BDREGISTROAPORTES2025[[#This Row],[NROKARDEX]],BDPADRES[],8,FALSE),"Sin registrado")</f>
        <v>REINA MAMANI IPORRE</v>
      </c>
      <c r="D55" s="1">
        <f>IFERROR(VLOOKUP(BDREGISTROAPORTES2025[[#This Row],[NROKARDEX]],Tabla3[],11,FALSE),"NO PAGO")</f>
        <v>1056060</v>
      </c>
      <c r="E55" s="1" t="str">
        <f t="shared" si="1"/>
        <v>165</v>
      </c>
    </row>
    <row r="56" spans="1:5" x14ac:dyDescent="0.3">
      <c r="A56" s="1">
        <f t="shared" si="6"/>
        <v>50</v>
      </c>
      <c r="C56" t="str">
        <f>IFERROR(VLOOKUP(BDREGISTROAPORTES2025[[#This Row],[NROKARDEX]],BDPADRES[],8,FALSE),"Sin registrado")</f>
        <v>MARLENE TERESA GOMEZ CHOQUE</v>
      </c>
      <c r="D56" s="1">
        <f>IFERROR(VLOOKUP(BDREGISTROAPORTES2025[[#This Row],[NROKARDEX]],Tabla3[],11,FALSE),"NO PAGO")</f>
        <v>1055965</v>
      </c>
      <c r="E56" s="1" t="str">
        <f t="shared" si="1"/>
        <v>165</v>
      </c>
    </row>
    <row r="57" spans="1:5" x14ac:dyDescent="0.3">
      <c r="A57" s="1">
        <f t="shared" si="6"/>
        <v>51</v>
      </c>
      <c r="C57" t="str">
        <f>IFERROR(VLOOKUP(BDREGISTROAPORTES2025[[#This Row],[NROKARDEX]],BDPADRES[],8,FALSE),"Sin registrado")</f>
        <v>ELVA LLENES SALAZAR</v>
      </c>
      <c r="D57" s="1">
        <f>IFERROR(VLOOKUP(BDREGISTROAPORTES2025[[#This Row],[NROKARDEX]],Tabla3[],11,FALSE),"NO PAGO")</f>
        <v>105668</v>
      </c>
      <c r="E57" s="1" t="str">
        <f t="shared" si="1"/>
        <v>165</v>
      </c>
    </row>
    <row r="58" spans="1:5" x14ac:dyDescent="0.3">
      <c r="A58" s="1">
        <f t="shared" si="6"/>
        <v>52</v>
      </c>
      <c r="C58" t="str">
        <f>IFERROR(VLOOKUP(BDREGISTROAPORTES2025[[#This Row],[NROKARDEX]],BDPADRES[],8,FALSE),"Sin registrado")</f>
        <v>MARTHA URQUIZU SALINAS</v>
      </c>
      <c r="D58" s="1">
        <f>IFERROR(VLOOKUP(BDREGISTROAPORTES2025[[#This Row],[NROKARDEX]],Tabla3[],11,FALSE),"NO PAGO")</f>
        <v>1055894</v>
      </c>
      <c r="E58" s="1" t="str">
        <f t="shared" si="1"/>
        <v>165</v>
      </c>
    </row>
    <row r="59" spans="1:5" x14ac:dyDescent="0.3">
      <c r="A59" s="1">
        <f t="shared" si="6"/>
        <v>53</v>
      </c>
      <c r="C59" t="str">
        <f>IFERROR(VLOOKUP(BDREGISTROAPORTES2025[[#This Row],[NROKARDEX]],BDPADRES[],8,FALSE),"Sin registrado")</f>
        <v>MARGOT ZEGARRA NUÑEZ</v>
      </c>
      <c r="D59" s="1">
        <f>IFERROR(VLOOKUP(BDREGISTROAPORTES2025[[#This Row],[NROKARDEX]],Tabla3[],11,FALSE),"NO PAGO")</f>
        <v>1056157</v>
      </c>
      <c r="E59" s="1" t="str">
        <f t="shared" si="1"/>
        <v>165</v>
      </c>
    </row>
    <row r="60" spans="1:5" x14ac:dyDescent="0.3">
      <c r="A60" s="1">
        <f t="shared" si="6"/>
        <v>54</v>
      </c>
      <c r="C60" t="str">
        <f>IFERROR(VLOOKUP(BDREGISTROAPORTES2025[[#This Row],[NROKARDEX]],BDPADRES[],8,FALSE),"Sin registrado")</f>
        <v>CECILIA CASTRO PINTO</v>
      </c>
      <c r="D60" s="1">
        <f>IFERROR(VLOOKUP(BDREGISTROAPORTES2025[[#This Row],[NROKARDEX]],Tabla3[],11,FALSE),"NO PAGO")</f>
        <v>1056185</v>
      </c>
      <c r="E60" s="1" t="str">
        <f t="shared" si="1"/>
        <v>165</v>
      </c>
    </row>
    <row r="61" spans="1:5" x14ac:dyDescent="0.3">
      <c r="A61" s="1">
        <f t="shared" si="6"/>
        <v>55</v>
      </c>
      <c r="C61" t="str">
        <f>IFERROR(VLOOKUP(BDREGISTROAPORTES2025[[#This Row],[NROKARDEX]],BDPADRES[],8,FALSE),"Sin registrado")</f>
        <v>ROSSE MARY BALDELOMAR VEIZAGA</v>
      </c>
      <c r="D61" s="1">
        <f>IFERROR(VLOOKUP(BDREGISTROAPORTES2025[[#This Row],[NROKARDEX]],Tabla3[],11,FALSE),"NO PAGO")</f>
        <v>1055297</v>
      </c>
      <c r="E61" s="1" t="str">
        <f t="shared" si="1"/>
        <v>165</v>
      </c>
    </row>
    <row r="62" spans="1:5" x14ac:dyDescent="0.3">
      <c r="A62" s="1">
        <f t="shared" si="6"/>
        <v>56</v>
      </c>
      <c r="C62" t="str">
        <f>IFERROR(VLOOKUP(BDREGISTROAPORTES2025[[#This Row],[NROKARDEX]],BDPADRES[],8,FALSE),"Sin registrado")</f>
        <v>CLAUDINA SANTOS</v>
      </c>
      <c r="D62" s="1">
        <f>IFERROR(VLOOKUP(BDREGISTROAPORTES2025[[#This Row],[NROKARDEX]],Tabla3[],11,FALSE),"NO PAGO")</f>
        <v>1056207</v>
      </c>
      <c r="E62" s="1" t="str">
        <f t="shared" si="1"/>
        <v>165</v>
      </c>
    </row>
    <row r="63" spans="1:5" x14ac:dyDescent="0.3">
      <c r="A63" s="1">
        <f t="shared" si="6"/>
        <v>57</v>
      </c>
      <c r="C63" t="str">
        <f>IFERROR(VLOOKUP(BDREGISTROAPORTES2025[[#This Row],[NROKARDEX]],BDPADRES[],8,FALSE),"Sin registrado")</f>
        <v>ALISON CABRERA CRUZ</v>
      </c>
      <c r="D63" s="1">
        <f>IFERROR(VLOOKUP(BDREGISTROAPORTES2025[[#This Row],[NROKARDEX]],Tabla3[],11,FALSE),"NO PAGO")</f>
        <v>1055613</v>
      </c>
      <c r="E63" s="1">
        <v>0</v>
      </c>
    </row>
    <row r="64" spans="1:5" x14ac:dyDescent="0.3">
      <c r="A64" s="1">
        <f t="shared" si="6"/>
        <v>58</v>
      </c>
      <c r="C64" t="str">
        <f>IFERROR(VLOOKUP(BDREGISTROAPORTES2025[[#This Row],[NROKARDEX]],BDPADRES[],8,FALSE),"Sin registrado")</f>
        <v>ANA MARIA ROMERO AVILA</v>
      </c>
      <c r="D64" s="1">
        <f>IFERROR(VLOOKUP(BDREGISTROAPORTES2025[[#This Row],[NROKARDEX]],Tabla3[],11,FALSE),"NO PAGO")</f>
        <v>1055474</v>
      </c>
      <c r="E64" s="1" t="str">
        <f t="shared" si="1"/>
        <v>165</v>
      </c>
    </row>
    <row r="65" spans="1:5" x14ac:dyDescent="0.3">
      <c r="A65" s="1">
        <f t="shared" si="6"/>
        <v>59</v>
      </c>
      <c r="C65" t="str">
        <f>IFERROR(VLOOKUP(BDREGISTROAPORTES2025[[#This Row],[NROKARDEX]],BDPADRES[],8,FALSE),"Sin registrado")</f>
        <v>MARGARITA AVARIPA CRUZ</v>
      </c>
      <c r="D65" s="1">
        <f>IFERROR(VLOOKUP(BDREGISTROAPORTES2025[[#This Row],[NROKARDEX]],Tabla3[],11,FALSE),"NO PAGO")</f>
        <v>1107559</v>
      </c>
      <c r="E65" s="1" t="str">
        <f t="shared" si="1"/>
        <v>165</v>
      </c>
    </row>
    <row r="66" spans="1:5" x14ac:dyDescent="0.3">
      <c r="A66" s="1">
        <f t="shared" si="6"/>
        <v>60</v>
      </c>
      <c r="C66" t="str">
        <f>IFERROR(VLOOKUP(BDREGISTROAPORTES2025[[#This Row],[NROKARDEX]],BDPADRES[],8,FALSE),"Sin registrado")</f>
        <v>ANAHI LIJERON RAMIREZ</v>
      </c>
      <c r="D66" s="1">
        <f>IFERROR(VLOOKUP(BDREGISTROAPORTES2025[[#This Row],[NROKARDEX]],Tabla3[],11,FALSE),"NO PAGO")</f>
        <v>1056172</v>
      </c>
      <c r="E66" s="1" t="str">
        <f t="shared" si="1"/>
        <v>165</v>
      </c>
    </row>
    <row r="67" spans="1:5" x14ac:dyDescent="0.3">
      <c r="A67" s="1">
        <f t="shared" si="6"/>
        <v>61</v>
      </c>
      <c r="C67" t="str">
        <f>IFERROR(VLOOKUP(BDREGISTROAPORTES2025[[#This Row],[NROKARDEX]],BDPADRES[],8,FALSE),"Sin registrado")</f>
        <v>NILDA HUAYHUA ARENAS</v>
      </c>
      <c r="D67" s="1">
        <f>IFERROR(VLOOKUP(BDREGISTROAPORTES2025[[#This Row],[NROKARDEX]],Tabla3[],11,FALSE),"NO PAGO")</f>
        <v>1056277</v>
      </c>
      <c r="E67" s="1" t="str">
        <f t="shared" si="1"/>
        <v>165</v>
      </c>
    </row>
    <row r="68" spans="1:5" x14ac:dyDescent="0.3">
      <c r="A68" s="1">
        <f t="shared" si="6"/>
        <v>62</v>
      </c>
      <c r="C68" t="str">
        <f>IFERROR(VLOOKUP(BDREGISTROAPORTES2025[[#This Row],[NROKARDEX]],BDPADRES[],8,FALSE),"Sin registrado")</f>
        <v>EDITH  ESCOBAR CESPEDES</v>
      </c>
      <c r="D68" s="1">
        <f>IFERROR(VLOOKUP(BDREGISTROAPORTES2025[[#This Row],[NROKARDEX]],Tabla3[],11,FALSE),"NO PAGO")</f>
        <v>1056403</v>
      </c>
      <c r="E68" s="1" t="str">
        <f t="shared" si="1"/>
        <v>165</v>
      </c>
    </row>
    <row r="69" spans="1:5" x14ac:dyDescent="0.3">
      <c r="A69" s="1">
        <f t="shared" si="6"/>
        <v>63</v>
      </c>
      <c r="C69" t="str">
        <f>IFERROR(VLOOKUP(BDREGISTROAPORTES2025[[#This Row],[NROKARDEX]],BDPADRES[],8,FALSE),"Sin registrado")</f>
        <v>SIMONA ARIAS RENGIPO</v>
      </c>
      <c r="D69" s="1">
        <f>IFERROR(VLOOKUP(BDREGISTROAPORTES2025[[#This Row],[NROKARDEX]],Tabla3[],11,FALSE),"NO PAGO")</f>
        <v>1056480</v>
      </c>
      <c r="E69" s="1" t="str">
        <f t="shared" si="1"/>
        <v>165</v>
      </c>
    </row>
    <row r="70" spans="1:5" x14ac:dyDescent="0.3">
      <c r="A70" s="1">
        <f t="shared" si="6"/>
        <v>64</v>
      </c>
      <c r="C70" t="str">
        <f>IFERROR(VLOOKUP(BDREGISTROAPORTES2025[[#This Row],[NROKARDEX]],BDPADRES[],8,FALSE),"Sin registrado")</f>
        <v>JUANA MARTINEZ FERNANDEZ</v>
      </c>
      <c r="D70" s="1">
        <f>IFERROR(VLOOKUP(BDREGISTROAPORTES2025[[#This Row],[NROKARDEX]],Tabla3[],11,FALSE),"NO PAGO")</f>
        <v>1056136</v>
      </c>
      <c r="E70" s="1" t="str">
        <f t="shared" si="1"/>
        <v>165</v>
      </c>
    </row>
    <row r="71" spans="1:5" x14ac:dyDescent="0.3">
      <c r="A71" s="1">
        <f t="shared" si="6"/>
        <v>65</v>
      </c>
      <c r="C71" t="str">
        <f>IFERROR(VLOOKUP(BDREGISTROAPORTES2025[[#This Row],[NROKARDEX]],BDPADRES[],8,FALSE),"Sin registrado")</f>
        <v>MARGARITA DAZA VEDIA</v>
      </c>
      <c r="D71" s="1">
        <f>IFERROR(VLOOKUP(BDREGISTROAPORTES2025[[#This Row],[NROKARDEX]],Tabla3[],11,FALSE),"NO PAGO")</f>
        <v>1056290</v>
      </c>
      <c r="E71" s="1" t="str">
        <f t="shared" ref="E71:E134" si="7">IF(D71="NO",0,"165")</f>
        <v>165</v>
      </c>
    </row>
    <row r="72" spans="1:5" x14ac:dyDescent="0.3">
      <c r="A72" s="1">
        <f t="shared" si="6"/>
        <v>66</v>
      </c>
      <c r="C72" t="str">
        <f>IFERROR(VLOOKUP(BDREGISTROAPORTES2025[[#This Row],[NROKARDEX]],BDPADRES[],8,FALSE),"Sin registrado")</f>
        <v>JAHEL  ACHO RODRIGUEZ</v>
      </c>
      <c r="D72" s="1">
        <f>IFERROR(VLOOKUP(BDREGISTROAPORTES2025[[#This Row],[NROKARDEX]],Tabla3[],11,FALSE),"NO PAGO")</f>
        <v>1056585</v>
      </c>
      <c r="E72" s="1" t="str">
        <f t="shared" si="7"/>
        <v>165</v>
      </c>
    </row>
    <row r="73" spans="1:5" x14ac:dyDescent="0.3">
      <c r="A73" s="1">
        <f t="shared" si="6"/>
        <v>67</v>
      </c>
      <c r="C73" t="str">
        <f>IFERROR(VLOOKUP(BDREGISTROAPORTES2025[[#This Row],[NROKARDEX]],BDPADRES[],8,FALSE),"Sin registrado")</f>
        <v>SIN NOMBRE PACO</v>
      </c>
      <c r="D73" s="1">
        <f>IFERROR(VLOOKUP(BDREGISTROAPORTES2025[[#This Row],[NROKARDEX]],Tabla3[],11,FALSE),"NO PAGO")</f>
        <v>1056564</v>
      </c>
      <c r="E73" s="1" t="str">
        <f t="shared" si="7"/>
        <v>165</v>
      </c>
    </row>
    <row r="74" spans="1:5" x14ac:dyDescent="0.3">
      <c r="A74" s="1">
        <f t="shared" si="6"/>
        <v>68</v>
      </c>
      <c r="C74" t="str">
        <f>IFERROR(VLOOKUP(BDREGISTROAPORTES2025[[#This Row],[NROKARDEX]],BDPADRES[],8,FALSE),"Sin registrado")</f>
        <v>LISBETH ALCOBA CESPEDES</v>
      </c>
      <c r="D74" s="1">
        <f>IFERROR(VLOOKUP(BDREGISTROAPORTES2025[[#This Row],[NROKARDEX]],Tabla3[],11,FALSE),"NO PAGO")</f>
        <v>1056510</v>
      </c>
      <c r="E74" s="1" t="str">
        <f t="shared" si="7"/>
        <v>165</v>
      </c>
    </row>
    <row r="75" spans="1:5" x14ac:dyDescent="0.3">
      <c r="A75" s="1">
        <f t="shared" si="6"/>
        <v>69</v>
      </c>
      <c r="C75" t="str">
        <f>IFERROR(VLOOKUP(BDREGISTROAPORTES2025[[#This Row],[NROKARDEX]],BDPADRES[],8,FALSE),"Sin registrado")</f>
        <v>MARIA MERCEDES PUMACAYO PERALTA</v>
      </c>
      <c r="D75" s="1">
        <f>IFERROR(VLOOKUP(BDREGISTROAPORTES2025[[#This Row],[NROKARDEX]],Tabla3[],11,FALSE),"NO PAGO")</f>
        <v>1056609</v>
      </c>
      <c r="E75" s="1" t="str">
        <f t="shared" si="7"/>
        <v>165</v>
      </c>
    </row>
    <row r="76" spans="1:5" x14ac:dyDescent="0.3">
      <c r="A76" s="1">
        <f t="shared" si="6"/>
        <v>70</v>
      </c>
      <c r="C76" t="str">
        <f>IFERROR(VLOOKUP(BDREGISTROAPORTES2025[[#This Row],[NROKARDEX]],BDPADRES[],8,FALSE),"Sin registrado")</f>
        <v>CRECENCIA AVALOS GARNICA</v>
      </c>
      <c r="D76" s="1">
        <f>IFERROR(VLOOKUP(BDREGISTROAPORTES2025[[#This Row],[NROKARDEX]],Tabla3[],11,FALSE),"NO PAGO")</f>
        <v>1056630</v>
      </c>
      <c r="E76" s="1" t="str">
        <f t="shared" si="7"/>
        <v>165</v>
      </c>
    </row>
    <row r="77" spans="1:5" x14ac:dyDescent="0.3">
      <c r="A77" s="1">
        <f t="shared" si="6"/>
        <v>71</v>
      </c>
      <c r="C77" t="str">
        <f>IFERROR(VLOOKUP(BDREGISTROAPORTES2025[[#This Row],[NROKARDEX]],BDPADRES[],8,FALSE),"Sin registrado")</f>
        <v>TEOLINDA HUAILLA LOPEZ</v>
      </c>
      <c r="D77" s="1">
        <f>IFERROR(VLOOKUP(BDREGISTROAPORTES2025[[#This Row],[NROKARDEX]],Tabla3[],11,FALSE),"NO PAGO")</f>
        <v>1056565</v>
      </c>
      <c r="E77" s="1" t="str">
        <f t="shared" si="7"/>
        <v>165</v>
      </c>
    </row>
    <row r="78" spans="1:5" x14ac:dyDescent="0.3">
      <c r="A78" s="1">
        <f t="shared" si="6"/>
        <v>72</v>
      </c>
      <c r="C78" t="str">
        <f>IFERROR(VLOOKUP(BDREGISTROAPORTES2025[[#This Row],[NROKARDEX]],BDPADRES[],8,FALSE),"Sin registrado")</f>
        <v xml:space="preserve">SIN NOMBRE  PUMACAYO  </v>
      </c>
      <c r="D78" s="1" t="str">
        <f>IFERROR(VLOOKUP(BDREGISTROAPORTES2025[[#This Row],[NROKARDEX]],Tabla3[],11,FALSE),"NO PAGO")</f>
        <v>NO</v>
      </c>
      <c r="E78" s="1">
        <f t="shared" si="7"/>
        <v>0</v>
      </c>
    </row>
    <row r="79" spans="1:5" x14ac:dyDescent="0.3">
      <c r="A79" s="1">
        <f t="shared" si="6"/>
        <v>73</v>
      </c>
      <c r="C79" t="str">
        <f>IFERROR(VLOOKUP(BDREGISTROAPORTES2025[[#This Row],[NROKARDEX]],BDPADRES[],8,FALSE),"Sin registrado")</f>
        <v>SIDELA RAMIREZ FLORES</v>
      </c>
      <c r="D79" s="1">
        <f>IFERROR(VLOOKUP(BDREGISTROAPORTES2025[[#This Row],[NROKARDEX]],Tabla3[],11,FALSE),"NO PAGO")</f>
        <v>1056664</v>
      </c>
      <c r="E79" s="1" t="str">
        <f t="shared" si="7"/>
        <v>165</v>
      </c>
    </row>
    <row r="80" spans="1:5" x14ac:dyDescent="0.3">
      <c r="A80" s="1">
        <f t="shared" si="6"/>
        <v>74</v>
      </c>
      <c r="C80" t="str">
        <f>IFERROR(VLOOKUP(BDREGISTROAPORTES2025[[#This Row],[NROKARDEX]],BDPADRES[],8,FALSE),"Sin registrado")</f>
        <v>ELIZABETH RODRIGUEZ RODRIGUEZ</v>
      </c>
      <c r="D80" s="1">
        <f>IFERROR(VLOOKUP(BDREGISTROAPORTES2025[[#This Row],[NROKARDEX]],Tabla3[],11,FALSE),"NO PAGO")</f>
        <v>1056729</v>
      </c>
      <c r="E80" s="1" t="str">
        <f t="shared" si="7"/>
        <v>165</v>
      </c>
    </row>
    <row r="81" spans="1:5" x14ac:dyDescent="0.3">
      <c r="A81" s="1">
        <f t="shared" si="6"/>
        <v>75</v>
      </c>
      <c r="C81" t="str">
        <f>IFERROR(VLOOKUP(BDREGISTROAPORTES2025[[#This Row],[NROKARDEX]],BDPADRES[],8,FALSE),"Sin registrado")</f>
        <v>MARGARITA ISABEL RIBERA TERCEROS</v>
      </c>
      <c r="D81" s="1">
        <f>IFERROR(VLOOKUP(BDREGISTROAPORTES2025[[#This Row],[NROKARDEX]],Tabla3[],11,FALSE),"NO PAGO")</f>
        <v>1056120</v>
      </c>
      <c r="E81" s="1" t="str">
        <f t="shared" si="7"/>
        <v>165</v>
      </c>
    </row>
    <row r="82" spans="1:5" x14ac:dyDescent="0.3">
      <c r="A82" s="1">
        <f t="shared" si="6"/>
        <v>76</v>
      </c>
      <c r="C82" t="str">
        <f>IFERROR(VLOOKUP(BDREGISTROAPORTES2025[[#This Row],[NROKARDEX]],BDPADRES[],8,FALSE),"Sin registrado")</f>
        <v>YSABEL CEREZO RIVAS</v>
      </c>
      <c r="D82" s="1">
        <f>IFERROR(VLOOKUP(BDREGISTROAPORTES2025[[#This Row],[NROKARDEX]],Tabla3[],11,FALSE),"NO PAGO")</f>
        <v>1057322</v>
      </c>
      <c r="E82" s="1" t="str">
        <f t="shared" si="7"/>
        <v>165</v>
      </c>
    </row>
    <row r="83" spans="1:5" x14ac:dyDescent="0.3">
      <c r="A83" s="1">
        <f t="shared" si="6"/>
        <v>77</v>
      </c>
      <c r="C83" t="str">
        <f>IFERROR(VLOOKUP(BDREGISTROAPORTES2025[[#This Row],[NROKARDEX]],BDPADRES[],8,FALSE),"Sin registrado")</f>
        <v>LIDIA MEDINA NOVA</v>
      </c>
      <c r="D83" s="1">
        <f>IFERROR(VLOOKUP(BDREGISTROAPORTES2025[[#This Row],[NROKARDEX]],Tabla3[],11,FALSE),"NO PAGO")</f>
        <v>1056622</v>
      </c>
      <c r="E83" s="1" t="str">
        <f t="shared" si="7"/>
        <v>165</v>
      </c>
    </row>
    <row r="84" spans="1:5" x14ac:dyDescent="0.3">
      <c r="A84" s="1">
        <f t="shared" ref="A84:A100" si="8">ROW(A78)</f>
        <v>78</v>
      </c>
      <c r="C84" t="str">
        <f>IFERROR(VLOOKUP(BDREGISTROAPORTES2025[[#This Row],[NROKARDEX]],BDPADRES[],8,FALSE),"Sin registrado")</f>
        <v>ROXANA PINTO FLORES</v>
      </c>
      <c r="D84" s="1">
        <f>IFERROR(VLOOKUP(BDREGISTROAPORTES2025[[#This Row],[NROKARDEX]],Tabla3[],11,FALSE),"NO PAGO")</f>
        <v>1056854</v>
      </c>
      <c r="E84" s="1" t="str">
        <f t="shared" si="7"/>
        <v>165</v>
      </c>
    </row>
    <row r="85" spans="1:5" x14ac:dyDescent="0.3">
      <c r="A85" s="1">
        <f t="shared" si="8"/>
        <v>79</v>
      </c>
      <c r="C85" t="str">
        <f>IFERROR(VLOOKUP(BDREGISTROAPORTES2025[[#This Row],[NROKARDEX]],BDPADRES[],8,FALSE),"Sin registrado")</f>
        <v>AGUSTINA MARTINEZ MILLARES</v>
      </c>
      <c r="D85" s="1">
        <f>IFERROR(VLOOKUP(BDREGISTROAPORTES2025[[#This Row],[NROKARDEX]],Tabla3[],11,FALSE),"NO PAGO")</f>
        <v>1057253</v>
      </c>
      <c r="E85" s="1" t="str">
        <f t="shared" si="7"/>
        <v>165</v>
      </c>
    </row>
    <row r="86" spans="1:5" x14ac:dyDescent="0.3">
      <c r="A86" s="1">
        <f t="shared" si="8"/>
        <v>80</v>
      </c>
      <c r="C86" t="str">
        <f>IFERROR(VLOOKUP(BDREGISTROAPORTES2025[[#This Row],[NROKARDEX]],BDPADRES[],8,FALSE),"Sin registrado")</f>
        <v>MIGUELINA GUERRERO RODA</v>
      </c>
      <c r="D86" s="1">
        <f>IFERROR(VLOOKUP(BDREGISTROAPORTES2025[[#This Row],[NROKARDEX]],Tabla3[],11,FALSE),"NO PAGO")</f>
        <v>1056748</v>
      </c>
      <c r="E86" s="1" t="str">
        <f t="shared" si="7"/>
        <v>165</v>
      </c>
    </row>
    <row r="87" spans="1:5" x14ac:dyDescent="0.3">
      <c r="A87" s="1">
        <f t="shared" si="8"/>
        <v>81</v>
      </c>
      <c r="C87" t="str">
        <f>IFERROR(VLOOKUP(BDREGISTROAPORTES2025[[#This Row],[NROKARDEX]],BDPADRES[],8,FALSE),"Sin registrado")</f>
        <v>CATALINA MAMANI OCHOA</v>
      </c>
      <c r="D87" s="1">
        <f>IFERROR(VLOOKUP(BDREGISTROAPORTES2025[[#This Row],[NROKARDEX]],Tabla3[],11,FALSE),"NO PAGO")</f>
        <v>1057339</v>
      </c>
      <c r="E87" s="1" t="str">
        <f t="shared" si="7"/>
        <v>165</v>
      </c>
    </row>
    <row r="88" spans="1:5" x14ac:dyDescent="0.3">
      <c r="A88" s="1">
        <f t="shared" si="8"/>
        <v>82</v>
      </c>
      <c r="C88" t="str">
        <f>IFERROR(VLOOKUP(BDREGISTROAPORTES2025[[#This Row],[NROKARDEX]],BDPADRES[],8,FALSE),"Sin registrado")</f>
        <v>MARTHA FIGUEROA GUZMAN</v>
      </c>
      <c r="D88" s="1">
        <f>IFERROR(VLOOKUP(BDREGISTROAPORTES2025[[#This Row],[NROKARDEX]],Tabla3[],11,FALSE),"NO PAGO")</f>
        <v>1056924</v>
      </c>
      <c r="E88" s="1" t="str">
        <f t="shared" si="7"/>
        <v>165</v>
      </c>
    </row>
    <row r="89" spans="1:5" x14ac:dyDescent="0.3">
      <c r="A89" s="1">
        <f t="shared" si="8"/>
        <v>83</v>
      </c>
      <c r="C89" t="str">
        <f>IFERROR(VLOOKUP(BDREGISTROAPORTES2025[[#This Row],[NROKARDEX]],BDPADRES[],8,FALSE),"Sin registrado")</f>
        <v>ROSMERY CAMARGO CARBALLO</v>
      </c>
      <c r="D89" s="1">
        <f>IFERROR(VLOOKUP(BDREGISTROAPORTES2025[[#This Row],[NROKARDEX]],Tabla3[],11,FALSE),"NO PAGO")</f>
        <v>1056583</v>
      </c>
      <c r="E89" s="1" t="str">
        <f t="shared" si="7"/>
        <v>165</v>
      </c>
    </row>
    <row r="90" spans="1:5" x14ac:dyDescent="0.3">
      <c r="A90" s="1">
        <f t="shared" si="8"/>
        <v>84</v>
      </c>
      <c r="C90" t="str">
        <f>IFERROR(VLOOKUP(BDREGISTROAPORTES2025[[#This Row],[NROKARDEX]],BDPADRES[],8,FALSE),"Sin registrado")</f>
        <v>ELIZABETH MERCADO LOPEZ</v>
      </c>
      <c r="D90" s="1">
        <f>IFERROR(VLOOKUP(BDREGISTROAPORTES2025[[#This Row],[NROKARDEX]],Tabla3[],11,FALSE),"NO PAGO")</f>
        <v>1058997</v>
      </c>
      <c r="E90" s="1" t="str">
        <f t="shared" si="7"/>
        <v>165</v>
      </c>
    </row>
    <row r="91" spans="1:5" x14ac:dyDescent="0.3">
      <c r="A91" s="1">
        <f t="shared" si="8"/>
        <v>85</v>
      </c>
      <c r="C91" t="str">
        <f>IFERROR(VLOOKUP(BDREGISTROAPORTES2025[[#This Row],[NROKARDEX]],BDPADRES[],8,FALSE),"Sin registrado")</f>
        <v>ARACELI LIMON AVALOS</v>
      </c>
      <c r="D91" s="1">
        <f>IFERROR(VLOOKUP(BDREGISTROAPORTES2025[[#This Row],[NROKARDEX]],Tabla3[],11,FALSE),"NO PAGO")</f>
        <v>1057391</v>
      </c>
      <c r="E91" s="1" t="str">
        <f t="shared" si="7"/>
        <v>165</v>
      </c>
    </row>
    <row r="92" spans="1:5" x14ac:dyDescent="0.3">
      <c r="A92" s="1">
        <f t="shared" si="8"/>
        <v>86</v>
      </c>
      <c r="C92" t="str">
        <f>IFERROR(VLOOKUP(BDREGISTROAPORTES2025[[#This Row],[NROKARDEX]],BDPADRES[],8,FALSE),"Sin registrado")</f>
        <v>VICENTA MOSCOSO ROMERO</v>
      </c>
      <c r="D92" s="1">
        <f>IFERROR(VLOOKUP(BDREGISTROAPORTES2025[[#This Row],[NROKARDEX]],Tabla3[],11,FALSE),"NO PAGO")</f>
        <v>1056571</v>
      </c>
      <c r="E92" s="1" t="str">
        <f t="shared" si="7"/>
        <v>165</v>
      </c>
    </row>
    <row r="93" spans="1:5" x14ac:dyDescent="0.3">
      <c r="A93" s="1">
        <f t="shared" si="8"/>
        <v>87</v>
      </c>
      <c r="C93" t="str">
        <f>IFERROR(VLOOKUP(BDREGISTROAPORTES2025[[#This Row],[NROKARDEX]],BDPADRES[],8,FALSE),"Sin registrado")</f>
        <v>FLOR MARIA MOJICA GARCIA</v>
      </c>
      <c r="D93" s="1">
        <f>IFERROR(VLOOKUP(BDREGISTROAPORTES2025[[#This Row],[NROKARDEX]],Tabla3[],11,FALSE),"NO PAGO")</f>
        <v>11665948</v>
      </c>
      <c r="E93" s="1" t="str">
        <f t="shared" si="7"/>
        <v>165</v>
      </c>
    </row>
    <row r="94" spans="1:5" x14ac:dyDescent="0.3">
      <c r="A94" s="1">
        <f t="shared" si="8"/>
        <v>88</v>
      </c>
      <c r="C94" t="str">
        <f>IFERROR(VLOOKUP(BDREGISTROAPORTES2025[[#This Row],[NROKARDEX]],BDPADRES[],8,FALSE),"Sin registrado")</f>
        <v>ROSXANA MOJIANO MOSCOSO</v>
      </c>
      <c r="D94" s="1">
        <f>IFERROR(VLOOKUP(BDREGISTROAPORTES2025[[#This Row],[NROKARDEX]],Tabla3[],11,FALSE),"NO PAGO")</f>
        <v>1055384</v>
      </c>
      <c r="E94" s="1" t="str">
        <f t="shared" si="7"/>
        <v>165</v>
      </c>
    </row>
    <row r="95" spans="1:5" x14ac:dyDescent="0.3">
      <c r="A95" s="1">
        <f t="shared" si="8"/>
        <v>89</v>
      </c>
      <c r="C95" t="str">
        <f>IFERROR(VLOOKUP(BDREGISTROAPORTES2025[[#This Row],[NROKARDEX]],BDPADRES[],8,FALSE),"Sin registrado")</f>
        <v>YENNY ROJAS CLAURE</v>
      </c>
      <c r="D95" s="1">
        <f>IFERROR(VLOOKUP(BDREGISTROAPORTES2025[[#This Row],[NROKARDEX]],Tabla3[],11,FALSE),"NO PAGO")</f>
        <v>1057336</v>
      </c>
      <c r="E95" s="1" t="str">
        <f t="shared" si="7"/>
        <v>165</v>
      </c>
    </row>
    <row r="96" spans="1:5" x14ac:dyDescent="0.3">
      <c r="A96" s="1">
        <f t="shared" si="8"/>
        <v>90</v>
      </c>
      <c r="C96" t="str">
        <f>IFERROR(VLOOKUP(BDREGISTROAPORTES2025[[#This Row],[NROKARDEX]],BDPADRES[],8,FALSE),"Sin registrado")</f>
        <v>SILVIA CARI CARI COLQUE</v>
      </c>
      <c r="D96" s="1">
        <f>IFERROR(VLOOKUP(BDREGISTROAPORTES2025[[#This Row],[NROKARDEX]],Tabla3[],11,FALSE),"NO PAGO")</f>
        <v>1056573</v>
      </c>
      <c r="E96" s="1" t="str">
        <f t="shared" si="7"/>
        <v>165</v>
      </c>
    </row>
    <row r="97" spans="1:5" x14ac:dyDescent="0.3">
      <c r="A97" s="1">
        <f t="shared" si="8"/>
        <v>91</v>
      </c>
      <c r="C97" t="str">
        <f>IFERROR(VLOOKUP(BDREGISTROAPORTES2025[[#This Row],[NROKARDEX]],BDPADRES[],8,FALSE),"Sin registrado")</f>
        <v>VERENICE DORADO MONTENEGRO</v>
      </c>
      <c r="D97" s="1">
        <f>IFERROR(VLOOKUP(BDREGISTROAPORTES2025[[#This Row],[NROKARDEX]],Tabla3[],11,FALSE),"NO PAGO")</f>
        <v>1056560</v>
      </c>
      <c r="E97" s="1" t="str">
        <f t="shared" si="7"/>
        <v>165</v>
      </c>
    </row>
    <row r="98" spans="1:5" x14ac:dyDescent="0.3">
      <c r="A98" s="1">
        <f t="shared" si="8"/>
        <v>92</v>
      </c>
      <c r="C98" t="str">
        <f>IFERROR(VLOOKUP(BDREGISTROAPORTES2025[[#This Row],[NROKARDEX]],BDPADRES[],8,FALSE),"Sin registrado")</f>
        <v>DANIELA APAZA MIRANDA</v>
      </c>
      <c r="D98" s="1">
        <f>IFERROR(VLOOKUP(BDREGISTROAPORTES2025[[#This Row],[NROKARDEX]],Tabla3[],11,FALSE),"NO PAGO")</f>
        <v>1057395</v>
      </c>
      <c r="E98" s="1" t="str">
        <f t="shared" si="7"/>
        <v>165</v>
      </c>
    </row>
    <row r="99" spans="1:5" x14ac:dyDescent="0.3">
      <c r="A99" s="1">
        <f t="shared" si="8"/>
        <v>93</v>
      </c>
      <c r="C99" t="str">
        <f>IFERROR(VLOOKUP(BDREGISTROAPORTES2025[[#This Row],[NROKARDEX]],BDPADRES[],8,FALSE),"Sin registrado")</f>
        <v>DORA TERAN NOMTENEGRO</v>
      </c>
      <c r="D99" s="1">
        <f>IFERROR(VLOOKUP(BDREGISTROAPORTES2025[[#This Row],[NROKARDEX]],Tabla3[],11,FALSE),"NO PAGO")</f>
        <v>1057394</v>
      </c>
      <c r="E99" s="1" t="str">
        <f t="shared" si="7"/>
        <v>165</v>
      </c>
    </row>
    <row r="100" spans="1:5" x14ac:dyDescent="0.3">
      <c r="A100" s="1">
        <f t="shared" si="8"/>
        <v>94</v>
      </c>
      <c r="C100" t="str">
        <f>IFERROR(VLOOKUP(BDREGISTROAPORTES2025[[#This Row],[NROKARDEX]],BDPADRES[],8,FALSE),"Sin registrado")</f>
        <v>Sin registrado</v>
      </c>
      <c r="D100" s="1" t="str">
        <f>IFERROR(VLOOKUP(BDREGISTROAPORTES2025[[#This Row],[NROKARDEX]],Tabla3[],11,FALSE),"NO PAGO")</f>
        <v>NO PAGO</v>
      </c>
      <c r="E100" s="1">
        <v>0</v>
      </c>
    </row>
    <row r="101" spans="1:5" x14ac:dyDescent="0.3">
      <c r="A101" s="1">
        <f t="shared" ref="A101:A115" si="9">ROW(A95)</f>
        <v>95</v>
      </c>
      <c r="C101" t="str">
        <f>IFERROR(VLOOKUP(BDREGISTROAPORTES2025[[#This Row],[NROKARDEX]],BDPADRES[],8,FALSE),"Sin registrado")</f>
        <v>MARGARITA CHUMBE LOPEZ</v>
      </c>
      <c r="D101" s="1">
        <f>IFERROR(VLOOKUP(BDREGISTROAPORTES2025[[#This Row],[NROKARDEX]],Tabla3[],11,FALSE),"NO PAGO")</f>
        <v>1056950</v>
      </c>
      <c r="E101" s="1" t="str">
        <f t="shared" si="7"/>
        <v>165</v>
      </c>
    </row>
    <row r="102" spans="1:5" x14ac:dyDescent="0.3">
      <c r="A102" s="1">
        <f t="shared" si="9"/>
        <v>96</v>
      </c>
      <c r="C102" t="str">
        <f>IFERROR(VLOOKUP(BDREGISTROAPORTES2025[[#This Row],[NROKARDEX]],BDPADRES[],8,FALSE),"Sin registrado")</f>
        <v>AURORA URIONA VELASQUEZ</v>
      </c>
      <c r="D102" s="1">
        <f>IFERROR(VLOOKUP(BDREGISTROAPORTES2025[[#This Row],[NROKARDEX]],Tabla3[],11,FALSE),"NO PAGO")</f>
        <v>1057114</v>
      </c>
      <c r="E102" s="1" t="str">
        <f t="shared" si="7"/>
        <v>165</v>
      </c>
    </row>
    <row r="103" spans="1:5" x14ac:dyDescent="0.3">
      <c r="A103" s="1">
        <f t="shared" si="9"/>
        <v>97</v>
      </c>
      <c r="C103" t="str">
        <f>IFERROR(VLOOKUP(BDREGISTROAPORTES2025[[#This Row],[NROKARDEX]],BDPADRES[],8,FALSE),"Sin registrado")</f>
        <v>CELESTINA ARIMOZA CARBALLO</v>
      </c>
      <c r="D103" s="1">
        <f>IFERROR(VLOOKUP(BDREGISTROAPORTES2025[[#This Row],[NROKARDEX]],Tabla3[],11,FALSE),"NO PAGO")</f>
        <v>1057425</v>
      </c>
      <c r="E103" s="1" t="str">
        <f t="shared" si="7"/>
        <v>165</v>
      </c>
    </row>
    <row r="104" spans="1:5" x14ac:dyDescent="0.3">
      <c r="A104" s="1">
        <f t="shared" si="9"/>
        <v>98</v>
      </c>
      <c r="C104" t="str">
        <f>IFERROR(VLOOKUP(BDREGISTROAPORTES2025[[#This Row],[NROKARDEX]],BDPADRES[],8,FALSE),"Sin registrado")</f>
        <v>CARMEN GALARZA GALVIS</v>
      </c>
      <c r="D104" s="1">
        <f>IFERROR(VLOOKUP(BDREGISTROAPORTES2025[[#This Row],[NROKARDEX]],Tabla3[],11,FALSE),"NO PAGO")</f>
        <v>1057362</v>
      </c>
      <c r="E104" s="1" t="str">
        <f t="shared" si="7"/>
        <v>165</v>
      </c>
    </row>
    <row r="105" spans="1:5" x14ac:dyDescent="0.3">
      <c r="A105" s="1">
        <f t="shared" si="9"/>
        <v>99</v>
      </c>
      <c r="C105" t="str">
        <f>IFERROR(VLOOKUP(BDREGISTROAPORTES2025[[#This Row],[NROKARDEX]],BDPADRES[],8,FALSE),"Sin registrado")</f>
        <v>MARIA ELSA GARCIA CUCHALLO</v>
      </c>
      <c r="D105" s="1">
        <f>IFERROR(VLOOKUP(BDREGISTROAPORTES2025[[#This Row],[NROKARDEX]],Tabla3[],11,FALSE),"NO PAGO")</f>
        <v>1057399</v>
      </c>
      <c r="E105" s="1" t="str">
        <f t="shared" si="7"/>
        <v>165</v>
      </c>
    </row>
    <row r="106" spans="1:5" x14ac:dyDescent="0.3">
      <c r="A106" s="1">
        <f t="shared" si="9"/>
        <v>100</v>
      </c>
      <c r="C106" t="str">
        <f>IFERROR(VLOOKUP(BDREGISTROAPORTES2025[[#This Row],[NROKARDEX]],BDPADRES[],8,FALSE),"Sin registrado")</f>
        <v>LOURDES BALDERAS VEDIA</v>
      </c>
      <c r="D106" s="1">
        <f>IFERROR(VLOOKUP(BDREGISTROAPORTES2025[[#This Row],[NROKARDEX]],Tabla3[],11,FALSE),"NO PAGO")</f>
        <v>1055578</v>
      </c>
      <c r="E106" s="1" t="str">
        <f t="shared" si="7"/>
        <v>165</v>
      </c>
    </row>
    <row r="107" spans="1:5" x14ac:dyDescent="0.3">
      <c r="A107" s="1">
        <f t="shared" si="9"/>
        <v>101</v>
      </c>
      <c r="C107" t="str">
        <f>IFERROR(VLOOKUP(BDREGISTROAPORTES2025[[#This Row],[NROKARDEX]],BDPADRES[],8,FALSE),"Sin registrado")</f>
        <v>CLEOFE AZURDUY REVOLLO</v>
      </c>
      <c r="D107" s="1">
        <f>IFERROR(VLOOKUP(BDREGISTROAPORTES2025[[#This Row],[NROKARDEX]],Tabla3[],11,FALSE),"NO PAGO")</f>
        <v>1057066</v>
      </c>
      <c r="E107" s="1" t="str">
        <f t="shared" si="7"/>
        <v>165</v>
      </c>
    </row>
    <row r="108" spans="1:5" x14ac:dyDescent="0.3">
      <c r="A108" s="1">
        <f t="shared" si="9"/>
        <v>102</v>
      </c>
      <c r="C108" t="str">
        <f>IFERROR(VLOOKUP(BDREGISTROAPORTES2025[[#This Row],[NROKARDEX]],BDPADRES[],8,FALSE),"Sin registrado")</f>
        <v>LAURA CORCHADO BEJARANO</v>
      </c>
      <c r="D108" s="1">
        <f>IFERROR(VLOOKUP(BDREGISTROAPORTES2025[[#This Row],[NROKARDEX]],Tabla3[],11,FALSE),"NO PAGO")</f>
        <v>1056756</v>
      </c>
      <c r="E108" s="1" t="str">
        <f t="shared" si="7"/>
        <v>165</v>
      </c>
    </row>
    <row r="109" spans="1:5" x14ac:dyDescent="0.3">
      <c r="A109" s="1">
        <f t="shared" si="9"/>
        <v>103</v>
      </c>
      <c r="C109" t="str">
        <f>IFERROR(VLOOKUP(BDREGISTROAPORTES2025[[#This Row],[NROKARDEX]],BDPADRES[],8,FALSE),"Sin registrado")</f>
        <v>VERONICA CHAMBI PACO</v>
      </c>
      <c r="D109" s="1">
        <f>IFERROR(VLOOKUP(BDREGISTROAPORTES2025[[#This Row],[NROKARDEX]],Tabla3[],11,FALSE),"NO PAGO")</f>
        <v>1057466</v>
      </c>
      <c r="E109" s="1" t="str">
        <f t="shared" si="7"/>
        <v>165</v>
      </c>
    </row>
    <row r="110" spans="1:5" x14ac:dyDescent="0.3">
      <c r="A110" s="1">
        <f t="shared" si="9"/>
        <v>104</v>
      </c>
      <c r="C110" t="str">
        <f>IFERROR(VLOOKUP(BDREGISTROAPORTES2025[[#This Row],[NROKARDEX]],BDPADRES[],8,FALSE),"Sin registrado")</f>
        <v>LUCI ROCIO ROMERO AVILA</v>
      </c>
      <c r="D110" s="1">
        <f>IFERROR(VLOOKUP(BDREGISTROAPORTES2025[[#This Row],[NROKARDEX]],Tabla3[],11,FALSE),"NO PAGO")</f>
        <v>1055480</v>
      </c>
      <c r="E110" s="1" t="str">
        <f t="shared" si="7"/>
        <v>165</v>
      </c>
    </row>
    <row r="111" spans="1:5" x14ac:dyDescent="0.3">
      <c r="A111" s="1">
        <f t="shared" si="9"/>
        <v>105</v>
      </c>
      <c r="C111" t="str">
        <f>IFERROR(VLOOKUP(BDREGISTROAPORTES2025[[#This Row],[NROKARDEX]],BDPADRES[],8,FALSE),"Sin registrado")</f>
        <v>MARIBEL ROSARIO HERRERA REBOLLO</v>
      </c>
      <c r="D111" s="1">
        <f>IFERROR(VLOOKUP(BDREGISTROAPORTES2025[[#This Row],[NROKARDEX]],Tabla3[],11,FALSE),"NO PAGO")</f>
        <v>1056907</v>
      </c>
      <c r="E111" s="1" t="str">
        <f t="shared" si="7"/>
        <v>165</v>
      </c>
    </row>
    <row r="112" spans="1:5" x14ac:dyDescent="0.3">
      <c r="A112" s="1">
        <f t="shared" si="9"/>
        <v>106</v>
      </c>
      <c r="C112" t="str">
        <f>IFERROR(VLOOKUP(BDREGISTROAPORTES2025[[#This Row],[NROKARDEX]],BDPADRES[],8,FALSE),"Sin registrado")</f>
        <v>ANABEL RUTH CHIRINO FLORES</v>
      </c>
      <c r="D112" s="1">
        <f>IFERROR(VLOOKUP(BDREGISTROAPORTES2025[[#This Row],[NROKARDEX]],Tabla3[],11,FALSE),"NO PAGO")</f>
        <v>1057480</v>
      </c>
      <c r="E112" s="1" t="str">
        <f t="shared" si="7"/>
        <v>165</v>
      </c>
    </row>
    <row r="113" spans="1:5" x14ac:dyDescent="0.3">
      <c r="A113" s="1">
        <f t="shared" si="9"/>
        <v>107</v>
      </c>
      <c r="C113" t="str">
        <f>IFERROR(VLOOKUP(BDREGISTROAPORTES2025[[#This Row],[NROKARDEX]],BDPADRES[],8,FALSE),"Sin registrado")</f>
        <v>ELVIRA JUDITHY LUCANO UÑO</v>
      </c>
      <c r="D113" s="1">
        <f>IFERROR(VLOOKUP(BDREGISTROAPORTES2025[[#This Row],[NROKARDEX]],Tabla3[],11,FALSE),"NO PAGO")</f>
        <v>1056848</v>
      </c>
      <c r="E113" s="1" t="str">
        <f t="shared" si="7"/>
        <v>165</v>
      </c>
    </row>
    <row r="114" spans="1:5" x14ac:dyDescent="0.3">
      <c r="A114" s="1">
        <f t="shared" si="9"/>
        <v>108</v>
      </c>
      <c r="C114" t="str">
        <f>IFERROR(VLOOKUP(BDREGISTROAPORTES2025[[#This Row],[NROKARDEX]],BDPADRES[],8,FALSE),"Sin registrado")</f>
        <v>CLAUDIA VERONICA FLORES TASEO</v>
      </c>
      <c r="D114" s="1">
        <f>IFERROR(VLOOKUP(BDREGISTROAPORTES2025[[#This Row],[NROKARDEX]],Tabla3[],11,FALSE),"NO PAGO")</f>
        <v>1057330</v>
      </c>
      <c r="E114" s="1" t="str">
        <f t="shared" si="7"/>
        <v>165</v>
      </c>
    </row>
    <row r="115" spans="1:5" x14ac:dyDescent="0.3">
      <c r="A115" s="1">
        <f t="shared" si="9"/>
        <v>109</v>
      </c>
      <c r="C115" t="str">
        <f>IFERROR(VLOOKUP(BDREGISTROAPORTES2025[[#This Row],[NROKARDEX]],BDPADRES[],8,FALSE),"Sin registrado")</f>
        <v>ELVIRA MAMANI ANCASI</v>
      </c>
      <c r="D115" s="1">
        <f>IFERROR(VLOOKUP(BDREGISTROAPORTES2025[[#This Row],[NROKARDEX]],Tabla3[],11,FALSE),"NO PAGO")</f>
        <v>1056582</v>
      </c>
      <c r="E115" s="1" t="str">
        <f t="shared" si="7"/>
        <v>165</v>
      </c>
    </row>
    <row r="116" spans="1:5" x14ac:dyDescent="0.3">
      <c r="A116" s="1">
        <f t="shared" ref="A116:A135" si="10">ROW(A110)</f>
        <v>110</v>
      </c>
      <c r="C116" t="str">
        <f>IFERROR(VLOOKUP(BDREGISTROAPORTES2025[[#This Row],[NROKARDEX]],BDPADRES[],8,FALSE),"Sin registrado")</f>
        <v>JOSSELIN ROSARIO CLAURE</v>
      </c>
      <c r="D116" s="1">
        <f>IFERROR(VLOOKUP(BDREGISTROAPORTES2025[[#This Row],[NROKARDEX]],Tabla3[],11,FALSE),"NO PAGO")</f>
        <v>21012025</v>
      </c>
      <c r="E116" s="1" t="str">
        <f t="shared" si="7"/>
        <v>165</v>
      </c>
    </row>
    <row r="117" spans="1:5" x14ac:dyDescent="0.3">
      <c r="A117" s="1">
        <f t="shared" si="10"/>
        <v>111</v>
      </c>
      <c r="C117" t="str">
        <f>IFERROR(VLOOKUP(BDREGISTROAPORTES2025[[#This Row],[NROKARDEX]],BDPADRES[],8,FALSE),"Sin registrado")</f>
        <v>MONICA PEÑA COPA</v>
      </c>
      <c r="D117" s="1">
        <f>IFERROR(VLOOKUP(BDREGISTROAPORTES2025[[#This Row],[NROKARDEX]],Tabla3[],11,FALSE),"NO PAGO")</f>
        <v>1057458</v>
      </c>
      <c r="E117" s="1" t="str">
        <f t="shared" si="7"/>
        <v>165</v>
      </c>
    </row>
    <row r="118" spans="1:5" x14ac:dyDescent="0.3">
      <c r="A118" s="1">
        <f t="shared" si="10"/>
        <v>112</v>
      </c>
      <c r="C118" t="str">
        <f>IFERROR(VLOOKUP(BDREGISTROAPORTES2025[[#This Row],[NROKARDEX]],BDPADRES[],8,FALSE),"Sin registrado")</f>
        <v>ESTELA OSINAGA CASTRO</v>
      </c>
      <c r="D118" s="1">
        <f>IFERROR(VLOOKUP(BDREGISTROAPORTES2025[[#This Row],[NROKARDEX]],Tabla3[],11,FALSE),"NO PAGO")</f>
        <v>1056930</v>
      </c>
      <c r="E118" s="1" t="str">
        <f t="shared" si="7"/>
        <v>165</v>
      </c>
    </row>
    <row r="119" spans="1:5" x14ac:dyDescent="0.3">
      <c r="A119" s="1">
        <f t="shared" si="10"/>
        <v>113</v>
      </c>
      <c r="C119" t="str">
        <f>IFERROR(VLOOKUP(BDREGISTROAPORTES2025[[#This Row],[NROKARDEX]],BDPADRES[],8,FALSE),"Sin registrado")</f>
        <v>FELIPA ACHACOLLO COLQUE</v>
      </c>
      <c r="D119" s="1">
        <f>IFERROR(VLOOKUP(BDREGISTROAPORTES2025[[#This Row],[NROKARDEX]],Tabla3[],11,FALSE),"NO PAGO")</f>
        <v>1057452</v>
      </c>
      <c r="E119" s="1" t="str">
        <f t="shared" si="7"/>
        <v>165</v>
      </c>
    </row>
    <row r="120" spans="1:5" x14ac:dyDescent="0.3">
      <c r="A120" s="1">
        <f t="shared" si="10"/>
        <v>114</v>
      </c>
      <c r="C120" t="str">
        <f>IFERROR(VLOOKUP(BDREGISTROAPORTES2025[[#This Row],[NROKARDEX]],BDPADRES[],8,FALSE),"Sin registrado")</f>
        <v>GUADALUPE MENECES URIONA</v>
      </c>
      <c r="D120" s="1">
        <f>IFERROR(VLOOKUP(BDREGISTROAPORTES2025[[#This Row],[NROKARDEX]],Tabla3[],11,FALSE),"NO PAGO")</f>
        <v>1057204</v>
      </c>
      <c r="E120" s="1" t="str">
        <f t="shared" si="7"/>
        <v>165</v>
      </c>
    </row>
    <row r="121" spans="1:5" x14ac:dyDescent="0.3">
      <c r="A121" s="1">
        <f t="shared" si="10"/>
        <v>115</v>
      </c>
      <c r="C121" t="str">
        <f>IFERROR(VLOOKUP(BDREGISTROAPORTES2025[[#This Row],[NROKARDEX]],BDPADRES[],8,FALSE),"Sin registrado")</f>
        <v>SIRLE YAQUELIN VARGAS RODRIGUEZ</v>
      </c>
      <c r="D121" s="1">
        <f>IFERROR(VLOOKUP(BDREGISTROAPORTES2025[[#This Row],[NROKARDEX]],Tabla3[],11,FALSE),"NO PAGO")</f>
        <v>1057459</v>
      </c>
      <c r="E121" s="1" t="str">
        <f t="shared" si="7"/>
        <v>165</v>
      </c>
    </row>
    <row r="122" spans="1:5" x14ac:dyDescent="0.3">
      <c r="A122" s="1">
        <f t="shared" si="10"/>
        <v>116</v>
      </c>
      <c r="C122" t="str">
        <f>IFERROR(VLOOKUP(BDREGISTROAPORTES2025[[#This Row],[NROKARDEX]],BDPADRES[],8,FALSE),"Sin registrado")</f>
        <v>JUSTINA CUELLAR AVILA</v>
      </c>
      <c r="D122" s="1">
        <f>IFERROR(VLOOKUP(BDREGISTROAPORTES2025[[#This Row],[NROKARDEX]],Tabla3[],11,FALSE),"NO PAGO")</f>
        <v>1057092</v>
      </c>
      <c r="E122" s="1" t="str">
        <f t="shared" si="7"/>
        <v>165</v>
      </c>
    </row>
    <row r="123" spans="1:5" x14ac:dyDescent="0.3">
      <c r="A123" s="1">
        <f t="shared" si="10"/>
        <v>117</v>
      </c>
      <c r="C123" t="str">
        <f>IFERROR(VLOOKUP(BDREGISTROAPORTES2025[[#This Row],[NROKARDEX]],BDPADRES[],8,FALSE),"Sin registrado")</f>
        <v>ANGELICA MARQUEZ ACHO</v>
      </c>
      <c r="D123" s="1">
        <f>IFERROR(VLOOKUP(BDREGISTROAPORTES2025[[#This Row],[NROKARDEX]],Tabla3[],11,FALSE),"NO PAGO")</f>
        <v>1055430</v>
      </c>
      <c r="E123" s="1" t="str">
        <f t="shared" si="7"/>
        <v>165</v>
      </c>
    </row>
    <row r="124" spans="1:5" x14ac:dyDescent="0.3">
      <c r="A124" s="1">
        <f t="shared" si="10"/>
        <v>118</v>
      </c>
      <c r="C124" t="str">
        <f>IFERROR(VLOOKUP(BDREGISTROAPORTES2025[[#This Row],[NROKARDEX]],BDPADRES[],8,FALSE),"Sin registrado")</f>
        <v>MERCEDES ROCHA SANGUINO</v>
      </c>
      <c r="D124" s="1">
        <f>IFERROR(VLOOKUP(BDREGISTROAPORTES2025[[#This Row],[NROKARDEX]],Tabla3[],11,FALSE),"NO PAGO")</f>
        <v>1057536</v>
      </c>
      <c r="E124" s="1" t="str">
        <f t="shared" si="7"/>
        <v>165</v>
      </c>
    </row>
    <row r="125" spans="1:5" x14ac:dyDescent="0.3">
      <c r="A125" s="1">
        <f t="shared" si="10"/>
        <v>119</v>
      </c>
      <c r="C125" t="str">
        <f>IFERROR(VLOOKUP(BDREGISTROAPORTES2025[[#This Row],[NROKARDEX]],BDPADRES[],8,FALSE),"Sin registrado")</f>
        <v>LIDIA GARCIA</v>
      </c>
      <c r="D125" s="1">
        <f>IFERROR(VLOOKUP(BDREGISTROAPORTES2025[[#This Row],[NROKARDEX]],Tabla3[],11,FALSE),"NO PAGO")</f>
        <v>1056897</v>
      </c>
      <c r="E125" s="1" t="str">
        <f t="shared" si="7"/>
        <v>165</v>
      </c>
    </row>
    <row r="126" spans="1:5" x14ac:dyDescent="0.3">
      <c r="A126" s="1">
        <f t="shared" si="10"/>
        <v>120</v>
      </c>
      <c r="C126" t="str">
        <f>IFERROR(VLOOKUP(BDREGISTROAPORTES2025[[#This Row],[NROKARDEX]],BDPADRES[],8,FALSE),"Sin registrado")</f>
        <v>ELVA CLAROS ORELLANA</v>
      </c>
      <c r="D126" s="1">
        <f>IFERROR(VLOOKUP(BDREGISTROAPORTES2025[[#This Row],[NROKARDEX]],Tabla3[],11,FALSE),"NO PAGO")</f>
        <v>1057515</v>
      </c>
      <c r="E126" s="1" t="str">
        <f t="shared" si="7"/>
        <v>165</v>
      </c>
    </row>
    <row r="127" spans="1:5" x14ac:dyDescent="0.3">
      <c r="A127" s="1">
        <f t="shared" si="10"/>
        <v>121</v>
      </c>
      <c r="C127" t="str">
        <f>IFERROR(VLOOKUP(BDREGISTROAPORTES2025[[#This Row],[NROKARDEX]],BDPADRES[],8,FALSE),"Sin registrado")</f>
        <v>MARIA JESUS BAIGORIA HURTADO</v>
      </c>
      <c r="D127" s="1">
        <f>IFERROR(VLOOKUP(BDREGISTROAPORTES2025[[#This Row],[NROKARDEX]],Tabla3[],11,FALSE),"NO PAGO")</f>
        <v>1056841</v>
      </c>
      <c r="E127" s="1" t="str">
        <f t="shared" si="7"/>
        <v>165</v>
      </c>
    </row>
    <row r="128" spans="1:5" x14ac:dyDescent="0.3">
      <c r="A128" s="1">
        <f t="shared" si="10"/>
        <v>122</v>
      </c>
      <c r="C128" t="str">
        <f>IFERROR(VLOOKUP(BDREGISTROAPORTES2025[[#This Row],[NROKARDEX]],BDPADRES[],8,FALSE),"Sin registrado")</f>
        <v>ILDA PIZARRO COPA</v>
      </c>
      <c r="D128" s="1">
        <f>IFERROR(VLOOKUP(BDREGISTROAPORTES2025[[#This Row],[NROKARDEX]],Tabla3[],11,FALSE),"NO PAGO")</f>
        <v>1057551</v>
      </c>
      <c r="E128" s="1" t="str">
        <f t="shared" si="7"/>
        <v>165</v>
      </c>
    </row>
    <row r="129" spans="1:5" x14ac:dyDescent="0.3">
      <c r="A129" s="1">
        <f t="shared" si="10"/>
        <v>123</v>
      </c>
      <c r="C129" t="str">
        <f>IFERROR(VLOOKUP(BDREGISTROAPORTES2025[[#This Row],[NROKARDEX]],BDPADRES[],8,FALSE),"Sin registrado")</f>
        <v>NERIA  CUBA ROMERO</v>
      </c>
      <c r="D129" s="1">
        <f>IFERROR(VLOOKUP(BDREGISTROAPORTES2025[[#This Row],[NROKARDEX]],Tabla3[],11,FALSE),"NO PAGO")</f>
        <v>1057550</v>
      </c>
      <c r="E129" s="1" t="str">
        <f t="shared" si="7"/>
        <v>165</v>
      </c>
    </row>
    <row r="130" spans="1:5" x14ac:dyDescent="0.3">
      <c r="A130" s="1">
        <f t="shared" si="10"/>
        <v>124</v>
      </c>
      <c r="C130" t="str">
        <f>IFERROR(VLOOKUP(BDREGISTROAPORTES2025[[#This Row],[NROKARDEX]],BDPADRES[],8,FALSE),"Sin registrado")</f>
        <v>MARIA ISABEL CARABALLO FLORES</v>
      </c>
      <c r="D130" s="1">
        <f>IFERROR(VLOOKUP(BDREGISTROAPORTES2025[[#This Row],[NROKARDEX]],Tabla3[],11,FALSE),"NO PAGO")</f>
        <v>1057552</v>
      </c>
      <c r="E130" s="1" t="str">
        <f t="shared" si="7"/>
        <v>165</v>
      </c>
    </row>
    <row r="131" spans="1:5" x14ac:dyDescent="0.3">
      <c r="A131" s="1">
        <f t="shared" si="10"/>
        <v>125</v>
      </c>
      <c r="C131" t="str">
        <f>IFERROR(VLOOKUP(BDREGISTROAPORTES2025[[#This Row],[NROKARDEX]],BDPADRES[],8,FALSE),"Sin registrado")</f>
        <v>JACQUELIN LILIAN FIGUEROA SARDINAS</v>
      </c>
      <c r="D131" s="1">
        <f>IFERROR(VLOOKUP(BDREGISTROAPORTES2025[[#This Row],[NROKARDEX]],Tabla3[],11,FALSE),"NO PAGO")</f>
        <v>1057568</v>
      </c>
      <c r="E131" s="1" t="str">
        <f t="shared" si="7"/>
        <v>165</v>
      </c>
    </row>
    <row r="132" spans="1:5" x14ac:dyDescent="0.3">
      <c r="A132" s="1">
        <f t="shared" si="10"/>
        <v>126</v>
      </c>
      <c r="C132" t="str">
        <f>IFERROR(VLOOKUP(BDREGISTROAPORTES2025[[#This Row],[NROKARDEX]],BDPADRES[],8,FALSE),"Sin registrado")</f>
        <v>MARICELA FLORES GALVEZ</v>
      </c>
      <c r="D132" s="1">
        <f>IFERROR(VLOOKUP(BDREGISTROAPORTES2025[[#This Row],[NROKARDEX]],Tabla3[],11,FALSE),"NO PAGO")</f>
        <v>1056831</v>
      </c>
      <c r="E132" s="1" t="str">
        <f t="shared" si="7"/>
        <v>165</v>
      </c>
    </row>
    <row r="133" spans="1:5" x14ac:dyDescent="0.3">
      <c r="A133" s="1">
        <f t="shared" si="10"/>
        <v>127</v>
      </c>
      <c r="C133" t="str">
        <f>IFERROR(VLOOKUP(BDREGISTROAPORTES2025[[#This Row],[NROKARDEX]],BDPADRES[],8,FALSE),"Sin registrado")</f>
        <v>YESSICA  PAOLA SILVESTRE CHOQUE</v>
      </c>
      <c r="D133" s="1">
        <f>IFERROR(VLOOKUP(BDREGISTROAPORTES2025[[#This Row],[NROKARDEX]],Tabla3[],11,FALSE),"NO PAGO")</f>
        <v>1055467</v>
      </c>
      <c r="E133" s="1" t="str">
        <f t="shared" si="7"/>
        <v>165</v>
      </c>
    </row>
    <row r="134" spans="1:5" x14ac:dyDescent="0.3">
      <c r="A134" s="1">
        <f t="shared" si="10"/>
        <v>128</v>
      </c>
      <c r="C134" t="str">
        <f>IFERROR(VLOOKUP(BDREGISTROAPORTES2025[[#This Row],[NROKARDEX]],BDPADRES[],8,FALSE),"Sin registrado")</f>
        <v>ANGELICA CABRERA VEIZAGA</v>
      </c>
      <c r="D134" s="1">
        <f>IFERROR(VLOOKUP(BDREGISTROAPORTES2025[[#This Row],[NROKARDEX]],Tabla3[],11,FALSE),"NO PAGO")</f>
        <v>1057516</v>
      </c>
      <c r="E134" s="1" t="str">
        <f t="shared" si="7"/>
        <v>165</v>
      </c>
    </row>
    <row r="135" spans="1:5" x14ac:dyDescent="0.3">
      <c r="A135" s="1">
        <f t="shared" si="10"/>
        <v>129</v>
      </c>
      <c r="C135" t="str">
        <f>IFERROR(VLOOKUP(BDREGISTROAPORTES2025[[#This Row],[NROKARDEX]],BDPADRES[],8,FALSE),"Sin registrado")</f>
        <v>MIREYA MARTINEZ VARGAS</v>
      </c>
      <c r="D135" s="1">
        <f>IFERROR(VLOOKUP(BDREGISTROAPORTES2025[[#This Row],[NROKARDEX]],Tabla3[],11,FALSE),"NO PAGO")</f>
        <v>1057502</v>
      </c>
      <c r="E135" s="1" t="str">
        <f t="shared" ref="E135:E198" si="11">IF(D135="NO",0,"165")</f>
        <v>165</v>
      </c>
    </row>
    <row r="136" spans="1:5" x14ac:dyDescent="0.3">
      <c r="A136" s="1">
        <f t="shared" ref="A136:A159" si="12">ROW(A130)</f>
        <v>130</v>
      </c>
      <c r="C136" t="str">
        <f>IFERROR(VLOOKUP(BDREGISTROAPORTES2025[[#This Row],[NROKARDEX]],BDPADRES[],8,FALSE),"Sin registrado")</f>
        <v>REYNA ESPINOZA LLANOS</v>
      </c>
      <c r="D136" s="1">
        <f>IFERROR(VLOOKUP(BDREGISTROAPORTES2025[[#This Row],[NROKARDEX]],Tabla3[],11,FALSE),"NO PAGO")</f>
        <v>1056872</v>
      </c>
      <c r="E136" s="1" t="str">
        <f t="shared" si="11"/>
        <v>165</v>
      </c>
    </row>
    <row r="137" spans="1:5" x14ac:dyDescent="0.3">
      <c r="A137" s="1">
        <f t="shared" si="12"/>
        <v>131</v>
      </c>
      <c r="C137" t="str">
        <f>IFERROR(VLOOKUP(BDREGISTROAPORTES2025[[#This Row],[NROKARDEX]],BDPADRES[],8,FALSE),"Sin registrado")</f>
        <v>SANTUSA LLANOS VELASQUEZ</v>
      </c>
      <c r="D137" s="1">
        <f>IFERROR(VLOOKUP(BDREGISTROAPORTES2025[[#This Row],[NROKARDEX]],Tabla3[],11,FALSE),"NO PAGO")</f>
        <v>1057512</v>
      </c>
      <c r="E137" s="1" t="str">
        <f t="shared" si="11"/>
        <v>165</v>
      </c>
    </row>
    <row r="138" spans="1:5" x14ac:dyDescent="0.3">
      <c r="A138" s="1">
        <f t="shared" si="12"/>
        <v>132</v>
      </c>
      <c r="C138" t="str">
        <f>IFERROR(VLOOKUP(BDREGISTROAPORTES2025[[#This Row],[NROKARDEX]],BDPADRES[],8,FALSE),"Sin registrado")</f>
        <v>LISETH  VEQUI MAMANI</v>
      </c>
      <c r="D138" s="1">
        <f>IFERROR(VLOOKUP(BDREGISTROAPORTES2025[[#This Row],[NROKARDEX]],Tabla3[],11,FALSE),"NO PAGO")</f>
        <v>1057412</v>
      </c>
      <c r="E138" s="1" t="str">
        <f t="shared" si="11"/>
        <v>165</v>
      </c>
    </row>
    <row r="139" spans="1:5" x14ac:dyDescent="0.3">
      <c r="A139" s="1">
        <f t="shared" si="12"/>
        <v>133</v>
      </c>
      <c r="C139" t="str">
        <f>IFERROR(VLOOKUP(BDREGISTROAPORTES2025[[#This Row],[NROKARDEX]],BDPADRES[],8,FALSE),"Sin registrado")</f>
        <v>HELEN JAEL MONTAÑO CUELLAR</v>
      </c>
      <c r="D139" s="1">
        <f>IFERROR(VLOOKUP(BDREGISTROAPORTES2025[[#This Row],[NROKARDEX]],Tabla3[],11,FALSE),"NO PAGO")</f>
        <v>1056793</v>
      </c>
      <c r="E139" s="1" t="str">
        <f t="shared" si="11"/>
        <v>165</v>
      </c>
    </row>
    <row r="140" spans="1:5" x14ac:dyDescent="0.3">
      <c r="A140" s="1">
        <f t="shared" si="12"/>
        <v>134</v>
      </c>
      <c r="C140" t="str">
        <f>IFERROR(VLOOKUP(BDREGISTROAPORTES2025[[#This Row],[NROKARDEX]],BDPADRES[],8,FALSE),"Sin registrado")</f>
        <v>ESTHER MAMANI GIRA</v>
      </c>
      <c r="D140" s="1">
        <f>IFERROR(VLOOKUP(BDREGISTROAPORTES2025[[#This Row],[NROKARDEX]],Tabla3[],11,FALSE),"NO PAGO")</f>
        <v>1057108</v>
      </c>
      <c r="E140" s="1" t="str">
        <f t="shared" si="11"/>
        <v>165</v>
      </c>
    </row>
    <row r="141" spans="1:5" x14ac:dyDescent="0.3">
      <c r="A141" s="1">
        <f t="shared" si="12"/>
        <v>135</v>
      </c>
      <c r="C141" t="str">
        <f>IFERROR(VLOOKUP(BDREGISTROAPORTES2025[[#This Row],[NROKARDEX]],BDPADRES[],8,FALSE),"Sin registrado")</f>
        <v>MARIBEL AGUADO ROJAS</v>
      </c>
      <c r="D141" s="1">
        <f>IFERROR(VLOOKUP(BDREGISTROAPORTES2025[[#This Row],[NROKARDEX]],Tabla3[],11,FALSE),"NO PAGO")</f>
        <v>1056835</v>
      </c>
      <c r="E141" s="1" t="str">
        <f t="shared" si="11"/>
        <v>165</v>
      </c>
    </row>
    <row r="142" spans="1:5" x14ac:dyDescent="0.3">
      <c r="A142" s="1">
        <f t="shared" si="12"/>
        <v>136</v>
      </c>
      <c r="C142" t="str">
        <f>IFERROR(VLOOKUP(BDREGISTROAPORTES2025[[#This Row],[NROKARDEX]],BDPADRES[],8,FALSE),"Sin registrado")</f>
        <v>YINA YILCANA CASTRO BANEGAS</v>
      </c>
      <c r="D142" s="1">
        <f>IFERROR(VLOOKUP(BDREGISTROAPORTES2025[[#This Row],[NROKARDEX]],Tabla3[],11,FALSE),"NO PAGO")</f>
        <v>1056838</v>
      </c>
      <c r="E142" s="1" t="str">
        <f t="shared" si="11"/>
        <v>165</v>
      </c>
    </row>
    <row r="143" spans="1:5" x14ac:dyDescent="0.3">
      <c r="A143" s="1">
        <f t="shared" si="12"/>
        <v>137</v>
      </c>
      <c r="C143" t="str">
        <f>IFERROR(VLOOKUP(BDREGISTROAPORTES2025[[#This Row],[NROKARDEX]],BDPADRES[],8,FALSE),"Sin registrado")</f>
        <v>MARIA ISABEL VELASQUEZ MORALES</v>
      </c>
      <c r="D143" s="1">
        <f>IFERROR(VLOOKUP(BDREGISTROAPORTES2025[[#This Row],[NROKARDEX]],Tabla3[],11,FALSE),"NO PAGO")</f>
        <v>1057493</v>
      </c>
      <c r="E143" s="1" t="str">
        <f t="shared" si="11"/>
        <v>165</v>
      </c>
    </row>
    <row r="144" spans="1:5" x14ac:dyDescent="0.3">
      <c r="A144" s="1">
        <f t="shared" si="12"/>
        <v>138</v>
      </c>
      <c r="C144" t="str">
        <f>IFERROR(VLOOKUP(BDREGISTROAPORTES2025[[#This Row],[NROKARDEX]],BDPADRES[],8,FALSE),"Sin registrado")</f>
        <v>MARY LUZ LEIVA MARTINEZ</v>
      </c>
      <c r="D144" s="1" t="str">
        <f>IFERROR(VLOOKUP(BDREGISTROAPORTES2025[[#This Row],[NROKARDEX]],Tabla3[],11,FALSE),"NO PAGO")</f>
        <v>201K644437</v>
      </c>
      <c r="E144" s="1" t="str">
        <f t="shared" si="11"/>
        <v>165</v>
      </c>
    </row>
    <row r="145" spans="1:5" x14ac:dyDescent="0.3">
      <c r="A145" s="1">
        <f t="shared" si="12"/>
        <v>139</v>
      </c>
      <c r="C145" t="str">
        <f>IFERROR(VLOOKUP(BDREGISTROAPORTES2025[[#This Row],[NROKARDEX]],BDPADRES[],8,FALSE),"Sin registrado")</f>
        <v>JUANA CONDORI PATZI</v>
      </c>
      <c r="D145" s="1">
        <f>IFERROR(VLOOKUP(BDREGISTROAPORTES2025[[#This Row],[NROKARDEX]],Tabla3[],11,FALSE),"NO PAGO")</f>
        <v>1057217</v>
      </c>
      <c r="E145" s="1" t="str">
        <f t="shared" si="11"/>
        <v>165</v>
      </c>
    </row>
    <row r="146" spans="1:5" x14ac:dyDescent="0.3">
      <c r="A146" s="1">
        <f t="shared" si="12"/>
        <v>140</v>
      </c>
      <c r="C146" t="str">
        <f>IFERROR(VLOOKUP(BDREGISTROAPORTES2025[[#This Row],[NROKARDEX]],BDPADRES[],8,FALSE),"Sin registrado")</f>
        <v>FIORELA PADILLA MONTAÑO</v>
      </c>
      <c r="D146" s="1">
        <f>IFERROR(VLOOKUP(BDREGISTROAPORTES2025[[#This Row],[NROKARDEX]],Tabla3[],11,FALSE),"NO PAGO")</f>
        <v>1057454</v>
      </c>
      <c r="E146" s="1" t="str">
        <f t="shared" si="11"/>
        <v>165</v>
      </c>
    </row>
    <row r="147" spans="1:5" x14ac:dyDescent="0.3">
      <c r="A147" s="1">
        <f t="shared" si="12"/>
        <v>141</v>
      </c>
      <c r="C147" t="str">
        <f>IFERROR(VLOOKUP(BDREGISTROAPORTES2025[[#This Row],[NROKARDEX]],BDPADRES[],8,FALSE),"Sin registrado")</f>
        <v>MIRTA JACINTA ASILLO MAMANI</v>
      </c>
      <c r="D147" s="1">
        <f>IFERROR(VLOOKUP(BDREGISTROAPORTES2025[[#This Row],[NROKARDEX]],Tabla3[],11,FALSE),"NO PAGO")</f>
        <v>1057303</v>
      </c>
      <c r="E147" s="1" t="str">
        <f t="shared" si="11"/>
        <v>165</v>
      </c>
    </row>
    <row r="148" spans="1:5" x14ac:dyDescent="0.3">
      <c r="A148" s="1">
        <f t="shared" si="12"/>
        <v>142</v>
      </c>
      <c r="C148" t="str">
        <f>IFERROR(VLOOKUP(BDREGISTROAPORTES2025[[#This Row],[NROKARDEX]],BDPADRES[],8,FALSE),"Sin registrado")</f>
        <v>MARIA ESTEFANI QUIROZ GONZALES</v>
      </c>
      <c r="D148" s="1">
        <f>IFERROR(VLOOKUP(BDREGISTROAPORTES2025[[#This Row],[NROKARDEX]],Tabla3[],11,FALSE),"NO PAGO")</f>
        <v>1057431</v>
      </c>
      <c r="E148" s="1" t="str">
        <f t="shared" si="11"/>
        <v>165</v>
      </c>
    </row>
    <row r="149" spans="1:5" x14ac:dyDescent="0.3">
      <c r="A149" s="1">
        <f t="shared" si="12"/>
        <v>143</v>
      </c>
      <c r="C149" t="str">
        <f>IFERROR(VLOOKUP(BDREGISTROAPORTES2025[[#This Row],[NROKARDEX]],BDPADRES[],8,FALSE),"Sin registrado")</f>
        <v>FAUSTA CONDORI YARHUI</v>
      </c>
      <c r="D149" s="1">
        <f>IFERROR(VLOOKUP(BDREGISTROAPORTES2025[[#This Row],[NROKARDEX]],Tabla3[],11,FALSE),"NO PAGO")</f>
        <v>1056176</v>
      </c>
      <c r="E149" s="1" t="str">
        <f t="shared" si="11"/>
        <v>165</v>
      </c>
    </row>
    <row r="150" spans="1:5" x14ac:dyDescent="0.3">
      <c r="A150" s="1">
        <f t="shared" si="12"/>
        <v>144</v>
      </c>
      <c r="C150" t="str">
        <f>IFERROR(VLOOKUP(BDREGISTROAPORTES2025[[#This Row],[NROKARDEX]],BDPADRES[],8,FALSE),"Sin registrado")</f>
        <v>SENAIDA MARTINEZ CHOQUE</v>
      </c>
      <c r="D150" s="1">
        <f>IFERROR(VLOOKUP(BDREGISTROAPORTES2025[[#This Row],[NROKARDEX]],Tabla3[],11,FALSE),"NO PAGO")</f>
        <v>1057579</v>
      </c>
      <c r="E150" s="1" t="str">
        <f t="shared" si="11"/>
        <v>165</v>
      </c>
    </row>
    <row r="151" spans="1:5" x14ac:dyDescent="0.3">
      <c r="A151" s="1">
        <f t="shared" si="12"/>
        <v>145</v>
      </c>
      <c r="C151" t="str">
        <f>IFERROR(VLOOKUP(BDREGISTROAPORTES2025[[#This Row],[NROKARDEX]],BDPADRES[],8,FALSE),"Sin registrado")</f>
        <v>ESTHER MORON YEPEZ</v>
      </c>
      <c r="D151" s="1">
        <f>IFERROR(VLOOKUP(BDREGISTROAPORTES2025[[#This Row],[NROKARDEX]],Tabla3[],11,FALSE),"NO PAGO")</f>
        <v>949889</v>
      </c>
      <c r="E151" s="1" t="str">
        <f t="shared" si="11"/>
        <v>165</v>
      </c>
    </row>
    <row r="152" spans="1:5" x14ac:dyDescent="0.3">
      <c r="A152" s="1">
        <f t="shared" si="12"/>
        <v>146</v>
      </c>
      <c r="C152" t="str">
        <f>IFERROR(VLOOKUP(BDREGISTROAPORTES2025[[#This Row],[NROKARDEX]],BDPADRES[],8,FALSE),"Sin registrado")</f>
        <v>LAURA OLLISCO SALAZAR</v>
      </c>
      <c r="D152" s="1">
        <f>IFERROR(VLOOKUP(BDREGISTROAPORTES2025[[#This Row],[NROKARDEX]],Tabla3[],11,FALSE),"NO PAGO")</f>
        <v>1057572</v>
      </c>
      <c r="E152" s="1" t="str">
        <f t="shared" si="11"/>
        <v>165</v>
      </c>
    </row>
    <row r="153" spans="1:5" x14ac:dyDescent="0.3">
      <c r="A153" s="1">
        <f t="shared" si="12"/>
        <v>147</v>
      </c>
      <c r="C153" t="str">
        <f>IFERROR(VLOOKUP(BDREGISTROAPORTES2025[[#This Row],[NROKARDEX]],BDPADRES[],8,FALSE),"Sin registrado")</f>
        <v>RAQUEL FERNANDEZ CESPEDES</v>
      </c>
      <c r="D153" s="1">
        <f>IFERROR(VLOOKUP(BDREGISTROAPORTES2025[[#This Row],[NROKARDEX]],Tabla3[],11,FALSE),"NO PAGO")</f>
        <v>1057494</v>
      </c>
      <c r="E153" s="1" t="str">
        <f t="shared" si="11"/>
        <v>165</v>
      </c>
    </row>
    <row r="154" spans="1:5" x14ac:dyDescent="0.3">
      <c r="A154" s="1">
        <f t="shared" si="12"/>
        <v>148</v>
      </c>
      <c r="C154" t="str">
        <f>IFERROR(VLOOKUP(BDREGISTROAPORTES2025[[#This Row],[NROKARDEX]],BDPADRES[],8,FALSE),"Sin registrado")</f>
        <v>MARGARITA SARDAN ROMERO</v>
      </c>
      <c r="D154" s="1">
        <f>IFERROR(VLOOKUP(BDREGISTROAPORTES2025[[#This Row],[NROKARDEX]],Tabla3[],11,FALSE),"NO PAGO")</f>
        <v>1057019</v>
      </c>
      <c r="E154" s="1" t="str">
        <f t="shared" si="11"/>
        <v>165</v>
      </c>
    </row>
    <row r="155" spans="1:5" x14ac:dyDescent="0.3">
      <c r="A155" s="1">
        <f t="shared" si="12"/>
        <v>149</v>
      </c>
      <c r="C155" t="str">
        <f>IFERROR(VLOOKUP(BDREGISTROAPORTES2025[[#This Row],[NROKARDEX]],BDPADRES[],8,FALSE),"Sin registrado")</f>
        <v>KATHERINE TERCEROS LINO</v>
      </c>
      <c r="D155" s="1">
        <f>IFERROR(VLOOKUP(BDREGISTROAPORTES2025[[#This Row],[NROKARDEX]],Tabla3[],11,FALSE),"NO PAGO")</f>
        <v>1057001</v>
      </c>
      <c r="E155" s="1" t="str">
        <f t="shared" si="11"/>
        <v>165</v>
      </c>
    </row>
    <row r="156" spans="1:5" x14ac:dyDescent="0.3">
      <c r="A156" s="1">
        <f t="shared" si="12"/>
        <v>150</v>
      </c>
      <c r="C156" t="str">
        <f>IFERROR(VLOOKUP(BDREGISTROAPORTES2025[[#This Row],[NROKARDEX]],BDPADRES[],8,FALSE),"Sin registrado")</f>
        <v>NELVY QUISPE LOPEZ</v>
      </c>
      <c r="D156" s="1">
        <f>IFERROR(VLOOKUP(BDREGISTROAPORTES2025[[#This Row],[NROKARDEX]],Tabla3[],11,FALSE),"NO PAGO")</f>
        <v>1056939</v>
      </c>
      <c r="E156" s="1" t="str">
        <f t="shared" si="11"/>
        <v>165</v>
      </c>
    </row>
    <row r="157" spans="1:5" x14ac:dyDescent="0.3">
      <c r="A157" s="1">
        <f t="shared" si="12"/>
        <v>151</v>
      </c>
      <c r="C157" t="str">
        <f>IFERROR(VLOOKUP(BDREGISTROAPORTES2025[[#This Row],[NROKARDEX]],BDPADRES[],8,FALSE),"Sin registrado")</f>
        <v>SAIDA MENDOZA FLORES</v>
      </c>
      <c r="D157" s="1">
        <f>IFERROR(VLOOKUP(BDREGISTROAPORTES2025[[#This Row],[NROKARDEX]],Tabla3[],11,FALSE),"NO PAGO")</f>
        <v>1057350</v>
      </c>
      <c r="E157" s="1" t="str">
        <f t="shared" si="11"/>
        <v>165</v>
      </c>
    </row>
    <row r="158" spans="1:5" x14ac:dyDescent="0.3">
      <c r="A158" s="1">
        <f t="shared" si="12"/>
        <v>152</v>
      </c>
      <c r="C158" t="str">
        <f>IFERROR(VLOOKUP(BDREGISTROAPORTES2025[[#This Row],[NROKARDEX]],BDPADRES[],8,FALSE),"Sin registrado")</f>
        <v>MARTINA BARJA CACERES</v>
      </c>
      <c r="D158" s="1">
        <f>IFERROR(VLOOKUP(BDREGISTROAPORTES2025[[#This Row],[NROKARDEX]],Tabla3[],11,FALSE),"NO PAGO")</f>
        <v>1057272</v>
      </c>
      <c r="E158" s="1" t="str">
        <f t="shared" si="11"/>
        <v>165</v>
      </c>
    </row>
    <row r="159" spans="1:5" x14ac:dyDescent="0.3">
      <c r="A159" s="1">
        <f t="shared" si="12"/>
        <v>153</v>
      </c>
      <c r="C159" t="str">
        <f>IFERROR(VLOOKUP(BDREGISTROAPORTES2025[[#This Row],[NROKARDEX]],BDPADRES[],8,FALSE),"Sin registrado")</f>
        <v>ELENA JUDITH AGUADO TORREZ</v>
      </c>
      <c r="D159" s="1">
        <f>IFERROR(VLOOKUP(BDREGISTROAPORTES2025[[#This Row],[NROKARDEX]],Tabla3[],11,FALSE),"NO PAGO")</f>
        <v>1056874</v>
      </c>
      <c r="E159" s="1" t="str">
        <f t="shared" si="11"/>
        <v>165</v>
      </c>
    </row>
    <row r="160" spans="1:5" x14ac:dyDescent="0.3">
      <c r="A160" s="1">
        <f t="shared" ref="A160:A171" si="13">ROW(A154)</f>
        <v>154</v>
      </c>
      <c r="C160" t="str">
        <f>IFERROR(VLOOKUP(BDREGISTROAPORTES2025[[#This Row],[NROKARDEX]],BDPADRES[],8,FALSE),"Sin registrado")</f>
        <v>SEVERA RIVADENEIRA CRUZ</v>
      </c>
      <c r="D160" s="1">
        <f>IFERROR(VLOOKUP(BDREGISTROAPORTES2025[[#This Row],[NROKARDEX]],Tabla3[],11,FALSE),"NO PAGO")</f>
        <v>1057002</v>
      </c>
      <c r="E160" s="1" t="str">
        <f t="shared" si="11"/>
        <v>165</v>
      </c>
    </row>
    <row r="161" spans="1:5" x14ac:dyDescent="0.3">
      <c r="A161" s="1">
        <f t="shared" si="13"/>
        <v>155</v>
      </c>
      <c r="C161" t="str">
        <f>IFERROR(VLOOKUP(BDREGISTROAPORTES2025[[#This Row],[NROKARDEX]],BDPADRES[],8,FALSE),"Sin registrado")</f>
        <v>ABIGAIL DURAN FLORES</v>
      </c>
      <c r="D161" s="1">
        <f>IFERROR(VLOOKUP(BDREGISTROAPORTES2025[[#This Row],[NROKARDEX]],Tabla3[],11,FALSE),"NO PAGO")</f>
        <v>1057004</v>
      </c>
      <c r="E161" s="1" t="str">
        <f t="shared" si="11"/>
        <v>165</v>
      </c>
    </row>
    <row r="162" spans="1:5" x14ac:dyDescent="0.3">
      <c r="A162" s="1">
        <f t="shared" si="13"/>
        <v>156</v>
      </c>
      <c r="C162" t="str">
        <f>IFERROR(VLOOKUP(BDREGISTROAPORTES2025[[#This Row],[NROKARDEX]],BDPADRES[],8,FALSE),"Sin registrado")</f>
        <v>GRACIELA ORELLANA RISUEÑO</v>
      </c>
      <c r="D162" s="1" t="str">
        <f>IFERROR(VLOOKUP(BDREGISTROAPORTES2025[[#This Row],[NROKARDEX]],Tabla3[],11,FALSE),"NO PAGO")</f>
        <v>21012025
/295/140
/660/0412</v>
      </c>
      <c r="E162" s="1" t="str">
        <f t="shared" si="11"/>
        <v>165</v>
      </c>
    </row>
    <row r="163" spans="1:5" x14ac:dyDescent="0.3">
      <c r="A163" s="1">
        <f t="shared" si="13"/>
        <v>157</v>
      </c>
      <c r="C163" t="str">
        <f>IFERROR(VLOOKUP(BDREGISTROAPORTES2025[[#This Row],[NROKARDEX]],BDPADRES[],8,FALSE),"Sin registrado")</f>
        <v>ELBA ROJAS MORALES</v>
      </c>
      <c r="D163" s="1">
        <f>IFERROR(VLOOKUP(BDREGISTROAPORTES2025[[#This Row],[NROKARDEX]],Tabla3[],11,FALSE),"NO PAGO")</f>
        <v>1057711</v>
      </c>
      <c r="E163" s="1" t="str">
        <f t="shared" si="11"/>
        <v>165</v>
      </c>
    </row>
    <row r="164" spans="1:5" x14ac:dyDescent="0.3">
      <c r="A164" s="1">
        <f t="shared" si="13"/>
        <v>158</v>
      </c>
      <c r="C164" t="str">
        <f>IFERROR(VLOOKUP(BDREGISTROAPORTES2025[[#This Row],[NROKARDEX]],BDPADRES[],8,FALSE),"Sin registrado")</f>
        <v>Sin registrado</v>
      </c>
      <c r="D164" s="1" t="str">
        <f>IFERROR(VLOOKUP(BDREGISTROAPORTES2025[[#This Row],[NROKARDEX]],Tabla3[],11,FALSE),"NO PAGO")</f>
        <v>NO PAGO</v>
      </c>
      <c r="E164" s="1">
        <v>0</v>
      </c>
    </row>
    <row r="165" spans="1:5" x14ac:dyDescent="0.3">
      <c r="A165" s="1">
        <f t="shared" si="13"/>
        <v>159</v>
      </c>
      <c r="C165" t="str">
        <f>IFERROR(VLOOKUP(BDREGISTROAPORTES2025[[#This Row],[NROKARDEX]],BDPADRES[],8,FALSE),"Sin registrado")</f>
        <v>CLARITA SLEN ALVAREZ ROJAS</v>
      </c>
      <c r="D165" s="1">
        <f>IFERROR(VLOOKUP(BDREGISTROAPORTES2025[[#This Row],[NROKARDEX]],Tabla3[],11,FALSE),"NO PAGO")</f>
        <v>1057315</v>
      </c>
      <c r="E165" s="1" t="str">
        <f t="shared" si="11"/>
        <v>165</v>
      </c>
    </row>
    <row r="166" spans="1:5" x14ac:dyDescent="0.3">
      <c r="A166" s="1">
        <f t="shared" si="13"/>
        <v>160</v>
      </c>
      <c r="C166" t="str">
        <f>IFERROR(VLOOKUP(BDREGISTROAPORTES2025[[#This Row],[NROKARDEX]],BDPADRES[],8,FALSE),"Sin registrado")</f>
        <v>ANA EVELIN ESPINOZA FARREL</v>
      </c>
      <c r="D166" s="1">
        <f>IFERROR(VLOOKUP(BDREGISTROAPORTES2025[[#This Row],[NROKARDEX]],Tabla3[],11,FALSE),"NO PAGO")</f>
        <v>1057530</v>
      </c>
      <c r="E166" s="1" t="str">
        <f t="shared" si="11"/>
        <v>165</v>
      </c>
    </row>
    <row r="167" spans="1:5" x14ac:dyDescent="0.3">
      <c r="A167" s="1">
        <f t="shared" si="13"/>
        <v>161</v>
      </c>
      <c r="C167" t="str">
        <f>IFERROR(VLOOKUP(BDREGISTROAPORTES2025[[#This Row],[NROKARDEX]],BDPADRES[],8,FALSE),"Sin registrado")</f>
        <v>LUANA WILMA ZAMBRANA ARANHA</v>
      </c>
      <c r="D167" s="1">
        <f>IFERROR(VLOOKUP(BDREGISTROAPORTES2025[[#This Row],[NROKARDEX]],Tabla3[],11,FALSE),"NO PAGO")</f>
        <v>1057608</v>
      </c>
      <c r="E167" s="1" t="str">
        <f t="shared" si="11"/>
        <v>165</v>
      </c>
    </row>
    <row r="168" spans="1:5" x14ac:dyDescent="0.3">
      <c r="A168" s="1">
        <f t="shared" si="13"/>
        <v>162</v>
      </c>
      <c r="C168" t="str">
        <f>IFERROR(VLOOKUP(BDREGISTROAPORTES2025[[#This Row],[NROKARDEX]],BDPADRES[],8,FALSE),"Sin registrado")</f>
        <v>MIRIAM  CUETO SORUCO</v>
      </c>
      <c r="D168" s="1">
        <f>IFERROR(VLOOKUP(BDREGISTROAPORTES2025[[#This Row],[NROKARDEX]],Tabla3[],11,FALSE),"NO PAGO")</f>
        <v>1057684</v>
      </c>
      <c r="E168" s="1" t="str">
        <f t="shared" si="11"/>
        <v>165</v>
      </c>
    </row>
    <row r="169" spans="1:5" x14ac:dyDescent="0.3">
      <c r="A169" s="1">
        <f t="shared" si="13"/>
        <v>163</v>
      </c>
      <c r="C169" t="str">
        <f>IFERROR(VLOOKUP(BDREGISTROAPORTES2025[[#This Row],[NROKARDEX]],BDPADRES[],8,FALSE),"Sin registrado")</f>
        <v>ROSA LENNY ZAPATA RODRIGUEZ</v>
      </c>
      <c r="D169" s="1">
        <f>IFERROR(VLOOKUP(BDREGISTROAPORTES2025[[#This Row],[NROKARDEX]],Tabla3[],11,FALSE),"NO PAGO")</f>
        <v>1057671</v>
      </c>
      <c r="E169" s="1" t="str">
        <f t="shared" si="11"/>
        <v>165</v>
      </c>
    </row>
    <row r="170" spans="1:5" x14ac:dyDescent="0.3">
      <c r="A170" s="1">
        <f t="shared" si="13"/>
        <v>164</v>
      </c>
      <c r="C170" t="str">
        <f>IFERROR(VLOOKUP(BDREGISTROAPORTES2025[[#This Row],[NROKARDEX]],BDPADRES[],8,FALSE),"Sin registrado")</f>
        <v>MARITZA PEREYRA CABRERA</v>
      </c>
      <c r="D170" s="1">
        <f>IFERROR(VLOOKUP(BDREGISTROAPORTES2025[[#This Row],[NROKARDEX]],Tabla3[],11,FALSE),"NO PAGO")</f>
        <v>1055320</v>
      </c>
      <c r="E170" s="1" t="str">
        <f t="shared" si="11"/>
        <v>165</v>
      </c>
    </row>
    <row r="171" spans="1:5" x14ac:dyDescent="0.3">
      <c r="A171" s="1">
        <f t="shared" si="13"/>
        <v>165</v>
      </c>
      <c r="C171" t="str">
        <f>IFERROR(VLOOKUP(BDREGISTROAPORTES2025[[#This Row],[NROKARDEX]],BDPADRES[],8,FALSE),"Sin registrado")</f>
        <v>NOHEMI GUZMAN GUZMAN</v>
      </c>
      <c r="D171" s="1">
        <f>IFERROR(VLOOKUP(BDREGISTROAPORTES2025[[#This Row],[NROKARDEX]],Tabla3[],11,FALSE),"NO PAGO")</f>
        <v>1057681</v>
      </c>
      <c r="E171" s="1" t="str">
        <f t="shared" si="11"/>
        <v>165</v>
      </c>
    </row>
    <row r="172" spans="1:5" x14ac:dyDescent="0.3">
      <c r="A172" s="1">
        <f t="shared" ref="A172:A190" si="14">ROW(A166)</f>
        <v>166</v>
      </c>
      <c r="C172" t="str">
        <f>IFERROR(VLOOKUP(BDREGISTROAPORTES2025[[#This Row],[NROKARDEX]],BDPADRES[],8,FALSE),"Sin registrado")</f>
        <v>PAULINA SANDOVAL GONZALES</v>
      </c>
      <c r="D172" s="1">
        <f>IFERROR(VLOOKUP(BDREGISTROAPORTES2025[[#This Row],[NROKARDEX]],Tabla3[],11,FALSE),"NO PAGO")</f>
        <v>1057569</v>
      </c>
      <c r="E172" s="1" t="str">
        <f t="shared" si="11"/>
        <v>165</v>
      </c>
    </row>
    <row r="173" spans="1:5" x14ac:dyDescent="0.3">
      <c r="A173" s="1">
        <f t="shared" si="14"/>
        <v>167</v>
      </c>
      <c r="C173" t="str">
        <f>IFERROR(VLOOKUP(BDREGISTROAPORTES2025[[#This Row],[NROKARDEX]],BDPADRES[],8,FALSE),"Sin registrado")</f>
        <v>FRANCISCA  CRUZ ARAUZ</v>
      </c>
      <c r="D173" s="1">
        <f>IFERROR(VLOOKUP(BDREGISTROAPORTES2025[[#This Row],[NROKARDEX]],Tabla3[],11,FALSE),"NO PAGO")</f>
        <v>1056007</v>
      </c>
      <c r="E173" s="1" t="str">
        <f t="shared" si="11"/>
        <v>165</v>
      </c>
    </row>
    <row r="174" spans="1:5" x14ac:dyDescent="0.3">
      <c r="A174" s="1">
        <f t="shared" si="14"/>
        <v>168</v>
      </c>
      <c r="C174" t="str">
        <f>IFERROR(VLOOKUP(BDREGISTROAPORTES2025[[#This Row],[NROKARDEX]],BDPADRES[],8,FALSE),"Sin registrado")</f>
        <v>LEANDRA JOSE ROJAS</v>
      </c>
      <c r="D174" s="1">
        <f>IFERROR(VLOOKUP(BDREGISTROAPORTES2025[[#This Row],[NROKARDEX]],Tabla3[],11,FALSE),"NO PAGO")</f>
        <v>1057600</v>
      </c>
      <c r="E174" s="1" t="str">
        <f t="shared" si="11"/>
        <v>165</v>
      </c>
    </row>
    <row r="175" spans="1:5" x14ac:dyDescent="0.3">
      <c r="A175" s="1">
        <f t="shared" si="14"/>
        <v>169</v>
      </c>
      <c r="C175" t="str">
        <f>IFERROR(VLOOKUP(BDREGISTROAPORTES2025[[#This Row],[NROKARDEX]],BDPADRES[],8,FALSE),"Sin registrado")</f>
        <v>DIANA RAPU NOZA</v>
      </c>
      <c r="D175" s="1">
        <f>IFERROR(VLOOKUP(BDREGISTROAPORTES2025[[#This Row],[NROKARDEX]],Tabla3[],11,FALSE),"NO PAGO")</f>
        <v>1057702</v>
      </c>
      <c r="E175" s="1" t="str">
        <f t="shared" si="11"/>
        <v>165</v>
      </c>
    </row>
    <row r="176" spans="1:5" x14ac:dyDescent="0.3">
      <c r="A176" s="1">
        <f t="shared" si="14"/>
        <v>170</v>
      </c>
      <c r="C176" t="str">
        <f>IFERROR(VLOOKUP(BDREGISTROAPORTES2025[[#This Row],[NROKARDEX]],BDPADRES[],8,FALSE),"Sin registrado")</f>
        <v>BENITA TECO MORON</v>
      </c>
      <c r="D176" s="1">
        <f>IFERROR(VLOOKUP(BDREGISTROAPORTES2025[[#This Row],[NROKARDEX]],Tabla3[],11,FALSE),"NO PAGO")</f>
        <v>1057658</v>
      </c>
      <c r="E176" s="1" t="str">
        <f t="shared" si="11"/>
        <v>165</v>
      </c>
    </row>
    <row r="177" spans="1:5" x14ac:dyDescent="0.3">
      <c r="A177" s="1">
        <f t="shared" si="14"/>
        <v>171</v>
      </c>
      <c r="C177" t="str">
        <f>IFERROR(VLOOKUP(BDREGISTROAPORTES2025[[#This Row],[NROKARDEX]],BDPADRES[],8,FALSE),"Sin registrado")</f>
        <v>MARIELA PEREZ MANCILLA</v>
      </c>
      <c r="D177" s="1">
        <f>IFERROR(VLOOKUP(BDREGISTROAPORTES2025[[#This Row],[NROKARDEX]],Tabla3[],11,FALSE),"NO PAGO")</f>
        <v>1056718</v>
      </c>
      <c r="E177" s="1" t="str">
        <f t="shared" si="11"/>
        <v>165</v>
      </c>
    </row>
    <row r="178" spans="1:5" x14ac:dyDescent="0.3">
      <c r="A178" s="1">
        <f t="shared" si="14"/>
        <v>172</v>
      </c>
      <c r="C178" t="str">
        <f>IFERROR(VLOOKUP(BDREGISTROAPORTES2025[[#This Row],[NROKARDEX]],BDPADRES[],8,FALSE),"Sin registrado")</f>
        <v>VICTORIA FLORES MENDOZA</v>
      </c>
      <c r="D178" s="1">
        <f>IFERROR(VLOOKUP(BDREGISTROAPORTES2025[[#This Row],[NROKARDEX]],Tabla3[],11,FALSE),"NO PAGO")</f>
        <v>1057685</v>
      </c>
      <c r="E178" s="1" t="str">
        <f t="shared" si="11"/>
        <v>165</v>
      </c>
    </row>
    <row r="179" spans="1:5" x14ac:dyDescent="0.3">
      <c r="A179" s="1">
        <f t="shared" si="14"/>
        <v>173</v>
      </c>
      <c r="C179" t="str">
        <f>IFERROR(VLOOKUP(BDREGISTROAPORTES2025[[#This Row],[NROKARDEX]],BDPADRES[],8,FALSE),"Sin registrado")</f>
        <v>CLAUDIA JHANET CARRISALES GUTIERRES</v>
      </c>
      <c r="D179" s="1">
        <f>IFERROR(VLOOKUP(BDREGISTROAPORTES2025[[#This Row],[NROKARDEX]],Tabla3[],11,FALSE),"NO PAGO")</f>
        <v>1057232</v>
      </c>
      <c r="E179" s="1" t="str">
        <f t="shared" si="11"/>
        <v>165</v>
      </c>
    </row>
    <row r="180" spans="1:5" x14ac:dyDescent="0.3">
      <c r="A180" s="1">
        <f t="shared" si="14"/>
        <v>174</v>
      </c>
      <c r="C180" t="str">
        <f>IFERROR(VLOOKUP(BDREGISTROAPORTES2025[[#This Row],[NROKARDEX]],BDPADRES[],8,FALSE),"Sin registrado")</f>
        <v>YOSELIN MERCADO GONZALES</v>
      </c>
      <c r="D180" s="1">
        <f>IFERROR(VLOOKUP(BDREGISTROAPORTES2025[[#This Row],[NROKARDEX]],Tabla3[],11,FALSE),"NO PAGO")</f>
        <v>1057726</v>
      </c>
      <c r="E180" s="1" t="str">
        <f t="shared" si="11"/>
        <v>165</v>
      </c>
    </row>
    <row r="181" spans="1:5" x14ac:dyDescent="0.3">
      <c r="A181" s="1">
        <f t="shared" si="14"/>
        <v>175</v>
      </c>
      <c r="C181" t="str">
        <f>IFERROR(VLOOKUP(BDREGISTROAPORTES2025[[#This Row],[NROKARDEX]],BDPADRES[],8,FALSE),"Sin registrado")</f>
        <v>ELISABED MAMANI ANCASI</v>
      </c>
      <c r="D181" s="1">
        <f>IFERROR(VLOOKUP(BDREGISTROAPORTES2025[[#This Row],[NROKARDEX]],Tabla3[],11,FALSE),"NO PAGO")</f>
        <v>1057307</v>
      </c>
      <c r="E181" s="1" t="str">
        <f t="shared" si="11"/>
        <v>165</v>
      </c>
    </row>
    <row r="182" spans="1:5" x14ac:dyDescent="0.3">
      <c r="A182" s="1">
        <f t="shared" si="14"/>
        <v>176</v>
      </c>
      <c r="C182" t="str">
        <f>IFERROR(VLOOKUP(BDREGISTROAPORTES2025[[#This Row],[NROKARDEX]],BDPADRES[],8,FALSE),"Sin registrado")</f>
        <v>ELIZABETH AVILA ORTUÑO</v>
      </c>
      <c r="D182" s="1">
        <f>IFERROR(VLOOKUP(BDREGISTROAPORTES2025[[#This Row],[NROKARDEX]],Tabla3[],11,FALSE),"NO PAGO")</f>
        <v>1057609</v>
      </c>
      <c r="E182" s="1" t="str">
        <f t="shared" si="11"/>
        <v>165</v>
      </c>
    </row>
    <row r="183" spans="1:5" x14ac:dyDescent="0.3">
      <c r="A183" s="1">
        <f t="shared" si="14"/>
        <v>177</v>
      </c>
      <c r="C183" t="str">
        <f>IFERROR(VLOOKUP(BDREGISTROAPORTES2025[[#This Row],[NROKARDEX]],BDPADRES[],8,FALSE),"Sin registrado")</f>
        <v>CARLA PATRICIA LLANOS ESCOBAR</v>
      </c>
      <c r="D183" s="1">
        <f>IFERROR(VLOOKUP(BDREGISTROAPORTES2025[[#This Row],[NROKARDEX]],Tabla3[],11,FALSE),"NO PAGO")</f>
        <v>1056493</v>
      </c>
      <c r="E183" s="1" t="str">
        <f t="shared" si="11"/>
        <v>165</v>
      </c>
    </row>
    <row r="184" spans="1:5" x14ac:dyDescent="0.3">
      <c r="A184" s="1">
        <f t="shared" si="14"/>
        <v>178</v>
      </c>
      <c r="C184" t="str">
        <f>IFERROR(VLOOKUP(BDREGISTROAPORTES2025[[#This Row],[NROKARDEX]],BDPADRES[],8,FALSE),"Sin registrado")</f>
        <v>JULIETA MOLLO CONDORI</v>
      </c>
      <c r="D184" s="1">
        <f>IFERROR(VLOOKUP(BDREGISTROAPORTES2025[[#This Row],[NROKARDEX]],Tabla3[],11,FALSE),"NO PAGO")</f>
        <v>1057729</v>
      </c>
      <c r="E184" s="1" t="str">
        <f t="shared" si="11"/>
        <v>165</v>
      </c>
    </row>
    <row r="185" spans="1:5" x14ac:dyDescent="0.3">
      <c r="A185" s="1">
        <f t="shared" si="14"/>
        <v>179</v>
      </c>
      <c r="C185" t="str">
        <f>IFERROR(VLOOKUP(BDREGISTROAPORTES2025[[#This Row],[NROKARDEX]],BDPADRES[],8,FALSE),"Sin registrado")</f>
        <v>ELEONORA MAMANI RODRIGUEZ</v>
      </c>
      <c r="D185" s="1">
        <f>IFERROR(VLOOKUP(BDREGISTROAPORTES2025[[#This Row],[NROKARDEX]],Tabla3[],11,FALSE),"NO PAGO")</f>
        <v>1057237</v>
      </c>
      <c r="E185" s="1" t="str">
        <f t="shared" si="11"/>
        <v>165</v>
      </c>
    </row>
    <row r="186" spans="1:5" x14ac:dyDescent="0.3">
      <c r="A186" s="1">
        <f t="shared" si="14"/>
        <v>180</v>
      </c>
      <c r="C186" t="str">
        <f>IFERROR(VLOOKUP(BDREGISTROAPORTES2025[[#This Row],[NROKARDEX]],BDPADRES[],8,FALSE),"Sin registrado")</f>
        <v>FILOMENA RODRIGUEZ MORALES</v>
      </c>
      <c r="D186" s="1">
        <f>IFERROR(VLOOKUP(BDREGISTROAPORTES2025[[#This Row],[NROKARDEX]],Tabla3[],11,FALSE),"NO PAGO")</f>
        <v>1057750</v>
      </c>
      <c r="E186" s="1" t="str">
        <f t="shared" si="11"/>
        <v>165</v>
      </c>
    </row>
    <row r="187" spans="1:5" x14ac:dyDescent="0.3">
      <c r="A187" s="1">
        <f t="shared" si="14"/>
        <v>181</v>
      </c>
      <c r="C187" t="str">
        <f>IFERROR(VLOOKUP(BDREGISTROAPORTES2025[[#This Row],[NROKARDEX]],BDPADRES[],8,FALSE),"Sin registrado")</f>
        <v>YAQUELIN CHAVEZ AYAVIRI</v>
      </c>
      <c r="D187" s="1">
        <f>IFERROR(VLOOKUP(BDREGISTROAPORTES2025[[#This Row],[NROKARDEX]],Tabla3[],11,FALSE),"NO PAGO")</f>
        <v>1057627</v>
      </c>
      <c r="E187" s="1" t="str">
        <f t="shared" si="11"/>
        <v>165</v>
      </c>
    </row>
    <row r="188" spans="1:5" x14ac:dyDescent="0.3">
      <c r="A188" s="1">
        <f t="shared" si="14"/>
        <v>182</v>
      </c>
      <c r="C188" t="str">
        <f>IFERROR(VLOOKUP(BDREGISTROAPORTES2025[[#This Row],[NROKARDEX]],BDPADRES[],8,FALSE),"Sin registrado")</f>
        <v>FRANCISCA  HERRERA ANDRADE</v>
      </c>
      <c r="D188" s="1">
        <f>IFERROR(VLOOKUP(BDREGISTROAPORTES2025[[#This Row],[NROKARDEX]],Tabla3[],11,FALSE),"NO PAGO")</f>
        <v>1057160</v>
      </c>
      <c r="E188" s="1" t="str">
        <f t="shared" si="11"/>
        <v>165</v>
      </c>
    </row>
    <row r="189" spans="1:5" x14ac:dyDescent="0.3">
      <c r="A189" s="1">
        <f t="shared" si="14"/>
        <v>183</v>
      </c>
      <c r="C189" t="str">
        <f>IFERROR(VLOOKUP(BDREGISTROAPORTES2025[[#This Row],[NROKARDEX]],BDPADRES[],8,FALSE),"Sin registrado")</f>
        <v>JULIA  ACARAPI PORCEL</v>
      </c>
      <c r="D189" s="1">
        <f>IFERROR(VLOOKUP(BDREGISTROAPORTES2025[[#This Row],[NROKARDEX]],Tabla3[],11,FALSE),"NO PAGO")</f>
        <v>1057539</v>
      </c>
      <c r="E189" s="1" t="str">
        <f t="shared" si="11"/>
        <v>165</v>
      </c>
    </row>
    <row r="190" spans="1:5" x14ac:dyDescent="0.3">
      <c r="A190" s="1">
        <f t="shared" si="14"/>
        <v>184</v>
      </c>
      <c r="C190" t="str">
        <f>IFERROR(VLOOKUP(BDREGISTROAPORTES2025[[#This Row],[NROKARDEX]],BDPADRES[],8,FALSE),"Sin registrado")</f>
        <v>REYNA CARRIAZO BALLESTEROS</v>
      </c>
      <c r="D190" s="1">
        <f>IFERROR(VLOOKUP(BDREGISTROAPORTES2025[[#This Row],[NROKARDEX]],Tabla3[],11,FALSE),"NO PAGO")</f>
        <v>1057413</v>
      </c>
      <c r="E190" s="1" t="str">
        <f t="shared" si="11"/>
        <v>165</v>
      </c>
    </row>
    <row r="191" spans="1:5" x14ac:dyDescent="0.3">
      <c r="A191" s="1">
        <f t="shared" ref="A191:A208" si="15">ROW(A185)</f>
        <v>185</v>
      </c>
      <c r="C191" t="str">
        <f>IFERROR(VLOOKUP(BDREGISTROAPORTES2025[[#This Row],[NROKARDEX]],BDPADRES[],8,FALSE),"Sin registrado")</f>
        <v>MIRTHA RUEDA LOPEZ</v>
      </c>
      <c r="D191" s="1">
        <f>IFERROR(VLOOKUP(BDREGISTROAPORTES2025[[#This Row],[NROKARDEX]],Tabla3[],11,FALSE),"NO PAGO")</f>
        <v>1057411</v>
      </c>
      <c r="E191" s="1" t="str">
        <f t="shared" si="11"/>
        <v>165</v>
      </c>
    </row>
    <row r="192" spans="1:5" x14ac:dyDescent="0.3">
      <c r="A192" s="1">
        <f t="shared" si="15"/>
        <v>186</v>
      </c>
      <c r="C192" t="str">
        <f>IFERROR(VLOOKUP(BDREGISTROAPORTES2025[[#This Row],[NROKARDEX]],BDPADRES[],8,FALSE),"Sin registrado")</f>
        <v>MARTHA RODRIGUEZ SILES</v>
      </c>
      <c r="D192" s="1">
        <f>IFERROR(VLOOKUP(BDREGISTROAPORTES2025[[#This Row],[NROKARDEX]],Tabla3[],11,FALSE),"NO PAGO")</f>
        <v>1055807</v>
      </c>
      <c r="E192" s="1" t="str">
        <f t="shared" si="11"/>
        <v>165</v>
      </c>
    </row>
    <row r="193" spans="1:5" x14ac:dyDescent="0.3">
      <c r="A193" s="1">
        <f t="shared" si="15"/>
        <v>187</v>
      </c>
      <c r="C193" t="str">
        <f>IFERROR(VLOOKUP(BDREGISTROAPORTES2025[[#This Row],[NROKARDEX]],BDPADRES[],8,FALSE),"Sin registrado")</f>
        <v>AURORA SOLIZ QUIROZ</v>
      </c>
      <c r="D193" s="1">
        <f>IFERROR(VLOOKUP(BDREGISTROAPORTES2025[[#This Row],[NROKARDEX]],Tabla3[],11,FALSE),"NO PAGO")</f>
        <v>1057768</v>
      </c>
      <c r="E193" s="1" t="str">
        <f t="shared" si="11"/>
        <v>165</v>
      </c>
    </row>
    <row r="194" spans="1:5" x14ac:dyDescent="0.3">
      <c r="A194" s="1">
        <f t="shared" si="15"/>
        <v>188</v>
      </c>
      <c r="C194" t="str">
        <f>IFERROR(VLOOKUP(BDREGISTROAPORTES2025[[#This Row],[NROKARDEX]],BDPADRES[],8,FALSE),"Sin registrado")</f>
        <v>DEYSI YPURANI CARICARI</v>
      </c>
      <c r="D194" s="1">
        <f>IFERROR(VLOOKUP(BDREGISTROAPORTES2025[[#This Row],[NROKARDEX]],Tabla3[],11,FALSE),"NO PAGO")</f>
        <v>1057203</v>
      </c>
      <c r="E194" s="1" t="str">
        <f t="shared" si="11"/>
        <v>165</v>
      </c>
    </row>
    <row r="195" spans="1:5" x14ac:dyDescent="0.3">
      <c r="A195" s="1">
        <f t="shared" si="15"/>
        <v>189</v>
      </c>
      <c r="C195" t="str">
        <f>IFERROR(VLOOKUP(BDREGISTROAPORTES2025[[#This Row],[NROKARDEX]],BDPADRES[],8,FALSE),"Sin registrado")</f>
        <v>ERLINDA PACO DURAN</v>
      </c>
      <c r="D195" s="1">
        <f>IFERROR(VLOOKUP(BDREGISTROAPORTES2025[[#This Row],[NROKARDEX]],Tabla3[],11,FALSE),"NO PAGO")</f>
        <v>1056940</v>
      </c>
      <c r="E195" s="1" t="str">
        <f t="shared" si="11"/>
        <v>165</v>
      </c>
    </row>
    <row r="196" spans="1:5" x14ac:dyDescent="0.3">
      <c r="A196" s="1">
        <f t="shared" si="15"/>
        <v>190</v>
      </c>
      <c r="C196" t="str">
        <f>IFERROR(VLOOKUP(BDREGISTROAPORTES2025[[#This Row],[NROKARDEX]],BDPADRES[],8,FALSE),"Sin registrado")</f>
        <v>YOBANA GUTIERREZ VACA</v>
      </c>
      <c r="D196" s="1">
        <f>IFERROR(VLOOKUP(BDREGISTROAPORTES2025[[#This Row],[NROKARDEX]],Tabla3[],11,FALSE),"NO PAGO")</f>
        <v>1057737</v>
      </c>
      <c r="E196" s="1" t="str">
        <f t="shared" si="11"/>
        <v>165</v>
      </c>
    </row>
    <row r="197" spans="1:5" x14ac:dyDescent="0.3">
      <c r="A197" s="1">
        <f t="shared" si="15"/>
        <v>191</v>
      </c>
      <c r="C197" t="str">
        <f>IFERROR(VLOOKUP(BDREGISTROAPORTES2025[[#This Row],[NROKARDEX]],BDPADRES[],8,FALSE),"Sin registrado")</f>
        <v>VERONICA CHOQUE LLANOS</v>
      </c>
      <c r="D197" s="1">
        <f>IFERROR(VLOOKUP(BDREGISTROAPORTES2025[[#This Row],[NROKARDEX]],Tabla3[],11,FALSE),"NO PAGO")</f>
        <v>1057574</v>
      </c>
      <c r="E197" s="1" t="str">
        <f t="shared" si="11"/>
        <v>165</v>
      </c>
    </row>
    <row r="198" spans="1:5" x14ac:dyDescent="0.3">
      <c r="A198" s="1">
        <f t="shared" si="15"/>
        <v>192</v>
      </c>
      <c r="C198" t="str">
        <f>IFERROR(VLOOKUP(BDREGISTROAPORTES2025[[#This Row],[NROKARDEX]],BDPADRES[],8,FALSE),"Sin registrado")</f>
        <v>SONIA CUEBAS VILLAGOMES</v>
      </c>
      <c r="D198" s="1">
        <f>IFERROR(VLOOKUP(BDREGISTROAPORTES2025[[#This Row],[NROKARDEX]],Tabla3[],11,FALSE),"NO PAGO")</f>
        <v>1056992</v>
      </c>
      <c r="E198" s="1" t="str">
        <f t="shared" si="11"/>
        <v>165</v>
      </c>
    </row>
    <row r="199" spans="1:5" x14ac:dyDescent="0.3">
      <c r="A199" s="1">
        <f t="shared" si="15"/>
        <v>193</v>
      </c>
      <c r="C199" t="str">
        <f>IFERROR(VLOOKUP(BDREGISTROAPORTES2025[[#This Row],[NROKARDEX]],BDPADRES[],8,FALSE),"Sin registrado")</f>
        <v>YUELY FERNANDEZ OSINAGA</v>
      </c>
      <c r="D199" s="1">
        <f>IFERROR(VLOOKUP(BDREGISTROAPORTES2025[[#This Row],[NROKARDEX]],Tabla3[],11,FALSE),"NO PAGO")</f>
        <v>1055812</v>
      </c>
      <c r="E199" s="1" t="str">
        <f t="shared" ref="E199:E261" si="16">IF(D199="NO",0,"165")</f>
        <v>165</v>
      </c>
    </row>
    <row r="200" spans="1:5" x14ac:dyDescent="0.3">
      <c r="A200" s="1">
        <f t="shared" si="15"/>
        <v>194</v>
      </c>
      <c r="C200" t="str">
        <f>IFERROR(VLOOKUP(BDREGISTROAPORTES2025[[#This Row],[NROKARDEX]],BDPADRES[],8,FALSE),"Sin registrado")</f>
        <v>JACINTA RAMOS REINA</v>
      </c>
      <c r="D200" s="1">
        <f>IFERROR(VLOOKUP(BDREGISTROAPORTES2025[[#This Row],[NROKARDEX]],Tabla3[],11,FALSE),"NO PAGO")</f>
        <v>1057548</v>
      </c>
      <c r="E200" s="1" t="str">
        <f t="shared" si="16"/>
        <v>165</v>
      </c>
    </row>
    <row r="201" spans="1:5" x14ac:dyDescent="0.3">
      <c r="A201" s="1">
        <f t="shared" si="15"/>
        <v>195</v>
      </c>
      <c r="C201" t="str">
        <f>IFERROR(VLOOKUP(BDREGISTROAPORTES2025[[#This Row],[NROKARDEX]],BDPADRES[],8,FALSE),"Sin registrado")</f>
        <v>JUANA EDITH SALAZAR</v>
      </c>
      <c r="D201" s="1">
        <f>IFERROR(VLOOKUP(BDREGISTROAPORTES2025[[#This Row],[NROKARDEX]],Tabla3[],11,FALSE),"NO PAGO")</f>
        <v>1056661</v>
      </c>
      <c r="E201" s="1" t="str">
        <f t="shared" si="16"/>
        <v>165</v>
      </c>
    </row>
    <row r="202" spans="1:5" x14ac:dyDescent="0.3">
      <c r="A202" s="1">
        <f t="shared" si="15"/>
        <v>196</v>
      </c>
      <c r="C202" t="str">
        <f>IFERROR(VLOOKUP(BDREGISTROAPORTES2025[[#This Row],[NROKARDEX]],BDPADRES[],8,FALSE),"Sin registrado")</f>
        <v>MARIA ESTHER MAMANI ORELLANA</v>
      </c>
      <c r="D202" s="1">
        <f>IFERROR(VLOOKUP(BDREGISTROAPORTES2025[[#This Row],[NROKARDEX]],Tabla3[],11,FALSE),"NO PAGO")</f>
        <v>1057802</v>
      </c>
      <c r="E202" s="1" t="str">
        <f t="shared" si="16"/>
        <v>165</v>
      </c>
    </row>
    <row r="203" spans="1:5" x14ac:dyDescent="0.3">
      <c r="A203" s="1">
        <f t="shared" si="15"/>
        <v>197</v>
      </c>
      <c r="C203" t="str">
        <f>IFERROR(VLOOKUP(BDREGISTROAPORTES2025[[#This Row],[NROKARDEX]],BDPADRES[],8,FALSE),"Sin registrado")</f>
        <v>VERONICA FLORES ABREGO</v>
      </c>
      <c r="D203" s="1">
        <f>IFERROR(VLOOKUP(BDREGISTROAPORTES2025[[#This Row],[NROKARDEX]],Tabla3[],11,FALSE),"NO PAGO")</f>
        <v>1057631</v>
      </c>
      <c r="E203" s="1" t="str">
        <f t="shared" si="16"/>
        <v>165</v>
      </c>
    </row>
    <row r="204" spans="1:5" x14ac:dyDescent="0.3">
      <c r="A204" s="1">
        <f t="shared" si="15"/>
        <v>198</v>
      </c>
      <c r="C204" t="str">
        <f>IFERROR(VLOOKUP(BDREGISTROAPORTES2025[[#This Row],[NROKARDEX]],BDPADRES[],8,FALSE),"Sin registrado")</f>
        <v>JUDITH VEIZAGA PINTO</v>
      </c>
      <c r="D204" s="1">
        <f>IFERROR(VLOOKUP(BDREGISTROAPORTES2025[[#This Row],[NROKARDEX]],Tabla3[],11,FALSE),"NO PAGO")</f>
        <v>1057814</v>
      </c>
      <c r="E204" s="1" t="str">
        <f t="shared" si="16"/>
        <v>165</v>
      </c>
    </row>
    <row r="205" spans="1:5" x14ac:dyDescent="0.3">
      <c r="A205" s="1">
        <f t="shared" si="15"/>
        <v>199</v>
      </c>
      <c r="C205" t="str">
        <f>IFERROR(VLOOKUP(BDREGISTROAPORTES2025[[#This Row],[NROKARDEX]],BDPADRES[],8,FALSE),"Sin registrado")</f>
        <v>LUISA ROJAS SEVERICHE</v>
      </c>
      <c r="D205" s="1">
        <f>IFERROR(VLOOKUP(BDREGISTROAPORTES2025[[#This Row],[NROKARDEX]],Tabla3[],11,FALSE),"NO PAGO")</f>
        <v>1056948</v>
      </c>
      <c r="E205" s="1" t="str">
        <f t="shared" si="16"/>
        <v>165</v>
      </c>
    </row>
    <row r="206" spans="1:5" x14ac:dyDescent="0.3">
      <c r="A206" s="1">
        <f t="shared" si="15"/>
        <v>200</v>
      </c>
      <c r="C206" t="str">
        <f>IFERROR(VLOOKUP(BDREGISTROAPORTES2025[[#This Row],[NROKARDEX]],BDPADRES[],8,FALSE),"Sin registrado")</f>
        <v>YOSELIN ARAMAYO SANCHEZ</v>
      </c>
      <c r="D206" s="1">
        <f>IFERROR(VLOOKUP(BDREGISTROAPORTES2025[[#This Row],[NROKARDEX]],Tabla3[],11,FALSE),"NO PAGO")</f>
        <v>1057661</v>
      </c>
      <c r="E206" s="1" t="str">
        <f t="shared" si="16"/>
        <v>165</v>
      </c>
    </row>
    <row r="207" spans="1:5" x14ac:dyDescent="0.3">
      <c r="A207" s="1">
        <f t="shared" si="15"/>
        <v>201</v>
      </c>
      <c r="C207" t="str">
        <f>IFERROR(VLOOKUP(BDREGISTROAPORTES2025[[#This Row],[NROKARDEX]],BDPADRES[],8,FALSE),"Sin registrado")</f>
        <v>LUCIA TORRICO VILLARRUEL</v>
      </c>
      <c r="D207" s="1">
        <f>IFERROR(VLOOKUP(BDREGISTROAPORTES2025[[#This Row],[NROKARDEX]],Tabla3[],11,FALSE),"NO PAGO")</f>
        <v>1056901</v>
      </c>
      <c r="E207" s="1" t="str">
        <f t="shared" si="16"/>
        <v>165</v>
      </c>
    </row>
    <row r="208" spans="1:5" x14ac:dyDescent="0.3">
      <c r="A208" s="1">
        <f t="shared" si="15"/>
        <v>202</v>
      </c>
      <c r="C208" t="str">
        <f>IFERROR(VLOOKUP(BDREGISTROAPORTES2025[[#This Row],[NROKARDEX]],BDPADRES[],8,FALSE),"Sin registrado")</f>
        <v>DELIA   VIZA CHOQUE</v>
      </c>
      <c r="D208" s="1">
        <f>IFERROR(VLOOKUP(BDREGISTROAPORTES2025[[#This Row],[NROKARDEX]],Tabla3[],11,FALSE),"NO PAGO")</f>
        <v>1057509</v>
      </c>
      <c r="E208" s="1" t="str">
        <f t="shared" si="16"/>
        <v>165</v>
      </c>
    </row>
    <row r="209" spans="1:5" x14ac:dyDescent="0.3">
      <c r="A209" s="1">
        <f t="shared" ref="A209:A255" si="17">ROW(A203)</f>
        <v>203</v>
      </c>
      <c r="C209" t="str">
        <f>IFERROR(VLOOKUP(BDREGISTROAPORTES2025[[#This Row],[NROKARDEX]],BDPADRES[],8,FALSE),"Sin registrado")</f>
        <v>LIDIA SARDAN ROMERO</v>
      </c>
      <c r="D209" s="1">
        <f>IFERROR(VLOOKUP(BDREGISTROAPORTES2025[[#This Row],[NROKARDEX]],Tabla3[],11,FALSE),"NO PAGO")</f>
        <v>1056904</v>
      </c>
      <c r="E209" s="1" t="str">
        <f t="shared" si="16"/>
        <v>165</v>
      </c>
    </row>
    <row r="210" spans="1:5" x14ac:dyDescent="0.3">
      <c r="A210" s="1">
        <f t="shared" si="17"/>
        <v>204</v>
      </c>
      <c r="C210" t="str">
        <f>IFERROR(VLOOKUP(BDREGISTROAPORTES2025[[#This Row],[NROKARDEX]],BDPADRES[],8,FALSE),"Sin registrado")</f>
        <v>MARIOLY  GIRON RIBERA</v>
      </c>
      <c r="D210" s="1">
        <f>IFERROR(VLOOKUP(BDREGISTROAPORTES2025[[#This Row],[NROKARDEX]],Tabla3[],11,FALSE),"NO PAGO")</f>
        <v>1057665</v>
      </c>
      <c r="E210" s="1" t="str">
        <f t="shared" si="16"/>
        <v>165</v>
      </c>
    </row>
    <row r="211" spans="1:5" x14ac:dyDescent="0.3">
      <c r="A211" s="1">
        <f t="shared" si="17"/>
        <v>205</v>
      </c>
      <c r="C211" t="str">
        <f>IFERROR(VLOOKUP(BDREGISTROAPORTES2025[[#This Row],[NROKARDEX]],BDPADRES[],8,FALSE),"Sin registrado")</f>
        <v>Sin registrado</v>
      </c>
      <c r="D211" s="1" t="str">
        <f>IFERROR(VLOOKUP(BDREGISTROAPORTES2025[[#This Row],[NROKARDEX]],Tabla3[],11,FALSE),"NO PAGO")</f>
        <v>NO PAGO</v>
      </c>
      <c r="E211" s="1">
        <v>0</v>
      </c>
    </row>
    <row r="212" spans="1:5" x14ac:dyDescent="0.3">
      <c r="A212" s="1">
        <f t="shared" si="17"/>
        <v>206</v>
      </c>
      <c r="C212" t="str">
        <f>IFERROR(VLOOKUP(BDREGISTROAPORTES2025[[#This Row],[NROKARDEX]],BDPADRES[],8,FALSE),"Sin registrado")</f>
        <v>JUAQUINA FLORES CRUZ</v>
      </c>
      <c r="D212" s="1">
        <f>IFERROR(VLOOKUP(BDREGISTROAPORTES2025[[#This Row],[NROKARDEX]],Tabla3[],11,FALSE),"NO PAGO")</f>
        <v>1057868</v>
      </c>
      <c r="E212" s="1" t="str">
        <f t="shared" si="16"/>
        <v>165</v>
      </c>
    </row>
    <row r="213" spans="1:5" x14ac:dyDescent="0.3">
      <c r="A213" s="1">
        <f t="shared" si="17"/>
        <v>207</v>
      </c>
      <c r="C213" t="str">
        <f>IFERROR(VLOOKUP(BDREGISTROAPORTES2025[[#This Row],[NROKARDEX]],BDPADRES[],8,FALSE),"Sin registrado")</f>
        <v>ELVIRA ORIAS CESPEDES</v>
      </c>
      <c r="D213" s="1">
        <f>IFERROR(VLOOKUP(BDREGISTROAPORTES2025[[#This Row],[NROKARDEX]],Tabla3[],11,FALSE),"NO PAGO")</f>
        <v>1057809</v>
      </c>
      <c r="E213" s="1" t="str">
        <f t="shared" si="16"/>
        <v>165</v>
      </c>
    </row>
    <row r="214" spans="1:5" x14ac:dyDescent="0.3">
      <c r="A214" s="1">
        <f t="shared" si="17"/>
        <v>208</v>
      </c>
      <c r="C214" t="str">
        <f>IFERROR(VLOOKUP(BDREGISTROAPORTES2025[[#This Row],[NROKARDEX]],BDPADRES[],8,FALSE),"Sin registrado")</f>
        <v>MARTHA BARRIENTOS CARABALLO</v>
      </c>
      <c r="D214" s="1">
        <f>IFERROR(VLOOKUP(BDREGISTROAPORTES2025[[#This Row],[NROKARDEX]],Tabla3[],11,FALSE),"NO PAGO")</f>
        <v>1057220</v>
      </c>
      <c r="E214" s="1" t="str">
        <f t="shared" si="16"/>
        <v>165</v>
      </c>
    </row>
    <row r="215" spans="1:5" x14ac:dyDescent="0.3">
      <c r="A215" s="1">
        <f t="shared" si="17"/>
        <v>209</v>
      </c>
      <c r="C215" t="str">
        <f>IFERROR(VLOOKUP(BDREGISTROAPORTES2025[[#This Row],[NROKARDEX]],BDPADRES[],8,FALSE),"Sin registrado")</f>
        <v>MARIBEL DAZA VEDIA</v>
      </c>
      <c r="D215" s="1">
        <f>IFERROR(VLOOKUP(BDREGISTROAPORTES2025[[#This Row],[NROKARDEX]],Tabla3[],11,FALSE),"NO PAGO")</f>
        <v>1057772</v>
      </c>
      <c r="E215" s="1" t="str">
        <f t="shared" si="16"/>
        <v>165</v>
      </c>
    </row>
    <row r="216" spans="1:5" x14ac:dyDescent="0.3">
      <c r="A216" s="1">
        <f t="shared" si="17"/>
        <v>210</v>
      </c>
      <c r="C216" t="str">
        <f>IFERROR(VLOOKUP(BDREGISTROAPORTES2025[[#This Row],[NROKARDEX]],BDPADRES[],8,FALSE),"Sin registrado")</f>
        <v>DOLY FERNANDEZ GOMEZ</v>
      </c>
      <c r="D216" s="1">
        <f>IFERROR(VLOOKUP(BDREGISTROAPORTES2025[[#This Row],[NROKARDEX]],Tabla3[],11,FALSE),"NO PAGO")</f>
        <v>1057668</v>
      </c>
      <c r="E216" s="1" t="str">
        <f t="shared" si="16"/>
        <v>165</v>
      </c>
    </row>
    <row r="217" spans="1:5" x14ac:dyDescent="0.3">
      <c r="A217" s="1">
        <f t="shared" si="17"/>
        <v>211</v>
      </c>
      <c r="C217" t="str">
        <f>IFERROR(VLOOKUP(BDREGISTROAPORTES2025[[#This Row],[NROKARDEX]],BDPADRES[],8,FALSE),"Sin registrado")</f>
        <v>HORTENCIA  LEAÑOS VERGARA</v>
      </c>
      <c r="D217" s="1">
        <f>IFERROR(VLOOKUP(BDREGISTROAPORTES2025[[#This Row],[NROKARDEX]],Tabla3[],11,FALSE),"NO PAGO")</f>
        <v>1057721</v>
      </c>
      <c r="E217" s="1" t="str">
        <f t="shared" si="16"/>
        <v>165</v>
      </c>
    </row>
    <row r="218" spans="1:5" x14ac:dyDescent="0.3">
      <c r="A218" s="1">
        <f t="shared" si="17"/>
        <v>212</v>
      </c>
      <c r="C218" t="str">
        <f>IFERROR(VLOOKUP(BDREGISTROAPORTES2025[[#This Row],[NROKARDEX]],BDPADRES[],8,FALSE),"Sin registrado")</f>
        <v>NANCY MAMANI IPORRE</v>
      </c>
      <c r="D218" s="1">
        <f>IFERROR(VLOOKUP(BDREGISTROAPORTES2025[[#This Row],[NROKARDEX]],Tabla3[],11,FALSE),"NO PAGO")</f>
        <v>1057505</v>
      </c>
      <c r="E218" s="1" t="str">
        <f t="shared" si="16"/>
        <v>165</v>
      </c>
    </row>
    <row r="219" spans="1:5" x14ac:dyDescent="0.3">
      <c r="A219" s="1">
        <f t="shared" si="17"/>
        <v>213</v>
      </c>
      <c r="C219" t="str">
        <f>IFERROR(VLOOKUP(BDREGISTROAPORTES2025[[#This Row],[NROKARDEX]],BDPADRES[],8,FALSE),"Sin registrado")</f>
        <v>LITHZI PADILLA LIMON</v>
      </c>
      <c r="D219" s="1">
        <f>IFERROR(VLOOKUP(BDREGISTROAPORTES2025[[#This Row],[NROKARDEX]],Tabla3[],11,FALSE),"NO PAGO")</f>
        <v>1057533</v>
      </c>
      <c r="E219" s="1" t="str">
        <f t="shared" si="16"/>
        <v>165</v>
      </c>
    </row>
    <row r="220" spans="1:5" x14ac:dyDescent="0.3">
      <c r="A220" s="1">
        <f t="shared" si="17"/>
        <v>214</v>
      </c>
      <c r="C220" t="str">
        <f>IFERROR(VLOOKUP(BDREGISTROAPORTES2025[[#This Row],[NROKARDEX]],BDPADRES[],8,FALSE),"Sin registrado")</f>
        <v>Sin registrado</v>
      </c>
      <c r="D220" s="1" t="str">
        <f>IFERROR(VLOOKUP(BDREGISTROAPORTES2025[[#This Row],[NROKARDEX]],Tabla3[],11,FALSE),"NO PAGO")</f>
        <v>NO PAGO</v>
      </c>
      <c r="E220" s="1">
        <v>0</v>
      </c>
    </row>
    <row r="221" spans="1:5" x14ac:dyDescent="0.3">
      <c r="A221" s="1">
        <f t="shared" si="17"/>
        <v>215</v>
      </c>
      <c r="C221" t="str">
        <f>IFERROR(VLOOKUP(BDREGISTROAPORTES2025[[#This Row],[NROKARDEX]],BDPADRES[],8,FALSE),"Sin registrado")</f>
        <v>LIDIA MARTINEZ PEREZ</v>
      </c>
      <c r="D221" s="1">
        <f>IFERROR(VLOOKUP(BDREGISTROAPORTES2025[[#This Row],[NROKARDEX]],Tabla3[],11,FALSE),"NO PAGO")</f>
        <v>1056822</v>
      </c>
      <c r="E221" s="1" t="str">
        <f t="shared" si="16"/>
        <v>165</v>
      </c>
    </row>
    <row r="222" spans="1:5" x14ac:dyDescent="0.3">
      <c r="A222" s="1">
        <f t="shared" si="17"/>
        <v>216</v>
      </c>
      <c r="C222" t="str">
        <f>IFERROR(VLOOKUP(BDREGISTROAPORTES2025[[#This Row],[NROKARDEX]],BDPADRES[],8,FALSE),"Sin registrado")</f>
        <v>SABINA GARNICA VARGAS</v>
      </c>
      <c r="D222" s="1">
        <f>IFERROR(VLOOKUP(BDREGISTROAPORTES2025[[#This Row],[NROKARDEX]],Tabla3[],11,FALSE),"NO PAGO")</f>
        <v>1057863</v>
      </c>
      <c r="E222" s="1" t="str">
        <f t="shared" si="16"/>
        <v>165</v>
      </c>
    </row>
    <row r="223" spans="1:5" x14ac:dyDescent="0.3">
      <c r="A223" s="1">
        <f t="shared" si="17"/>
        <v>217</v>
      </c>
      <c r="C223" t="str">
        <f>IFERROR(VLOOKUP(BDREGISTROAPORTES2025[[#This Row],[NROKARDEX]],BDPADRES[],8,FALSE),"Sin registrado")</f>
        <v>BENIGNA HUAYHUA ARENAS</v>
      </c>
      <c r="D223" s="1">
        <f>IFERROR(VLOOKUP(BDREGISTROAPORTES2025[[#This Row],[NROKARDEX]],Tabla3[],11,FALSE),"NO PAGO")</f>
        <v>1057526</v>
      </c>
      <c r="E223" s="1" t="str">
        <f t="shared" si="16"/>
        <v>165</v>
      </c>
    </row>
    <row r="224" spans="1:5" x14ac:dyDescent="0.3">
      <c r="A224" s="1">
        <f t="shared" si="17"/>
        <v>218</v>
      </c>
      <c r="C224" t="str">
        <f>IFERROR(VLOOKUP(BDREGISTROAPORTES2025[[#This Row],[NROKARDEX]],BDPADRES[],8,FALSE),"Sin registrado")</f>
        <v>JUANA RAMIREZ CHURA</v>
      </c>
      <c r="D224" s="1">
        <f>IFERROR(VLOOKUP(BDREGISTROAPORTES2025[[#This Row],[NROKARDEX]],Tabla3[],11,FALSE),"NO PAGO")</f>
        <v>1056754</v>
      </c>
      <c r="E224" s="1" t="str">
        <f t="shared" si="16"/>
        <v>165</v>
      </c>
    </row>
    <row r="225" spans="1:5" x14ac:dyDescent="0.3">
      <c r="A225" s="1">
        <f t="shared" si="17"/>
        <v>219</v>
      </c>
      <c r="C225" t="str">
        <f>IFERROR(VLOOKUP(BDREGISTROAPORTES2025[[#This Row],[NROKARDEX]],BDPADRES[],8,FALSE),"Sin registrado")</f>
        <v>TERESA ARICOMA CORCHADO</v>
      </c>
      <c r="D225" s="1">
        <f>IFERROR(VLOOKUP(BDREGISTROAPORTES2025[[#This Row],[NROKARDEX]],Tabla3[],11,FALSE),"NO PAGO")</f>
        <v>1057806</v>
      </c>
      <c r="E225" s="1" t="str">
        <f t="shared" si="16"/>
        <v>165</v>
      </c>
    </row>
    <row r="226" spans="1:5" x14ac:dyDescent="0.3">
      <c r="A226" s="1">
        <f t="shared" si="17"/>
        <v>220</v>
      </c>
      <c r="C226" t="str">
        <f>IFERROR(VLOOKUP(BDREGISTROAPORTES2025[[#This Row],[NROKARDEX]],BDPADRES[],8,FALSE),"Sin registrado")</f>
        <v>ISABEL RODRIGUEZ JILLAPA</v>
      </c>
      <c r="D226" s="1">
        <f>IFERROR(VLOOKUP(BDREGISTROAPORTES2025[[#This Row],[NROKARDEX]],Tabla3[],11,FALSE),"NO PAGO")</f>
        <v>1057905</v>
      </c>
      <c r="E226" s="1" t="str">
        <f t="shared" si="16"/>
        <v>165</v>
      </c>
    </row>
    <row r="227" spans="1:5" x14ac:dyDescent="0.3">
      <c r="A227" s="1">
        <f t="shared" si="17"/>
        <v>221</v>
      </c>
      <c r="C227" t="str">
        <f>IFERROR(VLOOKUP(BDREGISTROAPORTES2025[[#This Row],[NROKARDEX]],BDPADRES[],8,FALSE),"Sin registrado")</f>
        <v>MARCELA CHOQUE SILES</v>
      </c>
      <c r="D227" s="1">
        <f>IFERROR(VLOOKUP(BDREGISTROAPORTES2025[[#This Row],[NROKARDEX]],Tabla3[],11,FALSE),"NO PAGO")</f>
        <v>1056863</v>
      </c>
      <c r="E227" s="1" t="str">
        <f t="shared" si="16"/>
        <v>165</v>
      </c>
    </row>
    <row r="228" spans="1:5" x14ac:dyDescent="0.3">
      <c r="A228" s="1">
        <f t="shared" si="17"/>
        <v>222</v>
      </c>
      <c r="C228" t="str">
        <f>IFERROR(VLOOKUP(BDREGISTROAPORTES2025[[#This Row],[NROKARDEX]],BDPADRES[],8,FALSE),"Sin registrado")</f>
        <v>SAIDA CINTHIA MORALES MOSCOSO</v>
      </c>
      <c r="D228" s="1">
        <f>IFERROR(VLOOKUP(BDREGISTROAPORTES2025[[#This Row],[NROKARDEX]],Tabla3[],11,FALSE),"NO PAGO")</f>
        <v>1056816</v>
      </c>
      <c r="E228" s="1" t="str">
        <f t="shared" si="16"/>
        <v>165</v>
      </c>
    </row>
    <row r="229" spans="1:5" x14ac:dyDescent="0.3">
      <c r="A229" s="1">
        <f t="shared" si="17"/>
        <v>223</v>
      </c>
      <c r="C229" t="str">
        <f>IFERROR(VLOOKUP(BDREGISTROAPORTES2025[[#This Row],[NROKARDEX]],BDPADRES[],8,FALSE),"Sin registrado")</f>
        <v>MARIA MAGDALENA AGUILAR VIDAURRE</v>
      </c>
      <c r="D229" s="1">
        <f>IFERROR(VLOOKUP(BDREGISTROAPORTES2025[[#This Row],[NROKARDEX]],Tabla3[],11,FALSE),"NO PAGO")</f>
        <v>46535551</v>
      </c>
      <c r="E229" s="1" t="str">
        <f t="shared" si="16"/>
        <v>165</v>
      </c>
    </row>
    <row r="230" spans="1:5" x14ac:dyDescent="0.3">
      <c r="A230" s="1">
        <f t="shared" si="17"/>
        <v>224</v>
      </c>
      <c r="C230" t="str">
        <f>IFERROR(VLOOKUP(BDREGISTROAPORTES2025[[#This Row],[NROKARDEX]],BDPADRES[],8,FALSE),"Sin registrado")</f>
        <v>MARICELA ZAMBRANA PADILLA</v>
      </c>
      <c r="D230" s="1">
        <f>IFERROR(VLOOKUP(BDREGISTROAPORTES2025[[#This Row],[NROKARDEX]],Tabla3[],11,FALSE),"NO PAGO")</f>
        <v>1057778</v>
      </c>
      <c r="E230" s="1" t="str">
        <f t="shared" si="16"/>
        <v>165</v>
      </c>
    </row>
    <row r="231" spans="1:5" x14ac:dyDescent="0.3">
      <c r="A231" s="1">
        <f t="shared" si="17"/>
        <v>225</v>
      </c>
      <c r="C231" t="str">
        <f>IFERROR(VLOOKUP(BDREGISTROAPORTES2025[[#This Row],[NROKARDEX]],BDPADRES[],8,FALSE),"Sin registrado")</f>
        <v>PAULINA DELGADO LOPEZ</v>
      </c>
      <c r="D231" s="1">
        <f>IFERROR(VLOOKUP(BDREGISTROAPORTES2025[[#This Row],[NROKARDEX]],Tabla3[],11,FALSE),"NO PAGO")</f>
        <v>1057883</v>
      </c>
      <c r="E231" s="1" t="str">
        <f t="shared" si="16"/>
        <v>165</v>
      </c>
    </row>
    <row r="232" spans="1:5" x14ac:dyDescent="0.3">
      <c r="A232" s="1">
        <f t="shared" si="17"/>
        <v>226</v>
      </c>
      <c r="C232" t="str">
        <f>IFERROR(VLOOKUP(BDREGISTROAPORTES2025[[#This Row],[NROKARDEX]],BDPADRES[],8,FALSE),"Sin registrado")</f>
        <v>MARTHA MAMANI MORALES</v>
      </c>
      <c r="D232" s="1">
        <f>IFERROR(VLOOKUP(BDREGISTROAPORTES2025[[#This Row],[NROKARDEX]],Tabla3[],11,FALSE),"NO PAGO")</f>
        <v>1057914</v>
      </c>
      <c r="E232" s="1" t="str">
        <f t="shared" si="16"/>
        <v>165</v>
      </c>
    </row>
    <row r="233" spans="1:5" x14ac:dyDescent="0.3">
      <c r="A233" s="1">
        <f t="shared" si="17"/>
        <v>227</v>
      </c>
      <c r="C233" t="str">
        <f>IFERROR(VLOOKUP(BDREGISTROAPORTES2025[[#This Row],[NROKARDEX]],BDPADRES[],8,FALSE),"Sin registrado")</f>
        <v>NILDA LOPEZ CHOQUE</v>
      </c>
      <c r="D233" s="1">
        <f>IFERROR(VLOOKUP(BDREGISTROAPORTES2025[[#This Row],[NROKARDEX]],Tabla3[],11,FALSE),"NO PAGO")</f>
        <v>1057113</v>
      </c>
      <c r="E233" s="1" t="str">
        <f t="shared" si="16"/>
        <v>165</v>
      </c>
    </row>
    <row r="234" spans="1:5" x14ac:dyDescent="0.3">
      <c r="A234" s="1">
        <f t="shared" si="17"/>
        <v>228</v>
      </c>
      <c r="C234" t="str">
        <f>IFERROR(VLOOKUP(BDREGISTROAPORTES2025[[#This Row],[NROKARDEX]],BDPADRES[],8,FALSE),"Sin registrado")</f>
        <v>SEDONIA CONDORI TOMAS</v>
      </c>
      <c r="D234" s="1">
        <f>IFERROR(VLOOKUP(BDREGISTROAPORTES2025[[#This Row],[NROKARDEX]],Tabla3[],11,FALSE),"NO PAGO")</f>
        <v>1057121</v>
      </c>
      <c r="E234" s="1" t="str">
        <f t="shared" si="16"/>
        <v>165</v>
      </c>
    </row>
    <row r="235" spans="1:5" x14ac:dyDescent="0.3">
      <c r="A235" s="1">
        <f t="shared" si="17"/>
        <v>229</v>
      </c>
      <c r="C235" t="str">
        <f>IFERROR(VLOOKUP(BDREGISTROAPORTES2025[[#This Row],[NROKARDEX]],BDPADRES[],8,FALSE),"Sin registrado")</f>
        <v>MARIOLY  MARTINEZ UGARTECHE</v>
      </c>
      <c r="D235" s="1">
        <f>IFERROR(VLOOKUP(BDREGISTROAPORTES2025[[#This Row],[NROKARDEX]],Tabla3[],11,FALSE),"NO PAGO")</f>
        <v>1057054</v>
      </c>
      <c r="E235" s="1" t="str">
        <f t="shared" si="16"/>
        <v>165</v>
      </c>
    </row>
    <row r="236" spans="1:5" x14ac:dyDescent="0.3">
      <c r="A236" s="1">
        <f t="shared" si="17"/>
        <v>230</v>
      </c>
      <c r="C236" t="str">
        <f>IFERROR(VLOOKUP(BDREGISTROAPORTES2025[[#This Row],[NROKARDEX]],BDPADRES[],8,FALSE),"Sin registrado")</f>
        <v>CELIA RIVADENEIRA CRUZ</v>
      </c>
      <c r="D236" s="1">
        <f>IFERROR(VLOOKUP(BDREGISTROAPORTES2025[[#This Row],[NROKARDEX]],Tabla3[],11,FALSE),"NO PAGO")</f>
        <v>1057531</v>
      </c>
      <c r="E236" s="1" t="str">
        <f t="shared" si="16"/>
        <v>165</v>
      </c>
    </row>
    <row r="237" spans="1:5" x14ac:dyDescent="0.3">
      <c r="A237" s="1">
        <f t="shared" si="17"/>
        <v>231</v>
      </c>
      <c r="C237" t="str">
        <f>IFERROR(VLOOKUP(BDREGISTROAPORTES2025[[#This Row],[NROKARDEX]],BDPADRES[],8,FALSE),"Sin registrado")</f>
        <v>MIRNA CUELLAR DIAZ</v>
      </c>
      <c r="D237" s="1">
        <f>IFERROR(VLOOKUP(BDREGISTROAPORTES2025[[#This Row],[NROKARDEX]],Tabla3[],11,FALSE),"NO PAGO")</f>
        <v>1057556</v>
      </c>
      <c r="E237" s="1" t="str">
        <f t="shared" si="16"/>
        <v>165</v>
      </c>
    </row>
    <row r="238" spans="1:5" x14ac:dyDescent="0.3">
      <c r="A238" s="1">
        <f t="shared" si="17"/>
        <v>232</v>
      </c>
      <c r="C238" t="str">
        <f>IFERROR(VLOOKUP(BDREGISTROAPORTES2025[[#This Row],[NROKARDEX]],BDPADRES[],8,FALSE),"Sin registrado")</f>
        <v>Sin registrado</v>
      </c>
      <c r="D238" s="1" t="str">
        <f>IFERROR(VLOOKUP(BDREGISTROAPORTES2025[[#This Row],[NROKARDEX]],Tabla3[],11,FALSE),"NO PAGO")</f>
        <v>NO PAGO</v>
      </c>
      <c r="E238" s="1" t="str">
        <f t="shared" si="16"/>
        <v>165</v>
      </c>
    </row>
    <row r="239" spans="1:5" x14ac:dyDescent="0.3">
      <c r="A239" s="1">
        <f t="shared" si="17"/>
        <v>233</v>
      </c>
      <c r="C239" t="str">
        <f>IFERROR(VLOOKUP(BDREGISTROAPORTES2025[[#This Row],[NROKARDEX]],BDPADRES[],8,FALSE),"Sin registrado")</f>
        <v>MONICA MAMANI GONZALES</v>
      </c>
      <c r="D239" s="1">
        <f>IFERROR(VLOOKUP(BDREGISTROAPORTES2025[[#This Row],[NROKARDEX]],Tabla3[],11,FALSE),"NO PAGO")</f>
        <v>1057896</v>
      </c>
      <c r="E239" s="1" t="str">
        <f t="shared" si="16"/>
        <v>165</v>
      </c>
    </row>
    <row r="240" spans="1:5" x14ac:dyDescent="0.3">
      <c r="A240" s="1">
        <f t="shared" si="17"/>
        <v>234</v>
      </c>
      <c r="C240" t="str">
        <f>IFERROR(VLOOKUP(BDREGISTROAPORTES2025[[#This Row],[NROKARDEX]],BDPADRES[],8,FALSE),"Sin registrado")</f>
        <v>HILDA MAMANI EUGENIO</v>
      </c>
      <c r="D240" s="1">
        <f>IFERROR(VLOOKUP(BDREGISTROAPORTES2025[[#This Row],[NROKARDEX]],Tabla3[],11,FALSE),"NO PAGO")</f>
        <v>1057927</v>
      </c>
      <c r="E240" s="1" t="str">
        <f t="shared" si="16"/>
        <v>165</v>
      </c>
    </row>
    <row r="241" spans="1:5" x14ac:dyDescent="0.3">
      <c r="A241" s="1">
        <f t="shared" si="17"/>
        <v>235</v>
      </c>
      <c r="C241" t="str">
        <f>IFERROR(VLOOKUP(BDREGISTROAPORTES2025[[#This Row],[NROKARDEX]],BDPADRES[],8,FALSE),"Sin registrado")</f>
        <v>FARIDY ROMERO CALLAPA</v>
      </c>
      <c r="D241" s="1">
        <f>IFERROR(VLOOKUP(BDREGISTROAPORTES2025[[#This Row],[NROKARDEX]],Tabla3[],11,FALSE),"NO PAGO")</f>
        <v>1057991</v>
      </c>
      <c r="E241" s="1" t="str">
        <f t="shared" si="16"/>
        <v>165</v>
      </c>
    </row>
    <row r="242" spans="1:5" x14ac:dyDescent="0.3">
      <c r="A242" s="1">
        <f t="shared" si="17"/>
        <v>236</v>
      </c>
      <c r="C242" t="str">
        <f>IFERROR(VLOOKUP(BDREGISTROAPORTES2025[[#This Row],[NROKARDEX]],BDPADRES[],8,FALSE),"Sin registrado")</f>
        <v>NEOLID VARON ARANCIBIA</v>
      </c>
      <c r="D242" s="1">
        <f>IFERROR(VLOOKUP(BDREGISTROAPORTES2025[[#This Row],[NROKARDEX]],Tabla3[],11,FALSE),"NO PAGO")</f>
        <v>1057984</v>
      </c>
      <c r="E242" s="1" t="str">
        <f t="shared" si="16"/>
        <v>165</v>
      </c>
    </row>
    <row r="243" spans="1:5" x14ac:dyDescent="0.3">
      <c r="A243" s="1">
        <f t="shared" si="17"/>
        <v>237</v>
      </c>
      <c r="C243" t="str">
        <f>IFERROR(VLOOKUP(BDREGISTROAPORTES2025[[#This Row],[NROKARDEX]],BDPADRES[],8,FALSE),"Sin registrado")</f>
        <v>EVA DANCY FERNANDEZ LINO</v>
      </c>
      <c r="D243" s="1">
        <f>IFERROR(VLOOKUP(BDREGISTROAPORTES2025[[#This Row],[NROKARDEX]],Tabla3[],11,FALSE),"NO PAGO")</f>
        <v>1057953</v>
      </c>
      <c r="E243" s="1" t="str">
        <f t="shared" si="16"/>
        <v>165</v>
      </c>
    </row>
    <row r="244" spans="1:5" x14ac:dyDescent="0.3">
      <c r="A244" s="1">
        <f t="shared" si="17"/>
        <v>238</v>
      </c>
      <c r="C244" t="str">
        <f>IFERROR(VLOOKUP(BDREGISTROAPORTES2025[[#This Row],[NROKARDEX]],BDPADRES[],8,FALSE),"Sin registrado")</f>
        <v>LIDIA ACUÑA ARENA</v>
      </c>
      <c r="D244" s="1">
        <f>IFERROR(VLOOKUP(BDREGISTROAPORTES2025[[#This Row],[NROKARDEX]],Tabla3[],11,FALSE),"NO PAGO")</f>
        <v>1057423</v>
      </c>
      <c r="E244" s="1" t="str">
        <f t="shared" si="16"/>
        <v>165</v>
      </c>
    </row>
    <row r="245" spans="1:5" x14ac:dyDescent="0.3">
      <c r="A245" s="1">
        <f t="shared" si="17"/>
        <v>239</v>
      </c>
      <c r="C245" t="str">
        <f>IFERROR(VLOOKUP(BDREGISTROAPORTES2025[[#This Row],[NROKARDEX]],BDPADRES[],8,FALSE),"Sin registrado")</f>
        <v>NAGAY RINA ROMERO ACHO</v>
      </c>
      <c r="D245" s="1">
        <f>IFERROR(VLOOKUP(BDREGISTROAPORTES2025[[#This Row],[NROKARDEX]],Tabla3[],11,FALSE),"NO PAGO")</f>
        <v>1057937</v>
      </c>
      <c r="E245" s="1" t="str">
        <f t="shared" si="16"/>
        <v>165</v>
      </c>
    </row>
    <row r="246" spans="1:5" x14ac:dyDescent="0.3">
      <c r="A246" s="1">
        <f t="shared" si="17"/>
        <v>240</v>
      </c>
      <c r="C246" t="str">
        <f>IFERROR(VLOOKUP(BDREGISTROAPORTES2025[[#This Row],[NROKARDEX]],BDPADRES[],8,FALSE),"Sin registrado")</f>
        <v>MARTHA CHAUQUE TOLABA</v>
      </c>
      <c r="D246" s="1">
        <f>IFERROR(VLOOKUP(BDREGISTROAPORTES2025[[#This Row],[NROKARDEX]],Tabla3[],11,FALSE),"NO PAGO")</f>
        <v>1058005</v>
      </c>
      <c r="E246" s="1" t="str">
        <f t="shared" si="16"/>
        <v>165</v>
      </c>
    </row>
    <row r="247" spans="1:5" x14ac:dyDescent="0.3">
      <c r="A247" s="1">
        <f t="shared" si="17"/>
        <v>241</v>
      </c>
      <c r="C247" t="str">
        <f>IFERROR(VLOOKUP(BDREGISTROAPORTES2025[[#This Row],[NROKARDEX]],BDPADRES[],8,FALSE),"Sin registrado")</f>
        <v>LOURDES URQUIZO YUCRA</v>
      </c>
      <c r="D247" s="1">
        <f>IFERROR(VLOOKUP(BDREGISTROAPORTES2025[[#This Row],[NROKARDEX]],Tabla3[],11,FALSE),"NO PAGO")</f>
        <v>1057596</v>
      </c>
      <c r="E247" s="1" t="str">
        <f t="shared" si="16"/>
        <v>165</v>
      </c>
    </row>
    <row r="248" spans="1:5" x14ac:dyDescent="0.3">
      <c r="A248" s="1">
        <f t="shared" si="17"/>
        <v>242</v>
      </c>
      <c r="C248" t="str">
        <f>IFERROR(VLOOKUP(BDREGISTROAPORTES2025[[#This Row],[NROKARDEX]],BDPADRES[],8,FALSE),"Sin registrado")</f>
        <v>LENNY MARIELA FLORES ASINAGA</v>
      </c>
      <c r="D248" s="1">
        <f>IFERROR(VLOOKUP(BDREGISTROAPORTES2025[[#This Row],[NROKARDEX]],Tabla3[],11,FALSE),"NO PAGO")</f>
        <v>1057746</v>
      </c>
      <c r="E248" s="1" t="str">
        <f t="shared" si="16"/>
        <v>165</v>
      </c>
    </row>
    <row r="249" spans="1:5" x14ac:dyDescent="0.3">
      <c r="A249" s="1">
        <f t="shared" si="17"/>
        <v>243</v>
      </c>
      <c r="C249" t="str">
        <f>IFERROR(VLOOKUP(BDREGISTROAPORTES2025[[#This Row],[NROKARDEX]],BDPADRES[],8,FALSE),"Sin registrado")</f>
        <v>VIRGINIA ANTIVERROS MANRIQUE</v>
      </c>
      <c r="D249" s="1">
        <f>IFERROR(VLOOKUP(BDREGISTROAPORTES2025[[#This Row],[NROKARDEX]],Tabla3[],11,FALSE),"NO PAGO")</f>
        <v>1057852</v>
      </c>
      <c r="E249" s="1" t="str">
        <f t="shared" si="16"/>
        <v>165</v>
      </c>
    </row>
    <row r="250" spans="1:5" x14ac:dyDescent="0.3">
      <c r="A250" s="1">
        <f t="shared" si="17"/>
        <v>244</v>
      </c>
      <c r="C250" t="str">
        <f>IFERROR(VLOOKUP(BDREGISTROAPORTES2025[[#This Row],[NROKARDEX]],BDPADRES[],8,FALSE),"Sin registrado")</f>
        <v>SIXTA AGUILLAR TABUADA</v>
      </c>
      <c r="D250" s="1">
        <f>IFERROR(VLOOKUP(BDREGISTROAPORTES2025[[#This Row],[NROKARDEX]],Tabla3[],11,FALSE),"NO PAGO")</f>
        <v>1057565</v>
      </c>
      <c r="E250" s="1" t="str">
        <f t="shared" si="16"/>
        <v>165</v>
      </c>
    </row>
    <row r="251" spans="1:5" x14ac:dyDescent="0.3">
      <c r="A251" s="1">
        <f t="shared" si="17"/>
        <v>245</v>
      </c>
      <c r="C251" t="str">
        <f>IFERROR(VLOOKUP(BDREGISTROAPORTES2025[[#This Row],[NROKARDEX]],BDPADRES[],8,FALSE),"Sin registrado")</f>
        <v>ANTONIA CARABALLO BALLESTEROS</v>
      </c>
      <c r="D251" s="1">
        <f>IFERROR(VLOOKUP(BDREGISTROAPORTES2025[[#This Row],[NROKARDEX]],Tabla3[],11,FALSE),"NO PAGO")</f>
        <v>1057382</v>
      </c>
      <c r="E251" s="1" t="str">
        <f t="shared" si="16"/>
        <v>165</v>
      </c>
    </row>
    <row r="252" spans="1:5" x14ac:dyDescent="0.3">
      <c r="A252" s="1">
        <f t="shared" si="17"/>
        <v>246</v>
      </c>
      <c r="C252" t="str">
        <f>IFERROR(VLOOKUP(BDREGISTROAPORTES2025[[#This Row],[NROKARDEX]],BDPADRES[],8,FALSE),"Sin registrado")</f>
        <v>SEMIDA CUCHALLO TORRICO</v>
      </c>
      <c r="D252" s="1">
        <f>IFERROR(VLOOKUP(BDREGISTROAPORTES2025[[#This Row],[NROKARDEX]],Tabla3[],11,FALSE),"NO PAGO")</f>
        <v>1058016</v>
      </c>
      <c r="E252" s="1" t="str">
        <f t="shared" si="16"/>
        <v>165</v>
      </c>
    </row>
    <row r="253" spans="1:5" x14ac:dyDescent="0.3">
      <c r="A253" s="1">
        <f t="shared" si="17"/>
        <v>247</v>
      </c>
      <c r="C253" t="str">
        <f>IFERROR(VLOOKUP(BDREGISTROAPORTES2025[[#This Row],[NROKARDEX]],BDPADRES[],8,FALSE),"Sin registrado")</f>
        <v>DELIA MARCELA VARGAS RIVERA</v>
      </c>
      <c r="D253" s="1">
        <f>IFERROR(VLOOKUP(BDREGISTROAPORTES2025[[#This Row],[NROKARDEX]],Tabla3[],11,FALSE),"NO PAGO")</f>
        <v>1058036</v>
      </c>
      <c r="E253" s="1" t="str">
        <f t="shared" si="16"/>
        <v>165</v>
      </c>
    </row>
    <row r="254" spans="1:5" x14ac:dyDescent="0.3">
      <c r="A254" s="1">
        <f t="shared" si="17"/>
        <v>248</v>
      </c>
      <c r="C254" t="str">
        <f>IFERROR(VLOOKUP(BDREGISTROAPORTES2025[[#This Row],[NROKARDEX]],BDPADRES[],8,FALSE),"Sin registrado")</f>
        <v>Sin registrado</v>
      </c>
      <c r="D254" s="1" t="str">
        <f>IFERROR(VLOOKUP(BDREGISTROAPORTES2025[[#This Row],[NROKARDEX]],Tabla3[],11,FALSE),"NO PAGO")</f>
        <v>NO PAGO</v>
      </c>
      <c r="E254" s="1">
        <v>0</v>
      </c>
    </row>
    <row r="255" spans="1:5" x14ac:dyDescent="0.3">
      <c r="A255" s="1">
        <f t="shared" si="17"/>
        <v>249</v>
      </c>
      <c r="C255" t="str">
        <f>IFERROR(VLOOKUP(BDREGISTROAPORTES2025[[#This Row],[NROKARDEX]],BDPADRES[],8,FALSE),"Sin registrado")</f>
        <v>NEIDA MEJIA BEJARANO</v>
      </c>
      <c r="D255" s="1">
        <f>IFERROR(VLOOKUP(BDREGISTROAPORTES2025[[#This Row],[NROKARDEX]],Tabla3[],11,FALSE),"NO PAGO")</f>
        <v>1058089</v>
      </c>
      <c r="E255" s="1" t="str">
        <f t="shared" si="16"/>
        <v>165</v>
      </c>
    </row>
    <row r="256" spans="1:5" x14ac:dyDescent="0.3">
      <c r="A256" s="1">
        <f t="shared" ref="A256:A271" si="18">ROW(A250)</f>
        <v>250</v>
      </c>
      <c r="C256" t="str">
        <f>IFERROR(VLOOKUP(BDREGISTROAPORTES2025[[#This Row],[NROKARDEX]],BDPADRES[],8,FALSE),"Sin registrado")</f>
        <v>MARIA LOURDES GARCIA LARA</v>
      </c>
      <c r="D256" s="1">
        <f>IFERROR(VLOOKUP(BDREGISTROAPORTES2025[[#This Row],[NROKARDEX]],Tabla3[],11,FALSE),"NO PAGO")</f>
        <v>1057662</v>
      </c>
      <c r="E256" s="1" t="str">
        <f t="shared" si="16"/>
        <v>165</v>
      </c>
    </row>
    <row r="257" spans="1:5" x14ac:dyDescent="0.3">
      <c r="A257" s="1">
        <f t="shared" si="18"/>
        <v>251</v>
      </c>
      <c r="C257" t="str">
        <f>IFERROR(VLOOKUP(BDREGISTROAPORTES2025[[#This Row],[NROKARDEX]],BDPADRES[],8,FALSE),"Sin registrado")</f>
        <v>Sin registrado</v>
      </c>
      <c r="D257" s="1" t="str">
        <f>IFERROR(VLOOKUP(BDREGISTROAPORTES2025[[#This Row],[NROKARDEX]],Tabla3[],11,FALSE),"NO PAGO")</f>
        <v>NO PAGO</v>
      </c>
      <c r="E257" s="1">
        <v>0</v>
      </c>
    </row>
    <row r="258" spans="1:5" x14ac:dyDescent="0.3">
      <c r="A258" s="1">
        <f t="shared" si="18"/>
        <v>252</v>
      </c>
      <c r="C258" t="str">
        <f>IFERROR(VLOOKUP(BDREGISTROAPORTES2025[[#This Row],[NROKARDEX]],BDPADRES[],8,FALSE),"Sin registrado")</f>
        <v>REYNA GALARZA PEREDO</v>
      </c>
      <c r="D258" s="1">
        <f>IFERROR(VLOOKUP(BDREGISTROAPORTES2025[[#This Row],[NROKARDEX]],Tabla3[],11,FALSE),"NO PAGO")</f>
        <v>1057881</v>
      </c>
      <c r="E258" s="1" t="str">
        <f t="shared" si="16"/>
        <v>165</v>
      </c>
    </row>
    <row r="259" spans="1:5" x14ac:dyDescent="0.3">
      <c r="A259" s="1">
        <f t="shared" si="18"/>
        <v>253</v>
      </c>
      <c r="C259" t="str">
        <f>IFERROR(VLOOKUP(BDREGISTROAPORTES2025[[#This Row],[NROKARDEX]],BDPADRES[],8,FALSE),"Sin registrado")</f>
        <v>MARISOL MORALES AÑEZ</v>
      </c>
      <c r="D259" s="1">
        <f>IFERROR(VLOOKUP(BDREGISTROAPORTES2025[[#This Row],[NROKARDEX]],Tabla3[],11,FALSE),"NO PAGO")</f>
        <v>1057975</v>
      </c>
      <c r="E259" s="1" t="str">
        <f t="shared" si="16"/>
        <v>165</v>
      </c>
    </row>
    <row r="260" spans="1:5" x14ac:dyDescent="0.3">
      <c r="A260" s="1">
        <f t="shared" si="18"/>
        <v>254</v>
      </c>
      <c r="C260" t="str">
        <f>IFERROR(VLOOKUP(BDREGISTROAPORTES2025[[#This Row],[NROKARDEX]],BDPADRES[],8,FALSE),"Sin registrado")</f>
        <v>FILOMENA ZAMBRANA COCA</v>
      </c>
      <c r="D260" s="1">
        <f>IFERROR(VLOOKUP(BDREGISTROAPORTES2025[[#This Row],[NROKARDEX]],Tabla3[],11,FALSE),"NO PAGO")</f>
        <v>1057836</v>
      </c>
      <c r="E260" s="1" t="str">
        <f t="shared" si="16"/>
        <v>165</v>
      </c>
    </row>
    <row r="261" spans="1:5" x14ac:dyDescent="0.3">
      <c r="A261" s="1">
        <f t="shared" si="18"/>
        <v>255</v>
      </c>
      <c r="C261" t="str">
        <f>IFERROR(VLOOKUP(BDREGISTROAPORTES2025[[#This Row],[NROKARDEX]],BDPADRES[],8,FALSE),"Sin registrado")</f>
        <v>SANDRA BALLESTEROS TORREZ</v>
      </c>
      <c r="D261" s="1">
        <f>IFERROR(VLOOKUP(BDREGISTROAPORTES2025[[#This Row],[NROKARDEX]],Tabla3[],11,FALSE),"NO PAGO")</f>
        <v>1058009</v>
      </c>
      <c r="E261" s="1" t="str">
        <f t="shared" si="16"/>
        <v>165</v>
      </c>
    </row>
    <row r="262" spans="1:5" x14ac:dyDescent="0.3">
      <c r="A262" s="1">
        <f t="shared" si="18"/>
        <v>256</v>
      </c>
      <c r="C262" t="str">
        <f>IFERROR(VLOOKUP(BDREGISTROAPORTES2025[[#This Row],[NROKARDEX]],BDPADRES[],8,FALSE),"Sin registrado")</f>
        <v>Sin registrado</v>
      </c>
      <c r="D262" s="1" t="str">
        <f>IFERROR(VLOOKUP(BDREGISTROAPORTES2025[[#This Row],[NROKARDEX]],Tabla3[],11,FALSE),"NO PAGO")</f>
        <v>NO PAGO</v>
      </c>
      <c r="E262" s="1">
        <v>0</v>
      </c>
    </row>
    <row r="263" spans="1:5" x14ac:dyDescent="0.3">
      <c r="A263" s="1">
        <f t="shared" si="18"/>
        <v>257</v>
      </c>
      <c r="C263" t="str">
        <f>IFERROR(VLOOKUP(BDREGISTROAPORTES2025[[#This Row],[NROKARDEX]],BDPADRES[],8,FALSE),"Sin registrado")</f>
        <v>RAUL MARTINEZ AGUANTA</v>
      </c>
      <c r="D263" s="1">
        <f>IFERROR(VLOOKUP(BDREGISTROAPORTES2025[[#This Row],[NROKARDEX]],Tabla3[],11,FALSE),"NO PAGO")</f>
        <v>1057909</v>
      </c>
      <c r="E263" s="1" t="str">
        <f t="shared" ref="E263:E326" si="19">IF(D263="NO",0,"165")</f>
        <v>165</v>
      </c>
    </row>
    <row r="264" spans="1:5" x14ac:dyDescent="0.3">
      <c r="A264" s="1">
        <f t="shared" si="18"/>
        <v>258</v>
      </c>
      <c r="C264" t="str">
        <f>IFERROR(VLOOKUP(BDREGISTROAPORTES2025[[#This Row],[NROKARDEX]],BDPADRES[],8,FALSE),"Sin registrado")</f>
        <v>REBECA SANGREDE CONDORI</v>
      </c>
      <c r="D264" s="1">
        <f>IFERROR(VLOOKUP(BDREGISTROAPORTES2025[[#This Row],[NROKARDEX]],Tabla3[],11,FALSE),"NO PAGO")</f>
        <v>1058116</v>
      </c>
      <c r="E264" s="1" t="str">
        <f t="shared" si="19"/>
        <v>165</v>
      </c>
    </row>
    <row r="265" spans="1:5" x14ac:dyDescent="0.3">
      <c r="A265" s="1">
        <f t="shared" si="18"/>
        <v>259</v>
      </c>
      <c r="C265" t="str">
        <f>IFERROR(VLOOKUP(BDREGISTROAPORTES2025[[#This Row],[NROKARDEX]],BDPADRES[],8,FALSE),"Sin registrado")</f>
        <v>JUANA  CORTEZ ARAUZ</v>
      </c>
      <c r="D265" s="1">
        <f>IFERROR(VLOOKUP(BDREGISTROAPORTES2025[[#This Row],[NROKARDEX]],Tabla3[],11,FALSE),"NO PAGO")</f>
        <v>1058115</v>
      </c>
      <c r="E265" s="1" t="str">
        <f t="shared" si="19"/>
        <v>165</v>
      </c>
    </row>
    <row r="266" spans="1:5" x14ac:dyDescent="0.3">
      <c r="A266" s="1">
        <f t="shared" si="18"/>
        <v>260</v>
      </c>
      <c r="C266" t="str">
        <f>IFERROR(VLOOKUP(BDREGISTROAPORTES2025[[#This Row],[NROKARDEX]],BDPADRES[],8,FALSE),"Sin registrado")</f>
        <v>CELIA BEJARANO CHOQUE</v>
      </c>
      <c r="D266" s="1">
        <f>IFERROR(VLOOKUP(BDREGISTROAPORTES2025[[#This Row],[NROKARDEX]],Tabla3[],11,FALSE),"NO PAGO")</f>
        <v>1057998</v>
      </c>
      <c r="E266" s="1" t="str">
        <f t="shared" si="19"/>
        <v>165</v>
      </c>
    </row>
    <row r="267" spans="1:5" x14ac:dyDescent="0.3">
      <c r="A267" s="1">
        <f t="shared" si="18"/>
        <v>261</v>
      </c>
      <c r="C267" t="str">
        <f>IFERROR(VLOOKUP(BDREGISTROAPORTES2025[[#This Row],[NROKARDEX]],BDPADRES[],8,FALSE),"Sin registrado")</f>
        <v>BEATRIZ COA CHOQUE</v>
      </c>
      <c r="D267" s="1">
        <f>IFERROR(VLOOKUP(BDREGISTROAPORTES2025[[#This Row],[NROKARDEX]],Tabla3[],11,FALSE),"NO PAGO")</f>
        <v>1058093</v>
      </c>
      <c r="E267" s="1" t="str">
        <f t="shared" si="19"/>
        <v>165</v>
      </c>
    </row>
    <row r="268" spans="1:5" x14ac:dyDescent="0.3">
      <c r="A268" s="1">
        <f t="shared" si="18"/>
        <v>262</v>
      </c>
      <c r="C268" t="str">
        <f>IFERROR(VLOOKUP(BDREGISTROAPORTES2025[[#This Row],[NROKARDEX]],BDPADRES[],8,FALSE),"Sin registrado")</f>
        <v>MARICRUZ GUAYAO RIVERA</v>
      </c>
      <c r="D268" s="1">
        <f>IFERROR(VLOOKUP(BDREGISTROAPORTES2025[[#This Row],[NROKARDEX]],Tabla3[],11,FALSE),"NO PAGO")</f>
        <v>1056689</v>
      </c>
      <c r="E268" s="1" t="str">
        <f t="shared" si="19"/>
        <v>165</v>
      </c>
    </row>
    <row r="269" spans="1:5" x14ac:dyDescent="0.3">
      <c r="A269" s="1">
        <f t="shared" si="18"/>
        <v>263</v>
      </c>
      <c r="C269" t="str">
        <f>IFERROR(VLOOKUP(BDREGISTROAPORTES2025[[#This Row],[NROKARDEX]],BDPADRES[],8,FALSE),"Sin registrado")</f>
        <v>ELUTERIA CASTRO ARENAS</v>
      </c>
      <c r="D269" s="1">
        <f>IFERROR(VLOOKUP(BDREGISTROAPORTES2025[[#This Row],[NROKARDEX]],Tabla3[],11,FALSE),"NO PAGO")</f>
        <v>1058423</v>
      </c>
      <c r="E269" s="1" t="str">
        <f t="shared" si="19"/>
        <v>165</v>
      </c>
    </row>
    <row r="270" spans="1:5" x14ac:dyDescent="0.3">
      <c r="A270" s="1">
        <f t="shared" si="18"/>
        <v>264</v>
      </c>
      <c r="C270" t="str">
        <f>IFERROR(VLOOKUP(BDREGISTROAPORTES2025[[#This Row],[NROKARDEX]],BDPADRES[],8,FALSE),"Sin registrado")</f>
        <v>CATALINA ROMELIA GARCIA</v>
      </c>
      <c r="D270" s="1">
        <f>IFERROR(VLOOKUP(BDREGISTROAPORTES2025[[#This Row],[NROKARDEX]],Tabla3[],11,FALSE),"NO PAGO")</f>
        <v>1058507</v>
      </c>
      <c r="E270" s="1" t="str">
        <f t="shared" si="19"/>
        <v>165</v>
      </c>
    </row>
    <row r="271" spans="1:5" x14ac:dyDescent="0.3">
      <c r="A271" s="1">
        <f t="shared" si="18"/>
        <v>265</v>
      </c>
      <c r="C271" t="str">
        <f>IFERROR(VLOOKUP(BDREGISTROAPORTES2025[[#This Row],[NROKARDEX]],BDPADRES[],8,FALSE),"Sin registrado")</f>
        <v>ALBAIDA MANSILLA ALDANA</v>
      </c>
      <c r="D271" s="1">
        <f>IFERROR(VLOOKUP(BDREGISTROAPORTES2025[[#This Row],[NROKARDEX]],Tabla3[],11,FALSE),"NO PAGO")</f>
        <v>1058188</v>
      </c>
      <c r="E271" s="1" t="str">
        <f t="shared" si="19"/>
        <v>165</v>
      </c>
    </row>
    <row r="272" spans="1:5" x14ac:dyDescent="0.3">
      <c r="A272" s="1">
        <f t="shared" ref="A272:A280" si="20">ROW(A266)</f>
        <v>266</v>
      </c>
      <c r="C272" t="str">
        <f>IFERROR(VLOOKUP(BDREGISTROAPORTES2025[[#This Row],[NROKARDEX]],BDPADRES[],8,FALSE),"Sin registrado")</f>
        <v>ROSA LEON TORREZ</v>
      </c>
      <c r="D272" s="1">
        <f>IFERROR(VLOOKUP(BDREGISTROAPORTES2025[[#This Row],[NROKARDEX]],Tabla3[],11,FALSE),"NO PAGO")</f>
        <v>1057876</v>
      </c>
      <c r="E272" s="1" t="str">
        <f t="shared" si="19"/>
        <v>165</v>
      </c>
    </row>
    <row r="273" spans="1:5" x14ac:dyDescent="0.3">
      <c r="A273" s="1">
        <f t="shared" si="20"/>
        <v>267</v>
      </c>
      <c r="C273" t="str">
        <f>IFERROR(VLOOKUP(BDREGISTROAPORTES2025[[#This Row],[NROKARDEX]],BDPADRES[],8,FALSE),"Sin registrado")</f>
        <v>JULIA  ALCARAZ SANABRIA</v>
      </c>
      <c r="D273" s="1">
        <f>IFERROR(VLOOKUP(BDREGISTROAPORTES2025[[#This Row],[NROKARDEX]],Tabla3[],11,FALSE),"NO PAGO")</f>
        <v>1058514</v>
      </c>
      <c r="E273" s="1" t="str">
        <f t="shared" si="19"/>
        <v>165</v>
      </c>
    </row>
    <row r="274" spans="1:5" x14ac:dyDescent="0.3">
      <c r="A274" s="1">
        <f t="shared" si="20"/>
        <v>268</v>
      </c>
      <c r="C274" t="str">
        <f>IFERROR(VLOOKUP(BDREGISTROAPORTES2025[[#This Row],[NROKARDEX]],BDPADRES[],8,FALSE),"Sin registrado")</f>
        <v>YINA DANIELA DORADO MONTENEGRO</v>
      </c>
      <c r="D274" s="1">
        <f>IFERROR(VLOOKUP(BDREGISTROAPORTES2025[[#This Row],[NROKARDEX]],Tabla3[],11,FALSE),"NO PAGO")</f>
        <v>1056566</v>
      </c>
      <c r="E274" s="1" t="str">
        <f t="shared" si="19"/>
        <v>165</v>
      </c>
    </row>
    <row r="275" spans="1:5" x14ac:dyDescent="0.3">
      <c r="A275" s="1">
        <f t="shared" si="20"/>
        <v>269</v>
      </c>
      <c r="C275" t="str">
        <f>IFERROR(VLOOKUP(BDREGISTROAPORTES2025[[#This Row],[NROKARDEX]],BDPADRES[],8,FALSE),"Sin registrado")</f>
        <v>LORENZA AMADOR SULLCA</v>
      </c>
      <c r="D275" s="1">
        <f>IFERROR(VLOOKUP(BDREGISTROAPORTES2025[[#This Row],[NROKARDEX]],Tabla3[],11,FALSE),"NO PAGO")</f>
        <v>1056590</v>
      </c>
      <c r="E275" s="1" t="str">
        <f t="shared" si="19"/>
        <v>165</v>
      </c>
    </row>
    <row r="276" spans="1:5" x14ac:dyDescent="0.3">
      <c r="A276" s="1">
        <f t="shared" si="20"/>
        <v>270</v>
      </c>
      <c r="C276" t="str">
        <f>IFERROR(VLOOKUP(BDREGISTROAPORTES2025[[#This Row],[NROKARDEX]],BDPADRES[],8,FALSE),"Sin registrado")</f>
        <v>Sin registrado</v>
      </c>
      <c r="D276" s="1" t="str">
        <f>IFERROR(VLOOKUP(BDREGISTROAPORTES2025[[#This Row],[NROKARDEX]],Tabla3[],11,FALSE),"NO PAGO")</f>
        <v>NO PAGO</v>
      </c>
      <c r="E276" s="1">
        <v>0</v>
      </c>
    </row>
    <row r="277" spans="1:5" x14ac:dyDescent="0.3">
      <c r="A277" s="1">
        <f t="shared" si="20"/>
        <v>271</v>
      </c>
      <c r="C277" t="str">
        <f>IFERROR(VLOOKUP(BDREGISTROAPORTES2025[[#This Row],[NROKARDEX]],BDPADRES[],8,FALSE),"Sin registrado")</f>
        <v>VICTORIA FIGUEROA SARDINAS</v>
      </c>
      <c r="D277" s="1">
        <f>IFERROR(VLOOKUP(BDREGISTROAPORTES2025[[#This Row],[NROKARDEX]],Tabla3[],11,FALSE),"NO PAGO")</f>
        <v>1058543</v>
      </c>
      <c r="E277" s="1" t="str">
        <f t="shared" si="19"/>
        <v>165</v>
      </c>
    </row>
    <row r="278" spans="1:5" x14ac:dyDescent="0.3">
      <c r="A278" s="1">
        <f t="shared" si="20"/>
        <v>272</v>
      </c>
      <c r="C278" t="str">
        <f>IFERROR(VLOOKUP(BDREGISTROAPORTES2025[[#This Row],[NROKARDEX]],BDPADRES[],8,FALSE),"Sin registrado")</f>
        <v>LEIDY FABIOLA CARRILLO CORONADO</v>
      </c>
      <c r="D278" s="1">
        <f>IFERROR(VLOOKUP(BDREGISTROAPORTES2025[[#This Row],[NROKARDEX]],Tabla3[],11,FALSE),"NO PAGO")</f>
        <v>372539267</v>
      </c>
      <c r="E278" s="1" t="str">
        <f t="shared" si="19"/>
        <v>165</v>
      </c>
    </row>
    <row r="279" spans="1:5" x14ac:dyDescent="0.3">
      <c r="A279" s="1">
        <f t="shared" si="20"/>
        <v>273</v>
      </c>
      <c r="C279" t="str">
        <f>IFERROR(VLOOKUP(BDREGISTROAPORTES2025[[#This Row],[NROKARDEX]],BDPADRES[],8,FALSE),"Sin registrado")</f>
        <v>REYNA ZARATE BARRIENTOS</v>
      </c>
      <c r="D279" s="1">
        <f>IFERROR(VLOOKUP(BDREGISTROAPORTES2025[[#This Row],[NROKARDEX]],Tabla3[],11,FALSE),"NO PAGO")</f>
        <v>1057962</v>
      </c>
      <c r="E279" s="1" t="str">
        <f t="shared" si="19"/>
        <v>165</v>
      </c>
    </row>
    <row r="280" spans="1:5" x14ac:dyDescent="0.3">
      <c r="A280" s="1">
        <f t="shared" si="20"/>
        <v>274</v>
      </c>
      <c r="C280" t="str">
        <f>IFERROR(VLOOKUP(BDREGISTROAPORTES2025[[#This Row],[NROKARDEX]],BDPADRES[],8,FALSE),"Sin registrado")</f>
        <v>EVELIN GUZMAN GARCIA</v>
      </c>
      <c r="D280" s="1" t="str">
        <f>IFERROR(VLOOKUP(BDREGISTROAPORTES2025[[#This Row],[NROKARDEX]],Tabla3[],11,FALSE),"NO PAGO")</f>
        <v>UNION</v>
      </c>
      <c r="E280" s="1" t="str">
        <f t="shared" si="19"/>
        <v>165</v>
      </c>
    </row>
    <row r="281" spans="1:5" x14ac:dyDescent="0.3">
      <c r="A281" s="1">
        <f t="shared" ref="A281:A291" si="21">ROW(A275)</f>
        <v>275</v>
      </c>
      <c r="C281" t="str">
        <f>IFERROR(VLOOKUP(BDREGISTROAPORTES2025[[#This Row],[NROKARDEX]],BDPADRES[],8,FALSE),"Sin registrado")</f>
        <v>NELLY YASMINA ROBLES VALVERDE</v>
      </c>
      <c r="D281" s="1">
        <f>IFERROR(VLOOKUP(BDREGISTROAPORTES2025[[#This Row],[NROKARDEX]],Tabla3[],11,FALSE),"NO PAGO")</f>
        <v>1055793</v>
      </c>
      <c r="E281" s="1" t="str">
        <f t="shared" si="19"/>
        <v>165</v>
      </c>
    </row>
    <row r="282" spans="1:5" x14ac:dyDescent="0.3">
      <c r="A282" s="1">
        <f t="shared" si="21"/>
        <v>276</v>
      </c>
      <c r="C282" t="str">
        <f>IFERROR(VLOOKUP(BDREGISTROAPORTES2025[[#This Row],[NROKARDEX]],BDPADRES[],8,FALSE),"Sin registrado")</f>
        <v>ANA ROSY VACA NOGALES</v>
      </c>
      <c r="D282" s="1">
        <f>IFERROR(VLOOKUP(BDREGISTROAPORTES2025[[#This Row],[NROKARDEX]],Tabla3[],11,FALSE),"NO PAGO")</f>
        <v>1058231</v>
      </c>
      <c r="E282" s="1" t="str">
        <f t="shared" si="19"/>
        <v>165</v>
      </c>
    </row>
    <row r="283" spans="1:5" x14ac:dyDescent="0.3">
      <c r="A283" s="1">
        <f t="shared" si="21"/>
        <v>277</v>
      </c>
      <c r="C283" t="str">
        <f>IFERROR(VLOOKUP(BDREGISTROAPORTES2025[[#This Row],[NROKARDEX]],BDPADRES[],8,FALSE),"Sin registrado")</f>
        <v>MONICA MARTINEZ RICALDY</v>
      </c>
      <c r="D283" s="1">
        <f>IFERROR(VLOOKUP(BDREGISTROAPORTES2025[[#This Row],[NROKARDEX]],Tabla3[],11,FALSE),"NO PAGO")</f>
        <v>1058521</v>
      </c>
      <c r="E283" s="1" t="str">
        <f t="shared" si="19"/>
        <v>165</v>
      </c>
    </row>
    <row r="284" spans="1:5" x14ac:dyDescent="0.3">
      <c r="A284" s="1">
        <f t="shared" si="21"/>
        <v>278</v>
      </c>
      <c r="C284" t="str">
        <f>IFERROR(VLOOKUP(BDREGISTROAPORTES2025[[#This Row],[NROKARDEX]],BDPADRES[],8,FALSE),"Sin registrado")</f>
        <v>AGUSTINA HERRERA.</v>
      </c>
      <c r="D284" s="1" t="str">
        <f>IFERROR(VLOOKUP(BDREGISTROAPORTES2025[[#This Row],[NROKARDEX]],Tabla3[],11,FALSE),"NO PAGO")</f>
        <v>10579.</v>
      </c>
      <c r="E284" s="1" t="str">
        <f t="shared" si="19"/>
        <v>165</v>
      </c>
    </row>
    <row r="285" spans="1:5" x14ac:dyDescent="0.3">
      <c r="A285" s="1">
        <f t="shared" si="21"/>
        <v>279</v>
      </c>
      <c r="C285" t="str">
        <f>IFERROR(VLOOKUP(BDREGISTROAPORTES2025[[#This Row],[NROKARDEX]],BDPADRES[],8,FALSE),"Sin registrado")</f>
        <v>PASCUALA CHOQUE BEJARANO</v>
      </c>
      <c r="D285" s="1">
        <f>IFERROR(VLOOKUP(BDREGISTROAPORTES2025[[#This Row],[NROKARDEX]],Tabla3[],11,FALSE),"NO PAGO")</f>
        <v>1058189</v>
      </c>
      <c r="E285" s="1" t="str">
        <f t="shared" si="19"/>
        <v>165</v>
      </c>
    </row>
    <row r="286" spans="1:5" x14ac:dyDescent="0.3">
      <c r="A286" s="1">
        <f t="shared" si="21"/>
        <v>280</v>
      </c>
      <c r="C286" t="str">
        <f>IFERROR(VLOOKUP(BDREGISTROAPORTES2025[[#This Row],[NROKARDEX]],BDPADRES[],8,FALSE),"Sin registrado")</f>
        <v>ESPERANZA FIGUEROA ALVAREZ</v>
      </c>
      <c r="D286" s="1">
        <f>IFERROR(VLOOKUP(BDREGISTROAPORTES2025[[#This Row],[NROKARDEX]],Tabla3[],11,FALSE),"NO PAGO")</f>
        <v>1056900</v>
      </c>
      <c r="E286" s="1" t="str">
        <f t="shared" si="19"/>
        <v>165</v>
      </c>
    </row>
    <row r="287" spans="1:5" x14ac:dyDescent="0.3">
      <c r="A287" s="1">
        <f t="shared" si="21"/>
        <v>281</v>
      </c>
      <c r="C287" t="str">
        <f>IFERROR(VLOOKUP(BDREGISTROAPORTES2025[[#This Row],[NROKARDEX]],BDPADRES[],8,FALSE),"Sin registrado")</f>
        <v>SIMONA COPA SALAZAR</v>
      </c>
      <c r="D287" s="1">
        <f>IFERROR(VLOOKUP(BDREGISTROAPORTES2025[[#This Row],[NROKARDEX]],Tabla3[],11,FALSE),"NO PAGO")</f>
        <v>1058126</v>
      </c>
      <c r="E287" s="1" t="str">
        <f t="shared" si="19"/>
        <v>165</v>
      </c>
    </row>
    <row r="288" spans="1:5" x14ac:dyDescent="0.3">
      <c r="A288" s="1">
        <f t="shared" si="21"/>
        <v>282</v>
      </c>
      <c r="C288" t="str">
        <f>IFERROR(VLOOKUP(BDREGISTROAPORTES2025[[#This Row],[NROKARDEX]],BDPADRES[],8,FALSE),"Sin registrado")</f>
        <v>Sin registrado</v>
      </c>
      <c r="D288" s="1" t="str">
        <f>IFERROR(VLOOKUP(BDREGISTROAPORTES2025[[#This Row],[NROKARDEX]],Tabla3[],11,FALSE),"NO PAGO")</f>
        <v>NO PAGO</v>
      </c>
      <c r="E288" s="1">
        <v>0</v>
      </c>
    </row>
    <row r="289" spans="1:5" x14ac:dyDescent="0.3">
      <c r="A289" s="1">
        <f t="shared" si="21"/>
        <v>283</v>
      </c>
      <c r="C289" t="str">
        <f>IFERROR(VLOOKUP(BDREGISTROAPORTES2025[[#This Row],[NROKARDEX]],BDPADRES[],8,FALSE),"Sin registrado")</f>
        <v>SIRLEY CARABALLO OJEDA</v>
      </c>
      <c r="D289" s="1">
        <f>IFERROR(VLOOKUP(BDREGISTROAPORTES2025[[#This Row],[NROKARDEX]],Tabla3[],11,FALSE),"NO PAGO")</f>
        <v>1058111</v>
      </c>
      <c r="E289" s="1" t="str">
        <f t="shared" si="19"/>
        <v>165</v>
      </c>
    </row>
    <row r="290" spans="1:5" x14ac:dyDescent="0.3">
      <c r="A290" s="1">
        <f t="shared" si="21"/>
        <v>284</v>
      </c>
      <c r="C290" t="str">
        <f>IFERROR(VLOOKUP(BDREGISTROAPORTES2025[[#This Row],[NROKARDEX]],BDPADRES[],8,FALSE),"Sin registrado")</f>
        <v>ROXANA DURAN MICHEL</v>
      </c>
      <c r="D290" s="1">
        <f>IFERROR(VLOOKUP(BDREGISTROAPORTES2025[[#This Row],[NROKARDEX]],Tabla3[],11,FALSE),"NO PAGO")</f>
        <v>1058263</v>
      </c>
      <c r="E290" s="1" t="str">
        <f t="shared" si="19"/>
        <v>165</v>
      </c>
    </row>
    <row r="291" spans="1:5" x14ac:dyDescent="0.3">
      <c r="A291" s="1">
        <f t="shared" si="21"/>
        <v>285</v>
      </c>
      <c r="C291" t="str">
        <f>IFERROR(VLOOKUP(BDREGISTROAPORTES2025[[#This Row],[NROKARDEX]],BDPADRES[],8,FALSE),"Sin registrado")</f>
        <v>JULITT  ARATEA RIOS</v>
      </c>
      <c r="D291" s="1">
        <f>IFERROR(VLOOKUP(BDREGISTROAPORTES2025[[#This Row],[NROKARDEX]],Tabla3[],11,FALSE),"NO PAGO")</f>
        <v>1058168</v>
      </c>
      <c r="E291" s="1" t="str">
        <f t="shared" si="19"/>
        <v>165</v>
      </c>
    </row>
    <row r="292" spans="1:5" x14ac:dyDescent="0.3">
      <c r="A292" s="1">
        <f t="shared" ref="A292:A313" si="22">ROW(A286)</f>
        <v>286</v>
      </c>
      <c r="C292" t="str">
        <f>IFERROR(VLOOKUP(BDREGISTROAPORTES2025[[#This Row],[NROKARDEX]],BDPADRES[],8,FALSE),"Sin registrado")</f>
        <v>ALVAIDA LARA GALVIZ</v>
      </c>
      <c r="D292" s="1">
        <f>IFERROR(VLOOKUP(BDREGISTROAPORTES2025[[#This Row],[NROKARDEX]],Tabla3[],11,FALSE),"NO PAGO")</f>
        <v>1056986</v>
      </c>
      <c r="E292" s="1" t="str">
        <f t="shared" si="19"/>
        <v>165</v>
      </c>
    </row>
    <row r="293" spans="1:5" x14ac:dyDescent="0.3">
      <c r="A293" s="1">
        <f t="shared" si="22"/>
        <v>287</v>
      </c>
      <c r="C293" t="str">
        <f>IFERROR(VLOOKUP(BDREGISTROAPORTES2025[[#This Row],[NROKARDEX]],BDPADRES[],8,FALSE),"Sin registrado")</f>
        <v>AGUSTINA CRUZ MATURANO</v>
      </c>
      <c r="D293" s="1">
        <f>IFERROR(VLOOKUP(BDREGISTROAPORTES2025[[#This Row],[NROKARDEX]],Tabla3[],11,FALSE),"NO PAGO")</f>
        <v>1058374</v>
      </c>
      <c r="E293" s="1" t="str">
        <f t="shared" si="19"/>
        <v>165</v>
      </c>
    </row>
    <row r="294" spans="1:5" x14ac:dyDescent="0.3">
      <c r="A294" s="1">
        <f t="shared" si="22"/>
        <v>288</v>
      </c>
      <c r="C294" t="str">
        <f>IFERROR(VLOOKUP(BDREGISTROAPORTES2025[[#This Row],[NROKARDEX]],BDPADRES[],8,FALSE),"Sin registrado")</f>
        <v>ARMINDA VELA GARCIA</v>
      </c>
      <c r="D294" s="1">
        <f>IFERROR(VLOOKUP(BDREGISTROAPORTES2025[[#This Row],[NROKARDEX]],Tabla3[],11,FALSE),"NO PAGO")</f>
        <v>1057319</v>
      </c>
      <c r="E294" s="1" t="str">
        <f t="shared" si="19"/>
        <v>165</v>
      </c>
    </row>
    <row r="295" spans="1:5" x14ac:dyDescent="0.3">
      <c r="A295" s="1">
        <f t="shared" si="22"/>
        <v>289</v>
      </c>
      <c r="C295" t="str">
        <f>IFERROR(VLOOKUP(BDREGISTROAPORTES2025[[#This Row],[NROKARDEX]],BDPADRES[],8,FALSE),"Sin registrado")</f>
        <v>ADALID ROSLIN VARGAS ACHO</v>
      </c>
      <c r="D295" s="1">
        <f>IFERROR(VLOOKUP(BDREGISTROAPORTES2025[[#This Row],[NROKARDEX]],Tabla3[],11,FALSE),"NO PAGO")</f>
        <v>1056287</v>
      </c>
      <c r="E295" s="1" t="str">
        <f t="shared" si="19"/>
        <v>165</v>
      </c>
    </row>
    <row r="296" spans="1:5" x14ac:dyDescent="0.3">
      <c r="A296" s="1">
        <f t="shared" si="22"/>
        <v>290</v>
      </c>
      <c r="C296" t="str">
        <f>IFERROR(VLOOKUP(BDREGISTROAPORTES2025[[#This Row],[NROKARDEX]],BDPADRES[],8,FALSE),"Sin registrado")</f>
        <v>Sin registrado</v>
      </c>
      <c r="D296" s="1" t="str">
        <f>IFERROR(VLOOKUP(BDREGISTROAPORTES2025[[#This Row],[NROKARDEX]],Tabla3[],11,FALSE),"NO PAGO")</f>
        <v>NO PAGO</v>
      </c>
      <c r="E296" s="1">
        <v>0</v>
      </c>
    </row>
    <row r="297" spans="1:5" x14ac:dyDescent="0.3">
      <c r="A297" s="1">
        <f t="shared" si="22"/>
        <v>291</v>
      </c>
      <c r="C297" t="str">
        <f>IFERROR(VLOOKUP(BDREGISTROAPORTES2025[[#This Row],[NROKARDEX]],BDPADRES[],8,FALSE),"Sin registrado")</f>
        <v>NEISA ARICOMA CORCHADO</v>
      </c>
      <c r="D297" s="1">
        <f>IFERROR(VLOOKUP(BDREGISTROAPORTES2025[[#This Row],[NROKARDEX]],Tabla3[],11,FALSE),"NO PAGO")</f>
        <v>1058623</v>
      </c>
      <c r="E297" s="1" t="str">
        <f t="shared" si="19"/>
        <v>165</v>
      </c>
    </row>
    <row r="298" spans="1:5" x14ac:dyDescent="0.3">
      <c r="A298" s="1">
        <f t="shared" si="22"/>
        <v>292</v>
      </c>
      <c r="C298" t="str">
        <f>IFERROR(VLOOKUP(BDREGISTROAPORTES2025[[#This Row],[NROKARDEX]],BDPADRES[],8,FALSE),"Sin registrado")</f>
        <v>LIDIA  LIMA VARGAS</v>
      </c>
      <c r="D298" s="1">
        <f>IFERROR(VLOOKUP(BDREGISTROAPORTES2025[[#This Row],[NROKARDEX]],Tabla3[],11,FALSE),"NO PAGO")</f>
        <v>1058482</v>
      </c>
      <c r="E298" s="1" t="str">
        <f t="shared" si="19"/>
        <v>165</v>
      </c>
    </row>
    <row r="299" spans="1:5" x14ac:dyDescent="0.3">
      <c r="A299" s="1">
        <f t="shared" si="22"/>
        <v>293</v>
      </c>
      <c r="C299" t="str">
        <f>IFERROR(VLOOKUP(BDREGISTROAPORTES2025[[#This Row],[NROKARDEX]],BDPADRES[],8,FALSE),"Sin registrado")</f>
        <v>CINTHIA ESPONOZA FARELL</v>
      </c>
      <c r="D299" s="1">
        <f>IFERROR(VLOOKUP(BDREGISTROAPORTES2025[[#This Row],[NROKARDEX]],Tabla3[],11,FALSE),"NO PAGO")</f>
        <v>1058588</v>
      </c>
      <c r="E299" s="1" t="str">
        <f t="shared" si="19"/>
        <v>165</v>
      </c>
    </row>
    <row r="300" spans="1:5" x14ac:dyDescent="0.3">
      <c r="A300" s="1">
        <f t="shared" si="22"/>
        <v>294</v>
      </c>
      <c r="C300" t="str">
        <f>IFERROR(VLOOKUP(BDREGISTROAPORTES2025[[#This Row],[NROKARDEX]],BDPADRES[],8,FALSE),"Sin registrado")</f>
        <v>MARIA FATIMA HERRERA REVOLLO</v>
      </c>
      <c r="D300" s="1">
        <f>IFERROR(VLOOKUP(BDREGISTROAPORTES2025[[#This Row],[NROKARDEX]],Tabla3[],11,FALSE),"NO PAGO")</f>
        <v>1056913</v>
      </c>
      <c r="E300" s="1" t="str">
        <f t="shared" si="19"/>
        <v>165</v>
      </c>
    </row>
    <row r="301" spans="1:5" x14ac:dyDescent="0.3">
      <c r="A301" s="1">
        <f t="shared" si="22"/>
        <v>295</v>
      </c>
      <c r="C301" t="str">
        <f>IFERROR(VLOOKUP(BDREGISTROAPORTES2025[[#This Row],[NROKARDEX]],BDPADRES[],8,FALSE),"Sin registrado")</f>
        <v>Sin registrado</v>
      </c>
      <c r="D301" s="1" t="str">
        <f>IFERROR(VLOOKUP(BDREGISTROAPORTES2025[[#This Row],[NROKARDEX]],Tabla3[],11,FALSE),"NO PAGO")</f>
        <v>NO PAGO</v>
      </c>
      <c r="E301" s="1">
        <v>0</v>
      </c>
    </row>
    <row r="302" spans="1:5" x14ac:dyDescent="0.3">
      <c r="A302" s="1">
        <f t="shared" si="22"/>
        <v>296</v>
      </c>
      <c r="C302" t="str">
        <f>IFERROR(VLOOKUP(BDREGISTROAPORTES2025[[#This Row],[NROKARDEX]],BDPADRES[],8,FALSE),"Sin registrado")</f>
        <v>NEYDA YANETH HEREDIA RUBIO</v>
      </c>
      <c r="D302" s="1">
        <f>IFERROR(VLOOKUP(BDREGISTROAPORTES2025[[#This Row],[NROKARDEX]],Tabla3[],11,FALSE),"NO PAGO")</f>
        <v>1058609</v>
      </c>
      <c r="E302" s="1" t="str">
        <f t="shared" si="19"/>
        <v>165</v>
      </c>
    </row>
    <row r="303" spans="1:5" x14ac:dyDescent="0.3">
      <c r="A303" s="1">
        <f t="shared" si="22"/>
        <v>297</v>
      </c>
      <c r="C303" t="str">
        <f>IFERROR(VLOOKUP(BDREGISTROAPORTES2025[[#This Row],[NROKARDEX]],BDPADRES[],8,FALSE),"Sin registrado")</f>
        <v>LILY MANGUTA ARARIYO</v>
      </c>
      <c r="D303" s="1">
        <f>IFERROR(VLOOKUP(BDREGISTROAPORTES2025[[#This Row],[NROKARDEX]],Tabla3[],11,FALSE),"NO PAGO")</f>
        <v>1058213</v>
      </c>
      <c r="E303" s="1" t="str">
        <f t="shared" si="19"/>
        <v>165</v>
      </c>
    </row>
    <row r="304" spans="1:5" x14ac:dyDescent="0.3">
      <c r="A304" s="1">
        <f t="shared" si="22"/>
        <v>298</v>
      </c>
      <c r="C304" t="str">
        <f>IFERROR(VLOOKUP(BDREGISTROAPORTES2025[[#This Row],[NROKARDEX]],BDPADRES[],8,FALSE),"Sin registrado")</f>
        <v>YESMY ALBA FLORES</v>
      </c>
      <c r="D304" s="1">
        <f>IFERROR(VLOOKUP(BDREGISTROAPORTES2025[[#This Row],[NROKARDEX]],Tabla3[],11,FALSE),"NO PAGO")</f>
        <v>1058669</v>
      </c>
      <c r="E304" s="1" t="str">
        <f t="shared" si="19"/>
        <v>165</v>
      </c>
    </row>
    <row r="305" spans="1:5" x14ac:dyDescent="0.3">
      <c r="A305" s="1">
        <f t="shared" si="22"/>
        <v>299</v>
      </c>
      <c r="C305" t="str">
        <f>IFERROR(VLOOKUP(BDREGISTROAPORTES2025[[#This Row],[NROKARDEX]],BDPADRES[],8,FALSE),"Sin registrado")</f>
        <v>CARLA PATRICIA SILES NUÑEZ</v>
      </c>
      <c r="D305" s="1">
        <f>IFERROR(VLOOKUP(BDREGISTROAPORTES2025[[#This Row],[NROKARDEX]],Tabla3[],11,FALSE),"NO PAGO")</f>
        <v>1058591</v>
      </c>
      <c r="E305" s="1" t="str">
        <f t="shared" si="19"/>
        <v>165</v>
      </c>
    </row>
    <row r="306" spans="1:5" x14ac:dyDescent="0.3">
      <c r="A306" s="1">
        <f t="shared" si="22"/>
        <v>300</v>
      </c>
      <c r="C306" t="str">
        <f>IFERROR(VLOOKUP(BDREGISTROAPORTES2025[[#This Row],[NROKARDEX]],BDPADRES[],8,FALSE),"Sin registrado")</f>
        <v>SAIDA QUENTA BARRIENTOS</v>
      </c>
      <c r="D306" s="1">
        <f>IFERROR(VLOOKUP(BDREGISTROAPORTES2025[[#This Row],[NROKARDEX]],Tabla3[],11,FALSE),"NO PAGO")</f>
        <v>1058681</v>
      </c>
      <c r="E306" s="1" t="str">
        <f t="shared" si="19"/>
        <v>165</v>
      </c>
    </row>
    <row r="307" spans="1:5" x14ac:dyDescent="0.3">
      <c r="A307" s="1">
        <f t="shared" si="22"/>
        <v>301</v>
      </c>
      <c r="C307" t="str">
        <f>IFERROR(VLOOKUP(BDREGISTROAPORTES2025[[#This Row],[NROKARDEX]],BDPADRES[],8,FALSE),"Sin registrado")</f>
        <v>VICTORIA BARRIGA VEDIA</v>
      </c>
      <c r="D307" s="1">
        <f>IFERROR(VLOOKUP(BDREGISTROAPORTES2025[[#This Row],[NROKARDEX]],Tabla3[],11,FALSE),"NO PAGO")</f>
        <v>1057354</v>
      </c>
      <c r="E307" s="1" t="str">
        <f t="shared" si="19"/>
        <v>165</v>
      </c>
    </row>
    <row r="308" spans="1:5" x14ac:dyDescent="0.3">
      <c r="A308" s="1">
        <f t="shared" si="22"/>
        <v>302</v>
      </c>
      <c r="C308" t="str">
        <f>IFERROR(VLOOKUP(BDREGISTROAPORTES2025[[#This Row],[NROKARDEX]],BDPADRES[],8,FALSE),"Sin registrado")</f>
        <v>JACKELIN TORREZ ROJAS</v>
      </c>
      <c r="D308" s="1">
        <f>IFERROR(VLOOKUP(BDREGISTROAPORTES2025[[#This Row],[NROKARDEX]],Tabla3[],11,FALSE),"NO PAGO")</f>
        <v>1055974</v>
      </c>
      <c r="E308" s="1" t="str">
        <f t="shared" si="19"/>
        <v>165</v>
      </c>
    </row>
    <row r="309" spans="1:5" x14ac:dyDescent="0.3">
      <c r="A309" s="1">
        <f t="shared" si="22"/>
        <v>303</v>
      </c>
      <c r="C309" t="str">
        <f>IFERROR(VLOOKUP(BDREGISTROAPORTES2025[[#This Row],[NROKARDEX]],BDPADRES[],8,FALSE),"Sin registrado")</f>
        <v>DOLLY SALAZAR</v>
      </c>
      <c r="D309" s="1">
        <f>IFERROR(VLOOKUP(BDREGISTROAPORTES2025[[#This Row],[NROKARDEX]],Tabla3[],11,FALSE),"NO PAGO")</f>
        <v>1058553</v>
      </c>
      <c r="E309" s="1" t="str">
        <f t="shared" si="19"/>
        <v>165</v>
      </c>
    </row>
    <row r="310" spans="1:5" x14ac:dyDescent="0.3">
      <c r="A310" s="1">
        <f t="shared" si="22"/>
        <v>304</v>
      </c>
      <c r="C310" t="str">
        <f>IFERROR(VLOOKUP(BDREGISTROAPORTES2025[[#This Row],[NROKARDEX]],BDPADRES[],8,FALSE),"Sin registrado")</f>
        <v>SUSANA PRADO ASCARRAGA</v>
      </c>
      <c r="D310" s="1">
        <f>IFERROR(VLOOKUP(BDREGISTROAPORTES2025[[#This Row],[NROKARDEX]],Tabla3[],11,FALSE),"NO PAGO")</f>
        <v>1058696</v>
      </c>
      <c r="E310" s="1" t="str">
        <f t="shared" si="19"/>
        <v>165</v>
      </c>
    </row>
    <row r="311" spans="1:5" x14ac:dyDescent="0.3">
      <c r="A311" s="1">
        <f t="shared" si="22"/>
        <v>305</v>
      </c>
      <c r="C311" t="str">
        <f>IFERROR(VLOOKUP(BDREGISTROAPORTES2025[[#This Row],[NROKARDEX]],BDPADRES[],8,FALSE),"Sin registrado")</f>
        <v>Sin registrado</v>
      </c>
      <c r="D311" s="1" t="str">
        <f>IFERROR(VLOOKUP(BDREGISTROAPORTES2025[[#This Row],[NROKARDEX]],Tabla3[],11,FALSE),"NO PAGO")</f>
        <v>NO PAGO</v>
      </c>
      <c r="E311" s="1">
        <v>0</v>
      </c>
    </row>
    <row r="312" spans="1:5" x14ac:dyDescent="0.3">
      <c r="A312" s="1">
        <f t="shared" si="22"/>
        <v>306</v>
      </c>
      <c r="C312" t="str">
        <f>IFERROR(VLOOKUP(BDREGISTROAPORTES2025[[#This Row],[NROKARDEX]],BDPADRES[],8,FALSE),"Sin registrado")</f>
        <v>REBECA COLQUE ROJAS</v>
      </c>
      <c r="D312" s="1">
        <f>IFERROR(VLOOKUP(BDREGISTROAPORTES2025[[#This Row],[NROKARDEX]],Tabla3[],11,FALSE),"NO PAGO")</f>
        <v>1058614</v>
      </c>
      <c r="E312" s="1" t="str">
        <f t="shared" si="19"/>
        <v>165</v>
      </c>
    </row>
    <row r="313" spans="1:5" x14ac:dyDescent="0.3">
      <c r="A313" s="1">
        <f t="shared" si="22"/>
        <v>307</v>
      </c>
      <c r="C313" t="str">
        <f>IFERROR(VLOOKUP(BDREGISTROAPORTES2025[[#This Row],[NROKARDEX]],BDPADRES[],8,FALSE),"Sin registrado")</f>
        <v>MARITZA VALLEJOS AGUILERA</v>
      </c>
      <c r="D313" s="1">
        <f>IFERROR(VLOOKUP(BDREGISTROAPORTES2025[[#This Row],[NROKARDEX]],Tabla3[],11,FALSE),"NO PAGO")</f>
        <v>1058631</v>
      </c>
      <c r="E313" s="1" t="str">
        <f t="shared" si="19"/>
        <v>165</v>
      </c>
    </row>
    <row r="314" spans="1:5" x14ac:dyDescent="0.3">
      <c r="A314" s="1">
        <f t="shared" ref="A314:A330" si="23">ROW(A308)</f>
        <v>308</v>
      </c>
      <c r="C314" t="str">
        <f>IFERROR(VLOOKUP(BDREGISTROAPORTES2025[[#This Row],[NROKARDEX]],BDPADRES[],8,FALSE),"Sin registrado")</f>
        <v>YOLANDA ALARCON GUZMAN</v>
      </c>
      <c r="D314" s="1">
        <f>IFERROR(VLOOKUP(BDREGISTROAPORTES2025[[#This Row],[NROKARDEX]],Tabla3[],11,FALSE),"NO PAGO")</f>
        <v>1056886</v>
      </c>
      <c r="E314" s="1" t="str">
        <f t="shared" si="19"/>
        <v>165</v>
      </c>
    </row>
    <row r="315" spans="1:5" x14ac:dyDescent="0.3">
      <c r="A315" s="1">
        <f t="shared" si="23"/>
        <v>309</v>
      </c>
      <c r="C315" t="str">
        <f>IFERROR(VLOOKUP(BDREGISTROAPORTES2025[[#This Row],[NROKARDEX]],BDPADRES[],8,FALSE),"Sin registrado")</f>
        <v>ROSA  ESPINOZA LLANOS</v>
      </c>
      <c r="D315" s="1">
        <f>IFERROR(VLOOKUP(BDREGISTROAPORTES2025[[#This Row],[NROKARDEX]],Tabla3[],11,FALSE),"NO PAGO")</f>
        <v>1057202</v>
      </c>
      <c r="E315" s="1" t="str">
        <f t="shared" si="19"/>
        <v>165</v>
      </c>
    </row>
    <row r="316" spans="1:5" x14ac:dyDescent="0.3">
      <c r="A316" s="1">
        <f t="shared" si="23"/>
        <v>310</v>
      </c>
      <c r="C316" t="str">
        <f>IFERROR(VLOOKUP(BDREGISTROAPORTES2025[[#This Row],[NROKARDEX]],BDPADRES[],8,FALSE),"Sin registrado")</f>
        <v>MARTINA VILLCA FLORES</v>
      </c>
      <c r="D316" s="1">
        <f>IFERROR(VLOOKUP(BDREGISTROAPORTES2025[[#This Row],[NROKARDEX]],Tabla3[],11,FALSE),"NO PAGO")</f>
        <v>1057869</v>
      </c>
      <c r="E316" s="1" t="str">
        <f t="shared" si="19"/>
        <v>165</v>
      </c>
    </row>
    <row r="317" spans="1:5" x14ac:dyDescent="0.3">
      <c r="A317" s="1">
        <f t="shared" si="23"/>
        <v>311</v>
      </c>
      <c r="C317" t="str">
        <f>IFERROR(VLOOKUP(BDREGISTROAPORTES2025[[#This Row],[NROKARDEX]],BDPADRES[],8,FALSE),"Sin registrado")</f>
        <v>JUANITA GONZALES BANEGAS</v>
      </c>
      <c r="D317" s="1">
        <f>IFERROR(VLOOKUP(BDREGISTROAPORTES2025[[#This Row],[NROKARDEX]],Tabla3[],11,FALSE),"NO PAGO")</f>
        <v>1057597</v>
      </c>
      <c r="E317" s="1" t="str">
        <f t="shared" si="19"/>
        <v>165</v>
      </c>
    </row>
    <row r="318" spans="1:5" x14ac:dyDescent="0.3">
      <c r="A318" s="1">
        <f t="shared" si="23"/>
        <v>312</v>
      </c>
      <c r="C318" t="str">
        <f>IFERROR(VLOOKUP(BDREGISTROAPORTES2025[[#This Row],[NROKARDEX]],BDPADRES[],8,FALSE),"Sin registrado")</f>
        <v>MARCIANA APAZA FLORES</v>
      </c>
      <c r="D318" s="1">
        <f>IFERROR(VLOOKUP(BDREGISTROAPORTES2025[[#This Row],[NROKARDEX]],Tabla3[],11,FALSE),"NO PAGO")</f>
        <v>1058514</v>
      </c>
      <c r="E318" s="1" t="str">
        <f t="shared" si="19"/>
        <v>165</v>
      </c>
    </row>
    <row r="319" spans="1:5" x14ac:dyDescent="0.3">
      <c r="A319" s="1">
        <f t="shared" si="23"/>
        <v>313</v>
      </c>
      <c r="C319" t="str">
        <f>IFERROR(VLOOKUP(BDREGISTROAPORTES2025[[#This Row],[NROKARDEX]],BDPADRES[],8,FALSE),"Sin registrado")</f>
        <v>YULI MIRANDA PADILLA</v>
      </c>
      <c r="D319" s="1">
        <f>IFERROR(VLOOKUP(BDREGISTROAPORTES2025[[#This Row],[NROKARDEX]],Tabla3[],11,FALSE),"NO PAGO")</f>
        <v>1058389</v>
      </c>
      <c r="E319" s="1" t="str">
        <f t="shared" si="19"/>
        <v>165</v>
      </c>
    </row>
    <row r="320" spans="1:5" x14ac:dyDescent="0.3">
      <c r="A320" s="1">
        <f t="shared" si="23"/>
        <v>314</v>
      </c>
      <c r="C320" t="str">
        <f>IFERROR(VLOOKUP(BDREGISTROAPORTES2025[[#This Row],[NROKARDEX]],BDPADRES[],8,FALSE),"Sin registrado")</f>
        <v>LURDES GUZMAN LEDEZMA</v>
      </c>
      <c r="D320" s="1">
        <f>IFERROR(VLOOKUP(BDREGISTROAPORTES2025[[#This Row],[NROKARDEX]],Tabla3[],11,FALSE),"NO PAGO")</f>
        <v>1058728</v>
      </c>
      <c r="E320" s="1" t="str">
        <f t="shared" si="19"/>
        <v>165</v>
      </c>
    </row>
    <row r="321" spans="1:5" x14ac:dyDescent="0.3">
      <c r="A321" s="1">
        <f t="shared" si="23"/>
        <v>315</v>
      </c>
      <c r="C321" t="str">
        <f>IFERROR(VLOOKUP(BDREGISTROAPORTES2025[[#This Row],[NROKARDEX]],BDPADRES[],8,FALSE),"Sin registrado")</f>
        <v>BEATRIZ ESTRADA BOCANEGRA</v>
      </c>
      <c r="D321" s="1">
        <f>IFERROR(VLOOKUP(BDREGISTROAPORTES2025[[#This Row],[NROKARDEX]],Tabla3[],11,FALSE),"NO PAGO")</f>
        <v>11724206</v>
      </c>
      <c r="E321" s="1" t="str">
        <f t="shared" si="19"/>
        <v>165</v>
      </c>
    </row>
    <row r="322" spans="1:5" x14ac:dyDescent="0.3">
      <c r="A322" s="1">
        <f t="shared" si="23"/>
        <v>316</v>
      </c>
      <c r="C322" t="str">
        <f>IFERROR(VLOOKUP(BDREGISTROAPORTES2025[[#This Row],[NROKARDEX]],BDPADRES[],8,FALSE),"Sin registrado")</f>
        <v>HILARIA CRUZ ROMERO</v>
      </c>
      <c r="D322" s="1">
        <f>IFERROR(VLOOKUP(BDREGISTROAPORTES2025[[#This Row],[NROKARDEX]],Tabla3[],11,FALSE),"NO PAGO")</f>
        <v>1058554</v>
      </c>
      <c r="E322" s="1" t="str">
        <f t="shared" si="19"/>
        <v>165</v>
      </c>
    </row>
    <row r="323" spans="1:5" x14ac:dyDescent="0.3">
      <c r="A323" s="1">
        <f t="shared" si="23"/>
        <v>317</v>
      </c>
      <c r="C323" t="str">
        <f>IFERROR(VLOOKUP(BDREGISTROAPORTES2025[[#This Row],[NROKARDEX]],BDPADRES[],8,FALSE),"Sin registrado")</f>
        <v>Sin registrado</v>
      </c>
      <c r="D323" s="1" t="str">
        <f>IFERROR(VLOOKUP(BDREGISTROAPORTES2025[[#This Row],[NROKARDEX]],Tabla3[],11,FALSE),"NO PAGO")</f>
        <v>NO PAGO</v>
      </c>
      <c r="E323" s="1">
        <v>0</v>
      </c>
    </row>
    <row r="324" spans="1:5" x14ac:dyDescent="0.3">
      <c r="A324" s="1">
        <f t="shared" si="23"/>
        <v>318</v>
      </c>
      <c r="C324" t="str">
        <f>IFERROR(VLOOKUP(BDREGISTROAPORTES2025[[#This Row],[NROKARDEX]],BDPADRES[],8,FALSE),"Sin registrado")</f>
        <v>DIONICIA VASQUEZ HIDALGO</v>
      </c>
      <c r="D324" s="1">
        <f>IFERROR(VLOOKUP(BDREGISTROAPORTES2025[[#This Row],[NROKARDEX]],Tabla3[],11,FALSE),"NO PAGO")</f>
        <v>1058758</v>
      </c>
      <c r="E324" s="1" t="str">
        <f t="shared" si="19"/>
        <v>165</v>
      </c>
    </row>
    <row r="325" spans="1:5" x14ac:dyDescent="0.3">
      <c r="A325" s="1">
        <f t="shared" si="23"/>
        <v>319</v>
      </c>
      <c r="C325" t="str">
        <f>IFERROR(VLOOKUP(BDREGISTROAPORTES2025[[#This Row],[NROKARDEX]],BDPADRES[],8,FALSE),"Sin registrado")</f>
        <v>LUCY   FAREL GUEVARA</v>
      </c>
      <c r="D325" s="1">
        <f>IFERROR(VLOOKUP(BDREGISTROAPORTES2025[[#This Row],[NROKARDEX]],Tabla3[],11,FALSE),"NO PAGO")</f>
        <v>1058595</v>
      </c>
      <c r="E325" s="1" t="str">
        <f t="shared" si="19"/>
        <v>165</v>
      </c>
    </row>
    <row r="326" spans="1:5" x14ac:dyDescent="0.3">
      <c r="A326" s="1">
        <f t="shared" si="23"/>
        <v>320</v>
      </c>
      <c r="C326" t="str">
        <f>IFERROR(VLOOKUP(BDREGISTROAPORTES2025[[#This Row],[NROKARDEX]],BDPADRES[],8,FALSE),"Sin registrado")</f>
        <v>JUANA SORIA MORON</v>
      </c>
      <c r="D326" s="1">
        <f>IFERROR(VLOOKUP(BDREGISTROAPORTES2025[[#This Row],[NROKARDEX]],Tabla3[],11,FALSE),"NO PAGO")</f>
        <v>1055228</v>
      </c>
      <c r="E326" s="1" t="str">
        <f t="shared" si="19"/>
        <v>165</v>
      </c>
    </row>
    <row r="327" spans="1:5" x14ac:dyDescent="0.3">
      <c r="A327" s="1">
        <f t="shared" si="23"/>
        <v>321</v>
      </c>
      <c r="C327" t="str">
        <f>IFERROR(VLOOKUP(BDREGISTROAPORTES2025[[#This Row],[NROKARDEX]],BDPADRES[],8,FALSE),"Sin registrado")</f>
        <v>MARIA VILLARPANDO AVILA</v>
      </c>
      <c r="D327" s="1">
        <f>IFERROR(VLOOKUP(BDREGISTROAPORTES2025[[#This Row],[NROKARDEX]],Tabla3[],11,FALSE),"NO PAGO")</f>
        <v>1058618</v>
      </c>
      <c r="E327" s="1" t="str">
        <f t="shared" ref="E327:E390" si="24">IF(D327="NO",0,"165")</f>
        <v>165</v>
      </c>
    </row>
    <row r="328" spans="1:5" x14ac:dyDescent="0.3">
      <c r="A328" s="1">
        <f t="shared" si="23"/>
        <v>322</v>
      </c>
      <c r="C328" t="str">
        <f>IFERROR(VLOOKUP(BDREGISTROAPORTES2025[[#This Row],[NROKARDEX]],BDPADRES[],8,FALSE),"Sin registrado")</f>
        <v>REINA SERRUDO GUERRA</v>
      </c>
      <c r="D328" s="1">
        <f>IFERROR(VLOOKUP(BDREGISTROAPORTES2025[[#This Row],[NROKARDEX]],Tabla3[],11,FALSE),"NO PAGO")</f>
        <v>1058627</v>
      </c>
      <c r="E328" s="1" t="str">
        <f t="shared" si="24"/>
        <v>165</v>
      </c>
    </row>
    <row r="329" spans="1:5" x14ac:dyDescent="0.3">
      <c r="A329" s="1">
        <f t="shared" si="23"/>
        <v>323</v>
      </c>
      <c r="C329" t="str">
        <f>IFERROR(VLOOKUP(BDREGISTROAPORTES2025[[#This Row],[NROKARDEX]],BDPADRES[],8,FALSE),"Sin registrado")</f>
        <v>Sin registrado</v>
      </c>
      <c r="D329" s="1" t="str">
        <f>IFERROR(VLOOKUP(BDREGISTROAPORTES2025[[#This Row],[NROKARDEX]],Tabla3[],11,FALSE),"NO PAGO")</f>
        <v>NO PAGO</v>
      </c>
      <c r="E329" s="1">
        <v>0</v>
      </c>
    </row>
    <row r="330" spans="1:5" x14ac:dyDescent="0.3">
      <c r="A330" s="1">
        <f t="shared" si="23"/>
        <v>324</v>
      </c>
      <c r="C330" t="str">
        <f>IFERROR(VLOOKUP(BDREGISTROAPORTES2025[[#This Row],[NROKARDEX]],BDPADRES[],8,FALSE),"Sin registrado")</f>
        <v>MILDREM ABIGAIL ANCASI ESPINOZA</v>
      </c>
      <c r="D330" s="1">
        <f>IFERROR(VLOOKUP(BDREGISTROAPORTES2025[[#This Row],[NROKARDEX]],Tabla3[],11,FALSE),"NO PAGO")</f>
        <v>1058504</v>
      </c>
      <c r="E330" s="1" t="str">
        <f t="shared" si="24"/>
        <v>165</v>
      </c>
    </row>
    <row r="331" spans="1:5" x14ac:dyDescent="0.3">
      <c r="A331" s="1">
        <f t="shared" ref="A331:A349" si="25">ROW(A325)</f>
        <v>325</v>
      </c>
      <c r="C331" t="str">
        <f>IFERROR(VLOOKUP(BDREGISTROAPORTES2025[[#This Row],[NROKARDEX]],BDPADRES[],8,FALSE),"Sin registrado")</f>
        <v>VERONICA CHUMACERO MAMANI</v>
      </c>
      <c r="D331" s="1">
        <f>IFERROR(VLOOKUP(BDREGISTROAPORTES2025[[#This Row],[NROKARDEX]],Tabla3[],11,FALSE),"NO PAGO")</f>
        <v>1057563</v>
      </c>
      <c r="E331" s="1" t="str">
        <f t="shared" si="24"/>
        <v>165</v>
      </c>
    </row>
    <row r="332" spans="1:5" x14ac:dyDescent="0.3">
      <c r="A332" s="1">
        <f t="shared" si="25"/>
        <v>326</v>
      </c>
      <c r="C332" t="str">
        <f>IFERROR(VLOOKUP(BDREGISTROAPORTES2025[[#This Row],[NROKARDEX]],BDPADRES[],8,FALSE),"Sin registrado")</f>
        <v>ANGELICA GUDELIA SANDOVAL LOPEZ</v>
      </c>
      <c r="D332" s="1">
        <f>IFERROR(VLOOKUP(BDREGISTROAPORTES2025[[#This Row],[NROKARDEX]],Tabla3[],11,FALSE),"NO PAGO")</f>
        <v>1058590</v>
      </c>
      <c r="E332" s="1" t="str">
        <f t="shared" si="24"/>
        <v>165</v>
      </c>
    </row>
    <row r="333" spans="1:5" x14ac:dyDescent="0.3">
      <c r="A333" s="1">
        <f t="shared" si="25"/>
        <v>327</v>
      </c>
      <c r="C333" t="str">
        <f>IFERROR(VLOOKUP(BDREGISTROAPORTES2025[[#This Row],[NROKARDEX]],BDPADRES[],8,FALSE),"Sin registrado")</f>
        <v>JAQUELIN ROMAN MENCARI</v>
      </c>
      <c r="D333" s="1">
        <f>IFERROR(VLOOKUP(BDREGISTROAPORTES2025[[#This Row],[NROKARDEX]],Tabla3[],11,FALSE),"NO PAGO")</f>
        <v>1058023</v>
      </c>
      <c r="E333" s="1" t="str">
        <f t="shared" si="24"/>
        <v>165</v>
      </c>
    </row>
    <row r="334" spans="1:5" x14ac:dyDescent="0.3">
      <c r="A334" s="1">
        <f t="shared" si="25"/>
        <v>328</v>
      </c>
      <c r="C334" t="str">
        <f>IFERROR(VLOOKUP(BDREGISTROAPORTES2025[[#This Row],[NROKARDEX]],BDPADRES[],8,FALSE),"Sin registrado")</f>
        <v>PEREGRINA VARGAS CUCHALLO</v>
      </c>
      <c r="D334" s="1">
        <f>IFERROR(VLOOKUP(BDREGISTROAPORTES2025[[#This Row],[NROKARDEX]],Tabla3[],11,FALSE),"NO PAGO")</f>
        <v>1058701</v>
      </c>
      <c r="E334" s="1" t="str">
        <f t="shared" si="24"/>
        <v>165</v>
      </c>
    </row>
    <row r="335" spans="1:5" x14ac:dyDescent="0.3">
      <c r="A335" s="1">
        <f t="shared" si="25"/>
        <v>329</v>
      </c>
      <c r="C335" t="str">
        <f>IFERROR(VLOOKUP(BDREGISTROAPORTES2025[[#This Row],[NROKARDEX]],BDPADRES[],8,FALSE),"Sin registrado")</f>
        <v>NORMA ARANCIBIA FIGUEROA</v>
      </c>
      <c r="D335" s="1">
        <f>IFERROR(VLOOKUP(BDREGISTROAPORTES2025[[#This Row],[NROKARDEX]],Tabla3[],11,FALSE),"NO PAGO")</f>
        <v>1058487</v>
      </c>
      <c r="E335" s="1" t="str">
        <f t="shared" si="24"/>
        <v>165</v>
      </c>
    </row>
    <row r="336" spans="1:5" x14ac:dyDescent="0.3">
      <c r="A336" s="1">
        <f t="shared" si="25"/>
        <v>330</v>
      </c>
      <c r="C336" t="str">
        <f>IFERROR(VLOOKUP(BDREGISTROAPORTES2025[[#This Row],[NROKARDEX]],BDPADRES[],8,FALSE),"Sin registrado")</f>
        <v>Sin registrado</v>
      </c>
      <c r="D336" s="1" t="str">
        <f>IFERROR(VLOOKUP(BDREGISTROAPORTES2025[[#This Row],[NROKARDEX]],Tabla3[],11,FALSE),"NO PAGO")</f>
        <v>NO PAGO</v>
      </c>
      <c r="E336" s="1">
        <v>0</v>
      </c>
    </row>
    <row r="337" spans="1:5" x14ac:dyDescent="0.3">
      <c r="A337" s="1">
        <f t="shared" si="25"/>
        <v>331</v>
      </c>
      <c r="C337" t="str">
        <f>IFERROR(VLOOKUP(BDREGISTROAPORTES2025[[#This Row],[NROKARDEX]],BDPADRES[],8,FALSE),"Sin registrado")</f>
        <v>LAURA RIVERA ROSSEL</v>
      </c>
      <c r="D337" s="1">
        <f>IFERROR(VLOOKUP(BDREGISTROAPORTES2025[[#This Row],[NROKARDEX]],Tabla3[],11,FALSE),"NO PAGO")</f>
        <v>1058121</v>
      </c>
      <c r="E337" s="1" t="str">
        <f t="shared" si="24"/>
        <v>165</v>
      </c>
    </row>
    <row r="338" spans="1:5" x14ac:dyDescent="0.3">
      <c r="A338" s="1">
        <f t="shared" si="25"/>
        <v>332</v>
      </c>
      <c r="C338" t="str">
        <f>IFERROR(VLOOKUP(BDREGISTROAPORTES2025[[#This Row],[NROKARDEX]],BDPADRES[],8,FALSE),"Sin registrado")</f>
        <v>INGRID SAAVEDRA MANO</v>
      </c>
      <c r="D338" s="1">
        <f>IFERROR(VLOOKUP(BDREGISTROAPORTES2025[[#This Row],[NROKARDEX]],Tabla3[],11,FALSE),"NO PAGO")</f>
        <v>1058777</v>
      </c>
      <c r="E338" s="1" t="str">
        <f t="shared" si="24"/>
        <v>165</v>
      </c>
    </row>
    <row r="339" spans="1:5" x14ac:dyDescent="0.3">
      <c r="A339" s="1">
        <f t="shared" si="25"/>
        <v>333</v>
      </c>
      <c r="C339" t="str">
        <f>IFERROR(VLOOKUP(BDREGISTROAPORTES2025[[#This Row],[NROKARDEX]],BDPADRES[],8,FALSE),"Sin registrado")</f>
        <v>DOMINGA CABRERA ORTIZ</v>
      </c>
      <c r="D339" s="1">
        <f>IFERROR(VLOOKUP(BDREGISTROAPORTES2025[[#This Row],[NROKARDEX]],Tabla3[],11,FALSE),"NO PAGO")</f>
        <v>1055323</v>
      </c>
      <c r="E339" s="1" t="str">
        <f t="shared" si="24"/>
        <v>165</v>
      </c>
    </row>
    <row r="340" spans="1:5" x14ac:dyDescent="0.3">
      <c r="A340" s="1">
        <f t="shared" si="25"/>
        <v>334</v>
      </c>
      <c r="C340" t="str">
        <f>IFERROR(VLOOKUP(BDREGISTROAPORTES2025[[#This Row],[NROKARDEX]],BDPADRES[],8,FALSE),"Sin registrado")</f>
        <v>MARY LUZ CHAVEZ RODA</v>
      </c>
      <c r="D340" s="1">
        <f>IFERROR(VLOOKUP(BDREGISTROAPORTES2025[[#This Row],[NROKARDEX]],Tabla3[],11,FALSE),"NO PAGO")</f>
        <v>1058277</v>
      </c>
      <c r="E340" s="1" t="str">
        <f t="shared" si="24"/>
        <v>165</v>
      </c>
    </row>
    <row r="341" spans="1:5" x14ac:dyDescent="0.3">
      <c r="A341" s="1">
        <f t="shared" si="25"/>
        <v>335</v>
      </c>
      <c r="C341" t="str">
        <f>IFERROR(VLOOKUP(BDREGISTROAPORTES2025[[#This Row],[NROKARDEX]],BDPADRES[],8,FALSE),"Sin registrado")</f>
        <v>GABRIELA BANUS ESTRADA</v>
      </c>
      <c r="D341" s="1">
        <f>IFERROR(VLOOKUP(BDREGISTROAPORTES2025[[#This Row],[NROKARDEX]],Tabla3[],11,FALSE),"NO PAGO")</f>
        <v>1058319</v>
      </c>
      <c r="E341" s="1" t="str">
        <f t="shared" si="24"/>
        <v>165</v>
      </c>
    </row>
    <row r="342" spans="1:5" x14ac:dyDescent="0.3">
      <c r="A342" s="1">
        <f t="shared" si="25"/>
        <v>336</v>
      </c>
      <c r="C342" t="str">
        <f>IFERROR(VLOOKUP(BDREGISTROAPORTES2025[[#This Row],[NROKARDEX]],BDPADRES[],8,FALSE),"Sin registrado")</f>
        <v>ERNESTINA PADILLA GAMBOA</v>
      </c>
      <c r="D342" s="1">
        <f>IFERROR(VLOOKUP(BDREGISTROAPORTES2025[[#This Row],[NROKARDEX]],Tabla3[],11,FALSE),"NO PAGO")</f>
        <v>1058185</v>
      </c>
      <c r="E342" s="1" t="str">
        <f t="shared" si="24"/>
        <v>165</v>
      </c>
    </row>
    <row r="343" spans="1:5" x14ac:dyDescent="0.3">
      <c r="A343" s="1">
        <f t="shared" si="25"/>
        <v>337</v>
      </c>
      <c r="C343" t="str">
        <f>IFERROR(VLOOKUP(BDREGISTROAPORTES2025[[#This Row],[NROKARDEX]],BDPADRES[],8,FALSE),"Sin registrado")</f>
        <v>RAQUEL MARTINEZ PADILLA</v>
      </c>
      <c r="D343" s="1">
        <f>IFERROR(VLOOKUP(BDREGISTROAPORTES2025[[#This Row],[NROKARDEX]],Tabla3[],11,FALSE),"NO PAGO")</f>
        <v>1057967</v>
      </c>
      <c r="E343" s="1" t="str">
        <f t="shared" si="24"/>
        <v>165</v>
      </c>
    </row>
    <row r="344" spans="1:5" x14ac:dyDescent="0.3">
      <c r="A344" s="1">
        <f t="shared" si="25"/>
        <v>338</v>
      </c>
      <c r="C344" t="str">
        <f>IFERROR(VLOOKUP(BDREGISTROAPORTES2025[[#This Row],[NROKARDEX]],BDPADRES[],8,FALSE),"Sin registrado")</f>
        <v>JUANA BALDERRAMA ROQUE</v>
      </c>
      <c r="D344" s="1">
        <f>IFERROR(VLOOKUP(BDREGISTROAPORTES2025[[#This Row],[NROKARDEX]],Tabla3[],11,FALSE),"NO PAGO")</f>
        <v>1058868</v>
      </c>
      <c r="E344" s="1" t="str">
        <f t="shared" si="24"/>
        <v>165</v>
      </c>
    </row>
    <row r="345" spans="1:5" x14ac:dyDescent="0.3">
      <c r="A345" s="1">
        <f t="shared" si="25"/>
        <v>339</v>
      </c>
      <c r="C345" t="str">
        <f>IFERROR(VLOOKUP(BDREGISTROAPORTES2025[[#This Row],[NROKARDEX]],BDPADRES[],8,FALSE),"Sin registrado")</f>
        <v>CELIDA CESPEDES CARRIAZO</v>
      </c>
      <c r="D345" s="1">
        <f>IFERROR(VLOOKUP(BDREGISTROAPORTES2025[[#This Row],[NROKARDEX]],Tabla3[],11,FALSE),"NO PAGO")</f>
        <v>1058594</v>
      </c>
      <c r="E345" s="1" t="str">
        <f t="shared" si="24"/>
        <v>165</v>
      </c>
    </row>
    <row r="346" spans="1:5" x14ac:dyDescent="0.3">
      <c r="A346" s="1">
        <f t="shared" si="25"/>
        <v>340</v>
      </c>
      <c r="C346" t="str">
        <f>IFERROR(VLOOKUP(BDREGISTROAPORTES2025[[#This Row],[NROKARDEX]],BDPADRES[],8,FALSE),"Sin registrado")</f>
        <v>SILVIA GARCIA RODAS</v>
      </c>
      <c r="D346" s="1">
        <f>IFERROR(VLOOKUP(BDREGISTROAPORTES2025[[#This Row],[NROKARDEX]],Tabla3[],11,FALSE),"NO PAGO")</f>
        <v>1058870</v>
      </c>
      <c r="E346" s="1" t="str">
        <f t="shared" si="24"/>
        <v>165</v>
      </c>
    </row>
    <row r="347" spans="1:5" x14ac:dyDescent="0.3">
      <c r="A347" s="1">
        <f t="shared" si="25"/>
        <v>341</v>
      </c>
      <c r="C347" t="str">
        <f>IFERROR(VLOOKUP(BDREGISTROAPORTES2025[[#This Row],[NROKARDEX]],BDPADRES[],8,FALSE),"Sin registrado")</f>
        <v>VERONICA PINO FLORES</v>
      </c>
      <c r="D347" s="1">
        <f>IFERROR(VLOOKUP(BDREGISTROAPORTES2025[[#This Row],[NROKARDEX]],Tabla3[],11,FALSE),"NO PAGO")</f>
        <v>1058904</v>
      </c>
      <c r="E347" s="1" t="str">
        <f t="shared" si="24"/>
        <v>165</v>
      </c>
    </row>
    <row r="348" spans="1:5" x14ac:dyDescent="0.3">
      <c r="A348" s="1">
        <f t="shared" si="25"/>
        <v>342</v>
      </c>
      <c r="C348" t="str">
        <f>IFERROR(VLOOKUP(BDREGISTROAPORTES2025[[#This Row],[NROKARDEX]],BDPADRES[],8,FALSE),"Sin registrado")</f>
        <v>VALENTINA FLORES VARGAS</v>
      </c>
      <c r="D348" s="1">
        <f>IFERROR(VLOOKUP(BDREGISTROAPORTES2025[[#This Row],[NROKARDEX]],Tabla3[],11,FALSE),"NO PAGO")</f>
        <v>1058850</v>
      </c>
      <c r="E348" s="1" t="str">
        <f t="shared" si="24"/>
        <v>165</v>
      </c>
    </row>
    <row r="349" spans="1:5" x14ac:dyDescent="0.3">
      <c r="A349" s="1">
        <f t="shared" si="25"/>
        <v>343</v>
      </c>
      <c r="C349" t="str">
        <f>IFERROR(VLOOKUP(BDREGISTROAPORTES2025[[#This Row],[NROKARDEX]],BDPADRES[],8,FALSE),"Sin registrado")</f>
        <v>DEYSI SEGARRA VARGAS</v>
      </c>
      <c r="D349" s="1">
        <f>IFERROR(VLOOKUP(BDREGISTROAPORTES2025[[#This Row],[NROKARDEX]],Tabla3[],11,FALSE),"NO PAGO")</f>
        <v>1057049</v>
      </c>
      <c r="E349" s="1" t="str">
        <f t="shared" si="24"/>
        <v>165</v>
      </c>
    </row>
    <row r="350" spans="1:5" x14ac:dyDescent="0.3">
      <c r="A350" s="1">
        <f t="shared" ref="A350:A367" si="26">ROW(A344)</f>
        <v>344</v>
      </c>
      <c r="C350" t="str">
        <f>IFERROR(VLOOKUP(BDREGISTROAPORTES2025[[#This Row],[NROKARDEX]],BDPADRES[],8,FALSE),"Sin registrado")</f>
        <v>LISBETH MAMANI FIGUEROA</v>
      </c>
      <c r="D350" s="1">
        <f>IFERROR(VLOOKUP(BDREGISTROAPORTES2025[[#This Row],[NROKARDEX]],Tabla3[],11,FALSE),"NO PAGO")</f>
        <v>1057343</v>
      </c>
      <c r="E350" s="1" t="str">
        <f t="shared" si="24"/>
        <v>165</v>
      </c>
    </row>
    <row r="351" spans="1:5" x14ac:dyDescent="0.3">
      <c r="A351" s="1">
        <f t="shared" si="26"/>
        <v>345</v>
      </c>
      <c r="C351" t="str">
        <f>IFERROR(VLOOKUP(BDREGISTROAPORTES2025[[#This Row],[NROKARDEX]],BDPADRES[],8,FALSE),"Sin registrado")</f>
        <v>LUCY MAR TAPIA LARA</v>
      </c>
      <c r="D351" s="1">
        <f>IFERROR(VLOOKUP(BDREGISTROAPORTES2025[[#This Row],[NROKARDEX]],Tabla3[],11,FALSE),"NO PAGO")</f>
        <v>1057786</v>
      </c>
      <c r="E351" s="1" t="str">
        <f t="shared" si="24"/>
        <v>165</v>
      </c>
    </row>
    <row r="352" spans="1:5" x14ac:dyDescent="0.3">
      <c r="A352" s="1">
        <f t="shared" si="26"/>
        <v>346</v>
      </c>
      <c r="C352" t="str">
        <f>IFERROR(VLOOKUP(BDREGISTROAPORTES2025[[#This Row],[NROKARDEX]],BDPADRES[],8,FALSE),"Sin registrado")</f>
        <v>Sin registrado</v>
      </c>
      <c r="D352" s="1" t="str">
        <f>IFERROR(VLOOKUP(BDREGISTROAPORTES2025[[#This Row],[NROKARDEX]],Tabla3[],11,FALSE),"NO PAGO")</f>
        <v>NO PAGO</v>
      </c>
      <c r="E352" s="1">
        <v>0</v>
      </c>
    </row>
    <row r="353" spans="1:5" x14ac:dyDescent="0.3">
      <c r="A353" s="1">
        <f t="shared" si="26"/>
        <v>347</v>
      </c>
      <c r="C353" t="str">
        <f>IFERROR(VLOOKUP(BDREGISTROAPORTES2025[[#This Row],[NROKARDEX]],BDPADRES[],8,FALSE),"Sin registrado")</f>
        <v>CONCEPCION MARINA MAMANI VALLEJOS</v>
      </c>
      <c r="D353" s="1">
        <f>IFERROR(VLOOKUP(BDREGISTROAPORTES2025[[#This Row],[NROKARDEX]],Tabla3[],11,FALSE),"NO PAGO")</f>
        <v>1059008</v>
      </c>
      <c r="E353" s="1" t="str">
        <f t="shared" si="24"/>
        <v>165</v>
      </c>
    </row>
    <row r="354" spans="1:5" x14ac:dyDescent="0.3">
      <c r="A354" s="1">
        <f t="shared" si="26"/>
        <v>348</v>
      </c>
      <c r="C354" t="str">
        <f>IFERROR(VLOOKUP(BDREGISTROAPORTES2025[[#This Row],[NROKARDEX]],BDPADRES[],8,FALSE),"Sin registrado")</f>
        <v>MARY LOURDES COLQUE QUISPE</v>
      </c>
      <c r="D354" s="1">
        <f>IFERROR(VLOOKUP(BDREGISTROAPORTES2025[[#This Row],[NROKARDEX]],Tabla3[],11,FALSE),"NO PAGO")</f>
        <v>1058156</v>
      </c>
      <c r="E354" s="1" t="str">
        <f t="shared" si="24"/>
        <v>165</v>
      </c>
    </row>
    <row r="355" spans="1:5" x14ac:dyDescent="0.3">
      <c r="A355" s="1">
        <f t="shared" si="26"/>
        <v>349</v>
      </c>
      <c r="C355" t="str">
        <f>IFERROR(VLOOKUP(BDREGISTROAPORTES2025[[#This Row],[NROKARDEX]],BDPADRES[],8,FALSE),"Sin registrado")</f>
        <v>VITALIA CONDORI CRISPIN</v>
      </c>
      <c r="D355" s="1">
        <f>IFERROR(VLOOKUP(BDREGISTROAPORTES2025[[#This Row],[NROKARDEX]],Tabla3[],11,FALSE),"NO PAGO")</f>
        <v>1058743</v>
      </c>
      <c r="E355" s="1" t="str">
        <f t="shared" si="24"/>
        <v>165</v>
      </c>
    </row>
    <row r="356" spans="1:5" x14ac:dyDescent="0.3">
      <c r="A356" s="1">
        <f t="shared" si="26"/>
        <v>350</v>
      </c>
      <c r="C356" t="str">
        <f>IFERROR(VLOOKUP(BDREGISTROAPORTES2025[[#This Row],[NROKARDEX]],BDPADRES[],8,FALSE),"Sin registrado")</f>
        <v>JUANA PACHACOPA TARDIO</v>
      </c>
      <c r="D356" s="1">
        <f>IFERROR(VLOOKUP(BDREGISTROAPORTES2025[[#This Row],[NROKARDEX]],Tabla3[],11,FALSE),"NO PAGO")</f>
        <v>1058957</v>
      </c>
      <c r="E356" s="1" t="str">
        <f t="shared" si="24"/>
        <v>165</v>
      </c>
    </row>
    <row r="357" spans="1:5" x14ac:dyDescent="0.3">
      <c r="A357" s="1">
        <f t="shared" si="26"/>
        <v>351</v>
      </c>
      <c r="C357" t="str">
        <f>IFERROR(VLOOKUP(BDREGISTROAPORTES2025[[#This Row],[NROKARDEX]],BDPADRES[],8,FALSE),"Sin registrado")</f>
        <v>ROSMERY MORALES RENTERIA</v>
      </c>
      <c r="D357" s="1">
        <f>IFERROR(VLOOKUP(BDREGISTROAPORTES2025[[#This Row],[NROKARDEX]],Tabla3[],11,FALSE),"NO PAGO")</f>
        <v>1059017</v>
      </c>
      <c r="E357" s="1" t="str">
        <f t="shared" si="24"/>
        <v>165</v>
      </c>
    </row>
    <row r="358" spans="1:5" x14ac:dyDescent="0.3">
      <c r="A358" s="1">
        <f t="shared" si="26"/>
        <v>352</v>
      </c>
      <c r="C358" t="str">
        <f>IFERROR(VLOOKUP(BDREGISTROAPORTES2025[[#This Row],[NROKARDEX]],BDPADRES[],8,FALSE),"Sin registrado")</f>
        <v>FLORA COPA MAMANI</v>
      </c>
      <c r="D358" s="1">
        <f>IFERROR(VLOOKUP(BDREGISTROAPORTES2025[[#This Row],[NROKARDEX]],Tabla3[],11,FALSE),"NO PAGO")</f>
        <v>1040212</v>
      </c>
      <c r="E358" s="1" t="str">
        <f t="shared" si="24"/>
        <v>165</v>
      </c>
    </row>
    <row r="359" spans="1:5" x14ac:dyDescent="0.3">
      <c r="A359" s="1">
        <f t="shared" si="26"/>
        <v>353</v>
      </c>
      <c r="C359" t="str">
        <f>IFERROR(VLOOKUP(BDREGISTROAPORTES2025[[#This Row],[NROKARDEX]],BDPADRES[],8,FALSE),"Sin registrado")</f>
        <v>LORENZA GONZALES SERRANO</v>
      </c>
      <c r="D359" s="1">
        <f>IFERROR(VLOOKUP(BDREGISTROAPORTES2025[[#This Row],[NROKARDEX]],Tabla3[],11,FALSE),"NO PAGO")</f>
        <v>1059028</v>
      </c>
      <c r="E359" s="1" t="str">
        <f t="shared" si="24"/>
        <v>165</v>
      </c>
    </row>
    <row r="360" spans="1:5" x14ac:dyDescent="0.3">
      <c r="A360" s="1">
        <f t="shared" si="26"/>
        <v>354</v>
      </c>
      <c r="C360" t="str">
        <f>IFERROR(VLOOKUP(BDREGISTROAPORTES2025[[#This Row],[NROKARDEX]],BDPADRES[],8,FALSE),"Sin registrado")</f>
        <v>SAVINA LLANOS GUZMAN</v>
      </c>
      <c r="D360" s="1">
        <f>IFERROR(VLOOKUP(BDREGISTROAPORTES2025[[#This Row],[NROKARDEX]],Tabla3[],11,FALSE),"NO PAGO")</f>
        <v>1058994</v>
      </c>
      <c r="E360" s="1" t="str">
        <f t="shared" si="24"/>
        <v>165</v>
      </c>
    </row>
    <row r="361" spans="1:5" x14ac:dyDescent="0.3">
      <c r="A361" s="1">
        <f t="shared" si="26"/>
        <v>355</v>
      </c>
      <c r="C361" t="str">
        <f>IFERROR(VLOOKUP(BDREGISTROAPORTES2025[[#This Row],[NROKARDEX]],BDPADRES[],8,FALSE),"Sin registrado")</f>
        <v>FELICIDAD PUMA ROSAS</v>
      </c>
      <c r="D361" s="1">
        <f>IFERROR(VLOOKUP(BDREGISTROAPORTES2025[[#This Row],[NROKARDEX]],Tabla3[],11,FALSE),"NO PAGO")</f>
        <v>1057710</v>
      </c>
      <c r="E361" s="1" t="str">
        <f t="shared" si="24"/>
        <v>165</v>
      </c>
    </row>
    <row r="362" spans="1:5" x14ac:dyDescent="0.3">
      <c r="A362" s="1">
        <f t="shared" si="26"/>
        <v>356</v>
      </c>
      <c r="C362" t="str">
        <f>IFERROR(VLOOKUP(BDREGISTROAPORTES2025[[#This Row],[NROKARDEX]],BDPADRES[],8,FALSE),"Sin registrado")</f>
        <v>LAURA ARACELY GOMEZ HIDALGO</v>
      </c>
      <c r="D362" s="1">
        <f>IFERROR(VLOOKUP(BDREGISTROAPORTES2025[[#This Row],[NROKARDEX]],Tabla3[],11,FALSE),"NO PAGO")</f>
        <v>1058235</v>
      </c>
      <c r="E362" s="1" t="str">
        <f t="shared" si="24"/>
        <v>165</v>
      </c>
    </row>
    <row r="363" spans="1:5" x14ac:dyDescent="0.3">
      <c r="A363" s="1">
        <f t="shared" si="26"/>
        <v>357</v>
      </c>
      <c r="C363" t="str">
        <f>IFERROR(VLOOKUP(BDREGISTROAPORTES2025[[#This Row],[NROKARDEX]],BDPADRES[],8,FALSE),"Sin registrado")</f>
        <v>Sin registrado</v>
      </c>
      <c r="D363" s="1" t="str">
        <f>IFERROR(VLOOKUP(BDREGISTROAPORTES2025[[#This Row],[NROKARDEX]],Tabla3[],11,FALSE),"NO PAGO")</f>
        <v>NO PAGO</v>
      </c>
      <c r="E363" s="1">
        <v>0</v>
      </c>
    </row>
    <row r="364" spans="1:5" x14ac:dyDescent="0.3">
      <c r="A364" s="1">
        <f t="shared" si="26"/>
        <v>358</v>
      </c>
      <c r="C364" t="str">
        <f>IFERROR(VLOOKUP(BDREGISTROAPORTES2025[[#This Row],[NROKARDEX]],BDPADRES[],8,FALSE),"Sin registrado")</f>
        <v>NELFY RODAS</v>
      </c>
      <c r="D364" s="1">
        <f>IFERROR(VLOOKUP(BDREGISTROAPORTES2025[[#This Row],[NROKARDEX]],Tabla3[],11,FALSE),"NO PAGO")</f>
        <v>1058911</v>
      </c>
      <c r="E364" s="1" t="str">
        <f t="shared" si="24"/>
        <v>165</v>
      </c>
    </row>
    <row r="365" spans="1:5" x14ac:dyDescent="0.3">
      <c r="A365" s="1">
        <f t="shared" si="26"/>
        <v>359</v>
      </c>
      <c r="C365" t="str">
        <f>IFERROR(VLOOKUP(BDREGISTROAPORTES2025[[#This Row],[NROKARDEX]],BDPADRES[],8,FALSE),"Sin registrado")</f>
        <v>Sin registrado</v>
      </c>
      <c r="D365" s="1" t="str">
        <f>IFERROR(VLOOKUP(BDREGISTROAPORTES2025[[#This Row],[NROKARDEX]],Tabla3[],11,FALSE),"NO PAGO")</f>
        <v>NO PAGO</v>
      </c>
      <c r="E365" s="1">
        <v>0</v>
      </c>
    </row>
    <row r="366" spans="1:5" x14ac:dyDescent="0.3">
      <c r="A366" s="1">
        <f t="shared" si="26"/>
        <v>360</v>
      </c>
      <c r="C366" t="str">
        <f>IFERROR(VLOOKUP(BDREGISTROAPORTES2025[[#This Row],[NROKARDEX]],BDPADRES[],8,FALSE),"Sin registrado")</f>
        <v>NOEMY TORRICO DAZA</v>
      </c>
      <c r="D366" s="1">
        <f>IFERROR(VLOOKUP(BDREGISTROAPORTES2025[[#This Row],[NROKARDEX]],Tabla3[],11,FALSE),"NO PAGO")</f>
        <v>1058519</v>
      </c>
      <c r="E366" s="1" t="str">
        <f t="shared" si="24"/>
        <v>165</v>
      </c>
    </row>
    <row r="367" spans="1:5" x14ac:dyDescent="0.3">
      <c r="A367" s="1">
        <f t="shared" si="26"/>
        <v>361</v>
      </c>
      <c r="C367" t="str">
        <f>IFERROR(VLOOKUP(BDREGISTROAPORTES2025[[#This Row],[NROKARDEX]],BDPADRES[],8,FALSE),"Sin registrado")</f>
        <v>Sin registrado</v>
      </c>
      <c r="D367" s="1" t="str">
        <f>IFERROR(VLOOKUP(BDREGISTROAPORTES2025[[#This Row],[NROKARDEX]],Tabla3[],11,FALSE),"NO PAGO")</f>
        <v>NO PAGO</v>
      </c>
      <c r="E367" s="1">
        <v>0</v>
      </c>
    </row>
    <row r="368" spans="1:5" x14ac:dyDescent="0.3">
      <c r="A368" s="1">
        <f t="shared" ref="A368:A379" si="27">ROW(A362)</f>
        <v>362</v>
      </c>
      <c r="C368" t="str">
        <f>IFERROR(VLOOKUP(BDREGISTROAPORTES2025[[#This Row],[NROKARDEX]],BDPADRES[],8,FALSE),"Sin registrado")</f>
        <v>ROSALIA CONDORI ALANES</v>
      </c>
      <c r="D368" s="1">
        <f>IFERROR(VLOOKUP(BDREGISTROAPORTES2025[[#This Row],[NROKARDEX]],Tabla3[],11,FALSE),"NO PAGO")</f>
        <v>1057482</v>
      </c>
      <c r="E368" s="1" t="str">
        <f t="shared" si="24"/>
        <v>165</v>
      </c>
    </row>
    <row r="369" spans="1:5" x14ac:dyDescent="0.3">
      <c r="A369" s="1">
        <f t="shared" si="27"/>
        <v>363</v>
      </c>
      <c r="C369" t="str">
        <f>IFERROR(VLOOKUP(BDREGISTROAPORTES2025[[#This Row],[NROKARDEX]],BDPADRES[],8,FALSE),"Sin registrado")</f>
        <v>MARGARITA ABALOS</v>
      </c>
      <c r="D369" s="1">
        <f>IFERROR(VLOOKUP(BDREGISTROAPORTES2025[[#This Row],[NROKARDEX]],Tabla3[],11,FALSE),"NO PAGO")</f>
        <v>1059000</v>
      </c>
      <c r="E369" s="1" t="str">
        <f t="shared" si="24"/>
        <v>165</v>
      </c>
    </row>
    <row r="370" spans="1:5" x14ac:dyDescent="0.3">
      <c r="A370" s="1">
        <f t="shared" si="27"/>
        <v>364</v>
      </c>
      <c r="C370" t="str">
        <f>IFERROR(VLOOKUP(BDREGISTROAPORTES2025[[#This Row],[NROKARDEX]],BDPADRES[],8,FALSE),"Sin registrado")</f>
        <v>BENITA CUBA ROMERO</v>
      </c>
      <c r="D370" s="1">
        <f>IFERROR(VLOOKUP(BDREGISTROAPORTES2025[[#This Row],[NROKARDEX]],Tabla3[],11,FALSE),"NO PAGO")</f>
        <v>1057352</v>
      </c>
      <c r="E370" s="1" t="str">
        <f t="shared" si="24"/>
        <v>165</v>
      </c>
    </row>
    <row r="371" spans="1:5" x14ac:dyDescent="0.3">
      <c r="A371" s="1">
        <f t="shared" si="27"/>
        <v>365</v>
      </c>
      <c r="C371" t="str">
        <f>IFERROR(VLOOKUP(BDREGISTROAPORTES2025[[#This Row],[NROKARDEX]],BDPADRES[],8,FALSE),"Sin registrado")</f>
        <v>ROXANA RENGIPO ZAPATA</v>
      </c>
      <c r="D371" s="1">
        <f>IFERROR(VLOOKUP(BDREGISTROAPORTES2025[[#This Row],[NROKARDEX]],Tabla3[],11,FALSE),"NO PAGO")</f>
        <v>1059259</v>
      </c>
      <c r="E371" s="1" t="str">
        <f t="shared" si="24"/>
        <v>165</v>
      </c>
    </row>
    <row r="372" spans="1:5" x14ac:dyDescent="0.3">
      <c r="A372" s="1">
        <f t="shared" si="27"/>
        <v>366</v>
      </c>
      <c r="C372" t="str">
        <f>IFERROR(VLOOKUP(BDREGISTROAPORTES2025[[#This Row],[NROKARDEX]],BDPADRES[],8,FALSE),"Sin registrado")</f>
        <v>YAQUELIN CARRISALES GUTIERRES</v>
      </c>
      <c r="D372" s="1">
        <f>IFERROR(VLOOKUP(BDREGISTROAPORTES2025[[#This Row],[NROKARDEX]],Tabla3[],11,FALSE),"NO PAGO")</f>
        <v>1058050</v>
      </c>
      <c r="E372" s="1" t="str">
        <f t="shared" si="24"/>
        <v>165</v>
      </c>
    </row>
    <row r="373" spans="1:5" x14ac:dyDescent="0.3">
      <c r="A373" s="1">
        <f t="shared" si="27"/>
        <v>367</v>
      </c>
      <c r="C373" t="str">
        <f>IFERROR(VLOOKUP(BDREGISTROAPORTES2025[[#This Row],[NROKARDEX]],BDPADRES[],8,FALSE),"Sin registrado")</f>
        <v>CRISTINA  DIAZ ALVAREZ</v>
      </c>
      <c r="D373" s="1">
        <f>IFERROR(VLOOKUP(BDREGISTROAPORTES2025[[#This Row],[NROKARDEX]],Tabla3[],11,FALSE),"NO PAGO")</f>
        <v>1060058</v>
      </c>
      <c r="E373" s="1" t="str">
        <f t="shared" si="24"/>
        <v>165</v>
      </c>
    </row>
    <row r="374" spans="1:5" x14ac:dyDescent="0.3">
      <c r="A374" s="1">
        <f t="shared" si="27"/>
        <v>368</v>
      </c>
      <c r="C374" t="str">
        <f>IFERROR(VLOOKUP(BDREGISTROAPORTES2025[[#This Row],[NROKARDEX]],BDPADRES[],8,FALSE),"Sin registrado")</f>
        <v>SULMA TERESA COLQUE MIRANDA</v>
      </c>
      <c r="D374" s="1">
        <f>IFERROR(VLOOKUP(BDREGISTROAPORTES2025[[#This Row],[NROKARDEX]],Tabla3[],11,FALSE),"NO PAGO")</f>
        <v>1057210</v>
      </c>
      <c r="E374" s="1" t="str">
        <f t="shared" si="24"/>
        <v>165</v>
      </c>
    </row>
    <row r="375" spans="1:5" x14ac:dyDescent="0.3">
      <c r="A375" s="1">
        <f t="shared" si="27"/>
        <v>369</v>
      </c>
      <c r="C375" t="str">
        <f>IFERROR(VLOOKUP(BDREGISTROAPORTES2025[[#This Row],[NROKARDEX]],BDPADRES[],8,FALSE),"Sin registrado")</f>
        <v>ISABEL CRUZ BAUTISTA</v>
      </c>
      <c r="D375" s="1">
        <f>IFERROR(VLOOKUP(BDREGISTROAPORTES2025[[#This Row],[NROKARDEX]],Tabla3[],11,FALSE),"NO PAGO")</f>
        <v>1060056</v>
      </c>
      <c r="E375" s="1" t="str">
        <f t="shared" si="24"/>
        <v>165</v>
      </c>
    </row>
    <row r="376" spans="1:5" x14ac:dyDescent="0.3">
      <c r="A376" s="1">
        <f t="shared" si="27"/>
        <v>370</v>
      </c>
      <c r="C376" t="str">
        <f>IFERROR(VLOOKUP(BDREGISTROAPORTES2025[[#This Row],[NROKARDEX]],BDPADRES[],8,FALSE),"Sin registrado")</f>
        <v>MELVY EUGENIA SARACHO VILLAGOMEZ</v>
      </c>
      <c r="D376" s="1">
        <f>IFERROR(VLOOKUP(BDREGISTROAPORTES2025[[#This Row],[NROKARDEX]],Tabla3[],11,FALSE),"NO PAGO")</f>
        <v>1059180</v>
      </c>
      <c r="E376" s="1" t="str">
        <f t="shared" si="24"/>
        <v>165</v>
      </c>
    </row>
    <row r="377" spans="1:5" x14ac:dyDescent="0.3">
      <c r="A377" s="1">
        <f t="shared" si="27"/>
        <v>371</v>
      </c>
      <c r="C377" t="str">
        <f>IFERROR(VLOOKUP(BDREGISTROAPORTES2025[[#This Row],[NROKARDEX]],BDPADRES[],8,FALSE),"Sin registrado")</f>
        <v>Sin registrado</v>
      </c>
      <c r="D377" s="1" t="str">
        <f>IFERROR(VLOOKUP(BDREGISTROAPORTES2025[[#This Row],[NROKARDEX]],Tabla3[],11,FALSE),"NO PAGO")</f>
        <v>NO PAGO</v>
      </c>
      <c r="E377" s="1">
        <v>0</v>
      </c>
    </row>
    <row r="378" spans="1:5" x14ac:dyDescent="0.3">
      <c r="A378" s="1">
        <f t="shared" si="27"/>
        <v>372</v>
      </c>
      <c r="C378" t="str">
        <f>IFERROR(VLOOKUP(BDREGISTROAPORTES2025[[#This Row],[NROKARDEX]],BDPADRES[],8,FALSE),"Sin registrado")</f>
        <v>SANDRA ANDRADE ROBLES</v>
      </c>
      <c r="D378" s="1">
        <f>IFERROR(VLOOKUP(BDREGISTROAPORTES2025[[#This Row],[NROKARDEX]],Tabla3[],11,FALSE),"NO PAGO")</f>
        <v>1059161</v>
      </c>
      <c r="E378" s="1" t="str">
        <f t="shared" si="24"/>
        <v>165</v>
      </c>
    </row>
    <row r="379" spans="1:5" x14ac:dyDescent="0.3">
      <c r="A379" s="1">
        <f t="shared" si="27"/>
        <v>373</v>
      </c>
      <c r="C379" t="str">
        <f>IFERROR(VLOOKUP(BDREGISTROAPORTES2025[[#This Row],[NROKARDEX]],BDPADRES[],8,FALSE),"Sin registrado")</f>
        <v>NANCY MOJICA GONZALES</v>
      </c>
      <c r="D379" s="1">
        <f>IFERROR(VLOOKUP(BDREGISTROAPORTES2025[[#This Row],[NROKARDEX]],Tabla3[],11,FALSE),"NO PAGO")</f>
        <v>1060064</v>
      </c>
      <c r="E379" s="1" t="str">
        <f t="shared" si="24"/>
        <v>165</v>
      </c>
    </row>
    <row r="380" spans="1:5" x14ac:dyDescent="0.3">
      <c r="A380" s="1">
        <f t="shared" ref="A380:A393" si="28">ROW(A374)</f>
        <v>374</v>
      </c>
      <c r="C380" t="str">
        <f>IFERROR(VLOOKUP(BDREGISTROAPORTES2025[[#This Row],[NROKARDEX]],BDPADRES[],8,FALSE),"Sin registrado")</f>
        <v>FILOMENA CABRERA PANOZO</v>
      </c>
      <c r="D380" s="1">
        <f>IFERROR(VLOOKUP(BDREGISTROAPORTES2025[[#This Row],[NROKARDEX]],Tabla3[],11,FALSE),"NO PAGO")</f>
        <v>1059881</v>
      </c>
      <c r="E380" s="1" t="str">
        <f t="shared" si="24"/>
        <v>165</v>
      </c>
    </row>
    <row r="381" spans="1:5" x14ac:dyDescent="0.3">
      <c r="A381" s="1">
        <f t="shared" si="28"/>
        <v>375</v>
      </c>
      <c r="C381" t="str">
        <f>IFERROR(VLOOKUP(BDREGISTROAPORTES2025[[#This Row],[NROKARDEX]],BDPADRES[],8,FALSE),"Sin registrado")</f>
        <v>Sin registrado</v>
      </c>
      <c r="D381" s="1" t="str">
        <f>IFERROR(VLOOKUP(BDREGISTROAPORTES2025[[#This Row],[NROKARDEX]],Tabla3[],11,FALSE),"NO PAGO")</f>
        <v>NO PAGO</v>
      </c>
      <c r="E381" s="1">
        <v>0</v>
      </c>
    </row>
    <row r="382" spans="1:5" x14ac:dyDescent="0.3">
      <c r="A382" s="1">
        <f t="shared" si="28"/>
        <v>376</v>
      </c>
      <c r="C382" t="str">
        <f>IFERROR(VLOOKUP(BDREGISTROAPORTES2025[[#This Row],[NROKARDEX]],BDPADRES[],8,FALSE),"Sin registrado")</f>
        <v>ISILDA ASILLO MAMANI</v>
      </c>
      <c r="D382" s="1">
        <f>IFERROR(VLOOKUP(BDREGISTROAPORTES2025[[#This Row],[NROKARDEX]],Tabla3[],11,FALSE),"NO PAGO")</f>
        <v>1060087</v>
      </c>
      <c r="E382" s="1" t="str">
        <f t="shared" si="24"/>
        <v>165</v>
      </c>
    </row>
    <row r="383" spans="1:5" x14ac:dyDescent="0.3">
      <c r="A383" s="1">
        <f t="shared" si="28"/>
        <v>377</v>
      </c>
      <c r="C383" t="str">
        <f>IFERROR(VLOOKUP(BDREGISTROAPORTES2025[[#This Row],[NROKARDEX]],BDPADRES[],8,FALSE),"Sin registrado")</f>
        <v>FELICIDAD MAMANI DE FLORES</v>
      </c>
      <c r="D383" s="1">
        <f>IFERROR(VLOOKUP(BDREGISTROAPORTES2025[[#This Row],[NROKARDEX]],Tabla3[],11,FALSE),"NO PAGO")</f>
        <v>1059658</v>
      </c>
      <c r="E383" s="1" t="str">
        <f t="shared" si="24"/>
        <v>165</v>
      </c>
    </row>
    <row r="384" spans="1:5" x14ac:dyDescent="0.3">
      <c r="A384" s="1">
        <f t="shared" si="28"/>
        <v>378</v>
      </c>
      <c r="C384" t="str">
        <f>IFERROR(VLOOKUP(BDREGISTROAPORTES2025[[#This Row],[NROKARDEX]],BDPADRES[],8,FALSE),"Sin registrado")</f>
        <v>OLGA ROQUE TARAÑA</v>
      </c>
      <c r="D384" s="1">
        <f>IFERROR(VLOOKUP(BDREGISTROAPORTES2025[[#This Row],[NROKARDEX]],Tabla3[],11,FALSE),"NO PAGO")</f>
        <v>1057156</v>
      </c>
      <c r="E384" s="1" t="str">
        <f t="shared" si="24"/>
        <v>165</v>
      </c>
    </row>
    <row r="385" spans="1:5" x14ac:dyDescent="0.3">
      <c r="A385" s="1">
        <f t="shared" si="28"/>
        <v>379</v>
      </c>
      <c r="C385" t="str">
        <f>IFERROR(VLOOKUP(BDREGISTROAPORTES2025[[#This Row],[NROKARDEX]],BDPADRES[],8,FALSE),"Sin registrado")</f>
        <v>MARLENY VALVERDE CHOQUE</v>
      </c>
      <c r="D385" s="1">
        <f>IFERROR(VLOOKUP(BDREGISTROAPORTES2025[[#This Row],[NROKARDEX]],Tabla3[],11,FALSE),"NO PAGO")</f>
        <v>1059345</v>
      </c>
      <c r="E385" s="1" t="str">
        <f t="shared" si="24"/>
        <v>165</v>
      </c>
    </row>
    <row r="386" spans="1:5" x14ac:dyDescent="0.3">
      <c r="A386" s="1">
        <f t="shared" si="28"/>
        <v>380</v>
      </c>
      <c r="C386" t="str">
        <f>IFERROR(VLOOKUP(BDREGISTROAPORTES2025[[#This Row],[NROKARDEX]],BDPADRES[],8,FALSE),"Sin registrado")</f>
        <v>GUEDY MARTINEZ ROMERO</v>
      </c>
      <c r="D386" s="1">
        <f>IFERROR(VLOOKUP(BDREGISTROAPORTES2025[[#This Row],[NROKARDEX]],Tabla3[],11,FALSE),"NO PAGO")</f>
        <v>1060109</v>
      </c>
      <c r="E386" s="1" t="str">
        <f t="shared" si="24"/>
        <v>165</v>
      </c>
    </row>
    <row r="387" spans="1:5" x14ac:dyDescent="0.3">
      <c r="A387" s="1">
        <f t="shared" si="28"/>
        <v>381</v>
      </c>
      <c r="C387" t="str">
        <f>IFERROR(VLOOKUP(BDREGISTROAPORTES2025[[#This Row],[NROKARDEX]],BDPADRES[],8,FALSE),"Sin registrado")</f>
        <v>Sin registrado</v>
      </c>
      <c r="D387" s="1" t="str">
        <f>IFERROR(VLOOKUP(BDREGISTROAPORTES2025[[#This Row],[NROKARDEX]],Tabla3[],11,FALSE),"NO PAGO")</f>
        <v>NO PAGO</v>
      </c>
      <c r="E387" s="1">
        <v>0</v>
      </c>
    </row>
    <row r="388" spans="1:5" x14ac:dyDescent="0.3">
      <c r="A388" s="1">
        <f t="shared" si="28"/>
        <v>382</v>
      </c>
      <c r="C388" t="str">
        <f>IFERROR(VLOOKUP(BDREGISTROAPORTES2025[[#This Row],[NROKARDEX]],BDPADRES[],8,FALSE),"Sin registrado")</f>
        <v>FANNY MARTINEZ AGUANTA</v>
      </c>
      <c r="D388" s="1" t="str">
        <f>IFERROR(VLOOKUP(BDREGISTROAPORTES2025[[#This Row],[NROKARDEX]],Tabla3[],11,FALSE),"NO PAGO")</f>
        <v>201M143411</v>
      </c>
      <c r="E388" s="1" t="str">
        <f t="shared" si="24"/>
        <v>165</v>
      </c>
    </row>
    <row r="389" spans="1:5" x14ac:dyDescent="0.3">
      <c r="A389" s="1">
        <f t="shared" si="28"/>
        <v>383</v>
      </c>
      <c r="C389" t="str">
        <f>IFERROR(VLOOKUP(BDREGISTROAPORTES2025[[#This Row],[NROKARDEX]],BDPADRES[],8,FALSE),"Sin registrado")</f>
        <v>FRANCISCA  FIGUEROA LOAIZA</v>
      </c>
      <c r="D389" s="1">
        <f>IFERROR(VLOOKUP(BDREGISTROAPORTES2025[[#This Row],[NROKARDEX]],Tabla3[],11,FALSE),"NO PAGO")</f>
        <v>1059202</v>
      </c>
      <c r="E389" s="1" t="str">
        <f t="shared" si="24"/>
        <v>165</v>
      </c>
    </row>
    <row r="390" spans="1:5" x14ac:dyDescent="0.3">
      <c r="A390" s="1">
        <f t="shared" si="28"/>
        <v>384</v>
      </c>
      <c r="C390" t="str">
        <f>IFERROR(VLOOKUP(BDREGISTROAPORTES2025[[#This Row],[NROKARDEX]],BDPADRES[],8,FALSE),"Sin registrado")</f>
        <v>ARACELY RODRIGUEZ HURTADO</v>
      </c>
      <c r="D390" s="1">
        <f>IFERROR(VLOOKUP(BDREGISTROAPORTES2025[[#This Row],[NROKARDEX]],Tabla3[],11,FALSE),"NO PAGO")</f>
        <v>1014202501</v>
      </c>
      <c r="E390" s="1" t="str">
        <f t="shared" si="24"/>
        <v>165</v>
      </c>
    </row>
    <row r="391" spans="1:5" x14ac:dyDescent="0.3">
      <c r="A391" s="1">
        <f t="shared" si="28"/>
        <v>385</v>
      </c>
      <c r="C391" t="str">
        <f>IFERROR(VLOOKUP(BDREGISTROAPORTES2025[[#This Row],[NROKARDEX]],BDPADRES[],8,FALSE),"Sin registrado")</f>
        <v>EMI LENI MONTAÑO CARDENAS</v>
      </c>
      <c r="D391" s="1">
        <f>IFERROR(VLOOKUP(BDREGISTROAPORTES2025[[#This Row],[NROKARDEX]],Tabla3[],11,FALSE),"NO PAGO")</f>
        <v>1057917</v>
      </c>
      <c r="E391" s="1" t="str">
        <f t="shared" ref="E391:E452" si="29">IF(D391="NO",0,"165")</f>
        <v>165</v>
      </c>
    </row>
    <row r="392" spans="1:5" x14ac:dyDescent="0.3">
      <c r="A392" s="1">
        <f t="shared" si="28"/>
        <v>386</v>
      </c>
      <c r="C392" t="str">
        <f>IFERROR(VLOOKUP(BDREGISTROAPORTES2025[[#This Row],[NROKARDEX]],BDPADRES[],8,FALSE),"Sin registrado")</f>
        <v>FLORA GARCIA GOMEZ</v>
      </c>
      <c r="D392" s="1">
        <f>IFERROR(VLOOKUP(BDREGISTROAPORTES2025[[#This Row],[NROKARDEX]],Tabla3[],11,FALSE),"NO PAGO")</f>
        <v>1060133</v>
      </c>
      <c r="E392" s="1" t="str">
        <f t="shared" si="29"/>
        <v>165</v>
      </c>
    </row>
    <row r="393" spans="1:5" x14ac:dyDescent="0.3">
      <c r="A393" s="1">
        <f t="shared" si="28"/>
        <v>387</v>
      </c>
      <c r="C393" t="str">
        <f>IFERROR(VLOOKUP(BDREGISTROAPORTES2025[[#This Row],[NROKARDEX]],BDPADRES[],8,FALSE),"Sin registrado")</f>
        <v xml:space="preserve">SIN NOMBRE LLANOS  </v>
      </c>
      <c r="D393" s="1">
        <f>IFERROR(VLOOKUP(BDREGISTROAPORTES2025[[#This Row],[NROKARDEX]],Tabla3[],11,FALSE),"NO PAGO")</f>
        <v>1060132</v>
      </c>
      <c r="E393" s="1" t="str">
        <f t="shared" si="29"/>
        <v>165</v>
      </c>
    </row>
    <row r="394" spans="1:5" x14ac:dyDescent="0.3">
      <c r="A394" s="1">
        <f t="shared" ref="A394:A409" si="30">ROW(A388)</f>
        <v>388</v>
      </c>
      <c r="C394" t="str">
        <f>IFERROR(VLOOKUP(BDREGISTROAPORTES2025[[#This Row],[NROKARDEX]],BDPADRES[],8,FALSE),"Sin registrado")</f>
        <v>ANGELICA CUELLAR MENDOZA</v>
      </c>
      <c r="D394" s="1">
        <f>IFERROR(VLOOKUP(BDREGISTROAPORTES2025[[#This Row],[NROKARDEX]],Tabla3[],11,FALSE),"NO PAGO")</f>
        <v>1060134</v>
      </c>
      <c r="E394" s="1" t="str">
        <f t="shared" si="29"/>
        <v>165</v>
      </c>
    </row>
    <row r="395" spans="1:5" x14ac:dyDescent="0.3">
      <c r="A395" s="1">
        <f t="shared" si="30"/>
        <v>389</v>
      </c>
      <c r="C395" t="str">
        <f>IFERROR(VLOOKUP(BDREGISTROAPORTES2025[[#This Row],[NROKARDEX]],BDPADRES[],8,FALSE),"Sin registrado")</f>
        <v>ELVA FLORES POLANCO</v>
      </c>
      <c r="D395" s="1">
        <f>IFERROR(VLOOKUP(BDREGISTROAPORTES2025[[#This Row],[NROKARDEX]],Tabla3[],11,FALSE),"NO PAGO")</f>
        <v>1059595</v>
      </c>
      <c r="E395" s="1" t="str">
        <f t="shared" si="29"/>
        <v>165</v>
      </c>
    </row>
    <row r="396" spans="1:5" x14ac:dyDescent="0.3">
      <c r="A396" s="1">
        <f t="shared" si="30"/>
        <v>390</v>
      </c>
      <c r="C396" t="str">
        <f>IFERROR(VLOOKUP(BDREGISTROAPORTES2025[[#This Row],[NROKARDEX]],BDPADRES[],8,FALSE),"Sin registrado")</f>
        <v>MARIA RODRIGUEZ CORTEZ</v>
      </c>
      <c r="D396" s="1">
        <f>IFERROR(VLOOKUP(BDREGISTROAPORTES2025[[#This Row],[NROKARDEX]],Tabla3[],11,FALSE),"NO PAGO")</f>
        <v>1061071</v>
      </c>
      <c r="E396" s="1" t="str">
        <f t="shared" si="29"/>
        <v>165</v>
      </c>
    </row>
    <row r="397" spans="1:5" x14ac:dyDescent="0.3">
      <c r="A397" s="1">
        <f t="shared" si="30"/>
        <v>391</v>
      </c>
      <c r="C397" t="str">
        <f>IFERROR(VLOOKUP(BDREGISTROAPORTES2025[[#This Row],[NROKARDEX]],BDPADRES[],8,FALSE),"Sin registrado")</f>
        <v>LEISY AGUADO CORTEZ</v>
      </c>
      <c r="D397" s="1">
        <f>IFERROR(VLOOKUP(BDREGISTROAPORTES2025[[#This Row],[NROKARDEX]],Tabla3[],11,FALSE),"NO PAGO")</f>
        <v>1061074</v>
      </c>
      <c r="E397" s="1" t="str">
        <f t="shared" si="29"/>
        <v>165</v>
      </c>
    </row>
    <row r="398" spans="1:5" x14ac:dyDescent="0.3">
      <c r="A398" s="1">
        <f t="shared" si="30"/>
        <v>392</v>
      </c>
      <c r="C398" t="str">
        <f>IFERROR(VLOOKUP(BDREGISTROAPORTES2025[[#This Row],[NROKARDEX]],BDPADRES[],8,FALSE),"Sin registrado")</f>
        <v>IRENIA RODRIGUEZ CORTEZ</v>
      </c>
      <c r="D398" s="1">
        <f>IFERROR(VLOOKUP(BDREGISTROAPORTES2025[[#This Row],[NROKARDEX]],Tabla3[],11,FALSE),"NO PAGO")</f>
        <v>1061055</v>
      </c>
      <c r="E398" s="1" t="str">
        <f t="shared" si="29"/>
        <v>165</v>
      </c>
    </row>
    <row r="399" spans="1:5" x14ac:dyDescent="0.3">
      <c r="A399" s="1">
        <f t="shared" si="30"/>
        <v>393</v>
      </c>
      <c r="C399" t="str">
        <f>IFERROR(VLOOKUP(BDREGISTROAPORTES2025[[#This Row],[NROKARDEX]],BDPADRES[],8,FALSE),"Sin registrado")</f>
        <v>AVIGAIL ELEYDE CIFUENTES</v>
      </c>
      <c r="D399" s="1">
        <f>IFERROR(VLOOKUP(BDREGISTROAPORTES2025[[#This Row],[NROKARDEX]],Tabla3[],11,FALSE),"NO PAGO")</f>
        <v>1060614</v>
      </c>
      <c r="E399" s="1" t="str">
        <f t="shared" si="29"/>
        <v>165</v>
      </c>
    </row>
    <row r="400" spans="1:5" x14ac:dyDescent="0.3">
      <c r="A400" s="1">
        <f t="shared" si="30"/>
        <v>394</v>
      </c>
      <c r="C400" t="str">
        <f>IFERROR(VLOOKUP(BDREGISTROAPORTES2025[[#This Row],[NROKARDEX]],BDPADRES[],8,FALSE),"Sin registrado")</f>
        <v>NILCA LEAÑO VERGARA</v>
      </c>
      <c r="D400" s="1">
        <f>IFERROR(VLOOKUP(BDREGISTROAPORTES2025[[#This Row],[NROKARDEX]],Tabla3[],11,FALSE),"NO PAGO")</f>
        <v>1058785</v>
      </c>
      <c r="E400" s="1" t="str">
        <f t="shared" si="29"/>
        <v>165</v>
      </c>
    </row>
    <row r="401" spans="1:5" x14ac:dyDescent="0.3">
      <c r="A401" s="1">
        <f t="shared" si="30"/>
        <v>395</v>
      </c>
      <c r="C401" t="str">
        <f>IFERROR(VLOOKUP(BDREGISTROAPORTES2025[[#This Row],[NROKARDEX]],BDPADRES[],8,FALSE),"Sin registrado")</f>
        <v>KARLA MICHELLE MENACHO MELGAR</v>
      </c>
      <c r="D401" s="1">
        <f>IFERROR(VLOOKUP(BDREGISTROAPORTES2025[[#This Row],[NROKARDEX]],Tabla3[],11,FALSE),"NO PAGO")</f>
        <v>1057656</v>
      </c>
      <c r="E401" s="1" t="str">
        <f t="shared" si="29"/>
        <v>165</v>
      </c>
    </row>
    <row r="402" spans="1:5" x14ac:dyDescent="0.3">
      <c r="A402" s="1">
        <f t="shared" si="30"/>
        <v>396</v>
      </c>
      <c r="C402" t="str">
        <f>IFERROR(VLOOKUP(BDREGISTROAPORTES2025[[#This Row],[NROKARDEX]],BDPADRES[],8,FALSE),"Sin registrado")</f>
        <v>ERLINDA MARTINEZ CRUZ</v>
      </c>
      <c r="D402" s="1">
        <f>IFERROR(VLOOKUP(BDREGISTROAPORTES2025[[#This Row],[NROKARDEX]],Tabla3[],11,FALSE),"NO PAGO")</f>
        <v>1056642</v>
      </c>
      <c r="E402" s="1" t="str">
        <f t="shared" si="29"/>
        <v>165</v>
      </c>
    </row>
    <row r="403" spans="1:5" x14ac:dyDescent="0.3">
      <c r="A403" s="1">
        <f t="shared" si="30"/>
        <v>397</v>
      </c>
      <c r="C403" t="str">
        <f>IFERROR(VLOOKUP(BDREGISTROAPORTES2025[[#This Row],[NROKARDEX]],BDPADRES[],8,FALSE),"Sin registrado")</f>
        <v xml:space="preserve">ZONIA VEDIA   </v>
      </c>
      <c r="D403" s="1">
        <f>IFERROR(VLOOKUP(BDREGISTROAPORTES2025[[#This Row],[NROKARDEX]],Tabla3[],11,FALSE),"NO PAGO")</f>
        <v>1059146</v>
      </c>
      <c r="E403" s="1" t="str">
        <f t="shared" si="29"/>
        <v>165</v>
      </c>
    </row>
    <row r="404" spans="1:5" x14ac:dyDescent="0.3">
      <c r="A404" s="1">
        <f t="shared" si="30"/>
        <v>398</v>
      </c>
      <c r="C404" t="str">
        <f>IFERROR(VLOOKUP(BDREGISTROAPORTES2025[[#This Row],[NROKARDEX]],BDPADRES[],8,FALSE),"Sin registrado")</f>
        <v>EULALIA  CORREA ZORAIDE</v>
      </c>
      <c r="D404" s="1">
        <f>IFERROR(VLOOKUP(BDREGISTROAPORTES2025[[#This Row],[NROKARDEX]],Tabla3[],11,FALSE),"NO PAGO")</f>
        <v>1058888</v>
      </c>
      <c r="E404" s="1" t="str">
        <f t="shared" si="29"/>
        <v>165</v>
      </c>
    </row>
    <row r="405" spans="1:5" x14ac:dyDescent="0.3">
      <c r="A405" s="1">
        <f t="shared" si="30"/>
        <v>399</v>
      </c>
      <c r="C405" t="str">
        <f>IFERROR(VLOOKUP(BDREGISTROAPORTES2025[[#This Row],[NROKARDEX]],BDPADRES[],8,FALSE),"Sin registrado")</f>
        <v>DELMA RAMIREZ PEREZ</v>
      </c>
      <c r="D405" s="1">
        <f>IFERROR(VLOOKUP(BDREGISTROAPORTES2025[[#This Row],[NROKARDEX]],Tabla3[],11,FALSE),"NO PAGO")</f>
        <v>1061106</v>
      </c>
      <c r="E405" s="1" t="str">
        <f t="shared" si="29"/>
        <v>165</v>
      </c>
    </row>
    <row r="406" spans="1:5" x14ac:dyDescent="0.3">
      <c r="A406" s="1">
        <f t="shared" si="30"/>
        <v>400</v>
      </c>
      <c r="C406" t="str">
        <f>IFERROR(VLOOKUP(BDREGISTROAPORTES2025[[#This Row],[NROKARDEX]],BDPADRES[],8,FALSE),"Sin registrado")</f>
        <v>VERONICA FERNANDEZ SANTILLAN</v>
      </c>
      <c r="D406" s="1">
        <f>IFERROR(VLOOKUP(BDREGISTROAPORTES2025[[#This Row],[NROKARDEX]],Tabla3[],11,FALSE),"NO PAGO")</f>
        <v>1057360</v>
      </c>
      <c r="E406" s="1" t="str">
        <f t="shared" si="29"/>
        <v>165</v>
      </c>
    </row>
    <row r="407" spans="1:5" x14ac:dyDescent="0.3">
      <c r="A407" s="1">
        <f t="shared" si="30"/>
        <v>401</v>
      </c>
      <c r="C407" t="str">
        <f>IFERROR(VLOOKUP(BDREGISTROAPORTES2025[[#This Row],[NROKARDEX]],BDPADRES[],8,FALSE),"Sin registrado")</f>
        <v>MIRIAM FUENTES HEREDIA</v>
      </c>
      <c r="D407" s="1" t="str">
        <f>IFERROR(VLOOKUP(BDREGISTROAPORTES2025[[#This Row],[NROKARDEX]],Tabla3[],11,FALSE),"NO PAGO")</f>
        <v>10607….</v>
      </c>
      <c r="E407" s="1" t="str">
        <f t="shared" si="29"/>
        <v>165</v>
      </c>
    </row>
    <row r="408" spans="1:5" x14ac:dyDescent="0.3">
      <c r="A408" s="1">
        <f t="shared" si="30"/>
        <v>402</v>
      </c>
      <c r="C408" t="str">
        <f>IFERROR(VLOOKUP(BDREGISTROAPORTES2025[[#This Row],[NROKARDEX]],BDPADRES[],8,FALSE),"Sin registrado")</f>
        <v>ERLINDA VARON ARANCIBIA</v>
      </c>
      <c r="D408" s="1">
        <f>IFERROR(VLOOKUP(BDREGISTROAPORTES2025[[#This Row],[NROKARDEX]],Tabla3[],11,FALSE),"NO PAGO")</f>
        <v>1057222</v>
      </c>
      <c r="E408" s="1" t="str">
        <f t="shared" si="29"/>
        <v>165</v>
      </c>
    </row>
    <row r="409" spans="1:5" x14ac:dyDescent="0.3">
      <c r="A409" s="1">
        <f t="shared" si="30"/>
        <v>403</v>
      </c>
      <c r="C409" t="str">
        <f>IFERROR(VLOOKUP(BDREGISTROAPORTES2025[[#This Row],[NROKARDEX]],BDPADRES[],8,FALSE),"Sin registrado")</f>
        <v>ANGELICA GARCIA MOSTACEDO</v>
      </c>
      <c r="D409" s="1">
        <f>IFERROR(VLOOKUP(BDREGISTROAPORTES2025[[#This Row],[NROKARDEX]],Tabla3[],11,FALSE),"NO PAGO")</f>
        <v>10513610</v>
      </c>
      <c r="E409" s="1" t="str">
        <f t="shared" si="29"/>
        <v>165</v>
      </c>
    </row>
    <row r="410" spans="1:5" x14ac:dyDescent="0.3">
      <c r="A410" s="1">
        <f t="shared" ref="A410:A424" si="31">ROW(A404)</f>
        <v>404</v>
      </c>
      <c r="C410" t="str">
        <f>IFERROR(VLOOKUP(BDREGISTROAPORTES2025[[#This Row],[NROKARDEX]],BDPADRES[],8,FALSE),"Sin registrado")</f>
        <v>TANIA ANDREINA BURGOS ROBLES</v>
      </c>
      <c r="D410" s="1">
        <f>IFERROR(VLOOKUP(BDREGISTROAPORTES2025[[#This Row],[NROKARDEX]],Tabla3[],11,FALSE),"NO PAGO")</f>
        <v>1056146</v>
      </c>
      <c r="E410" s="1" t="str">
        <f t="shared" si="29"/>
        <v>165</v>
      </c>
    </row>
    <row r="411" spans="1:5" x14ac:dyDescent="0.3">
      <c r="A411" s="1">
        <f t="shared" si="31"/>
        <v>405</v>
      </c>
      <c r="C411" t="str">
        <f>IFERROR(VLOOKUP(BDREGISTROAPORTES2025[[#This Row],[NROKARDEX]],BDPADRES[],8,FALSE),"Sin registrado")</f>
        <v>YOUSELIN CRUZ LEAÑOS</v>
      </c>
      <c r="D411" s="1">
        <f>IFERROR(VLOOKUP(BDREGISTROAPORTES2025[[#This Row],[NROKARDEX]],Tabla3[],11,FALSE),"NO PAGO")</f>
        <v>1058343</v>
      </c>
      <c r="E411" s="1" t="str">
        <f t="shared" si="29"/>
        <v>165</v>
      </c>
    </row>
    <row r="412" spans="1:5" x14ac:dyDescent="0.3">
      <c r="A412" s="1">
        <f t="shared" si="31"/>
        <v>406</v>
      </c>
      <c r="C412" t="str">
        <f>IFERROR(VLOOKUP(BDREGISTROAPORTES2025[[#This Row],[NROKARDEX]],BDPADRES[],8,FALSE),"Sin registrado")</f>
        <v>ERLINDA PALENQUE BARRIGA</v>
      </c>
      <c r="D412" s="1">
        <f>IFERROR(VLOOKUP(BDREGISTROAPORTES2025[[#This Row],[NROKARDEX]],Tabla3[],11,FALSE),"NO PAGO")</f>
        <v>1057477</v>
      </c>
      <c r="E412" s="1" t="str">
        <f t="shared" si="29"/>
        <v>165</v>
      </c>
    </row>
    <row r="413" spans="1:5" x14ac:dyDescent="0.3">
      <c r="A413" s="1">
        <f t="shared" si="31"/>
        <v>407</v>
      </c>
      <c r="C413" t="str">
        <f>IFERROR(VLOOKUP(BDREGISTROAPORTES2025[[#This Row],[NROKARDEX]],BDPADRES[],8,FALSE),"Sin registrado")</f>
        <v>MARY LUZ CUCHALLO DURAN</v>
      </c>
      <c r="D413" s="1">
        <f>IFERROR(VLOOKUP(BDREGISTROAPORTES2025[[#This Row],[NROKARDEX]],Tabla3[],11,FALSE),"NO PAGO")</f>
        <v>1056414</v>
      </c>
      <c r="E413" s="1" t="str">
        <f t="shared" si="29"/>
        <v>165</v>
      </c>
    </row>
    <row r="414" spans="1:5" x14ac:dyDescent="0.3">
      <c r="A414" s="1">
        <f t="shared" si="31"/>
        <v>408</v>
      </c>
      <c r="C414" t="str">
        <f>IFERROR(VLOOKUP(BDREGISTROAPORTES2025[[#This Row],[NROKARDEX]],BDPADRES[],8,FALSE),"Sin registrado")</f>
        <v>RUBILINDA MORON CONTRERAS</v>
      </c>
      <c r="D414" s="1">
        <f>IFERROR(VLOOKUP(BDREGISTROAPORTES2025[[#This Row],[NROKARDEX]],Tabla3[],11,FALSE),"NO PAGO")</f>
        <v>1057659</v>
      </c>
      <c r="E414" s="1" t="str">
        <f t="shared" si="29"/>
        <v>165</v>
      </c>
    </row>
    <row r="415" spans="1:5" x14ac:dyDescent="0.3">
      <c r="A415" s="1">
        <f t="shared" si="31"/>
        <v>409</v>
      </c>
      <c r="C415" t="str">
        <f>IFERROR(VLOOKUP(BDREGISTROAPORTES2025[[#This Row],[NROKARDEX]],BDPADRES[],8,FALSE),"Sin registrado")</f>
        <v>TERESA FLORES CRUZ</v>
      </c>
      <c r="D415" s="1">
        <f>IFERROR(VLOOKUP(BDREGISTROAPORTES2025[[#This Row],[NROKARDEX]],Tabla3[],11,FALSE),"NO PAGO")</f>
        <v>1055949</v>
      </c>
      <c r="E415" s="1" t="str">
        <f t="shared" si="29"/>
        <v>165</v>
      </c>
    </row>
    <row r="416" spans="1:5" x14ac:dyDescent="0.3">
      <c r="A416" s="1">
        <f t="shared" si="31"/>
        <v>410</v>
      </c>
      <c r="C416" t="str">
        <f>IFERROR(VLOOKUP(BDREGISTROAPORTES2025[[#This Row],[NROKARDEX]],BDPADRES[],8,FALSE),"Sin registrado")</f>
        <v>RITA GONZALES FLORES</v>
      </c>
      <c r="D416" s="1">
        <f>IFERROR(VLOOKUP(BDREGISTROAPORTES2025[[#This Row],[NROKARDEX]],Tabla3[],11,FALSE),"NO PAGO")</f>
        <v>1057992</v>
      </c>
      <c r="E416" s="1" t="str">
        <f t="shared" si="29"/>
        <v>165</v>
      </c>
    </row>
    <row r="417" spans="1:5" x14ac:dyDescent="0.3">
      <c r="A417" s="1">
        <f t="shared" si="31"/>
        <v>411</v>
      </c>
      <c r="C417" t="str">
        <f>IFERROR(VLOOKUP(BDREGISTROAPORTES2025[[#This Row],[NROKARDEX]],BDPADRES[],8,FALSE),"Sin registrado")</f>
        <v>EDUVID OSINAGA NOVA</v>
      </c>
      <c r="D417" s="1">
        <f>IFERROR(VLOOKUP(BDREGISTROAPORTES2025[[#This Row],[NROKARDEX]],Tabla3[],11,FALSE),"NO PAGO")</f>
        <v>1060067</v>
      </c>
      <c r="E417" s="1" t="str">
        <f t="shared" si="29"/>
        <v>165</v>
      </c>
    </row>
    <row r="418" spans="1:5" x14ac:dyDescent="0.3">
      <c r="A418" s="1">
        <f t="shared" si="31"/>
        <v>412</v>
      </c>
      <c r="C418" t="str">
        <f>IFERROR(VLOOKUP(BDREGISTROAPORTES2025[[#This Row],[NROKARDEX]],BDPADRES[],8,FALSE),"Sin registrado")</f>
        <v>SANDRA JUANA FERNANDEZ CESPEDES</v>
      </c>
      <c r="D418" s="1">
        <f>IFERROR(VLOOKUP(BDREGISTROAPORTES2025[[#This Row],[NROKARDEX]],Tabla3[],11,FALSE),"NO PAGO")</f>
        <v>1057846</v>
      </c>
      <c r="E418" s="1" t="str">
        <f t="shared" si="29"/>
        <v>165</v>
      </c>
    </row>
    <row r="419" spans="1:5" x14ac:dyDescent="0.3">
      <c r="A419" s="1">
        <f t="shared" si="31"/>
        <v>413</v>
      </c>
      <c r="C419" t="str">
        <f>IFERROR(VLOOKUP(BDREGISTROAPORTES2025[[#This Row],[NROKARDEX]],BDPADRES[],8,FALSE),"Sin registrado")</f>
        <v>MARIA YANINE PRADO</v>
      </c>
      <c r="D419" s="1">
        <f>IFERROR(VLOOKUP(BDREGISTROAPORTES2025[[#This Row],[NROKARDEX]],Tabla3[],11,FALSE),"NO PAGO")</f>
        <v>1060492</v>
      </c>
      <c r="E419" s="1" t="str">
        <f t="shared" si="29"/>
        <v>165</v>
      </c>
    </row>
    <row r="420" spans="1:5" x14ac:dyDescent="0.3">
      <c r="A420" s="1">
        <f t="shared" si="31"/>
        <v>414</v>
      </c>
      <c r="C420" t="str">
        <f>IFERROR(VLOOKUP(BDREGISTROAPORTES2025[[#This Row],[NROKARDEX]],BDPADRES[],8,FALSE),"Sin registrado")</f>
        <v>MARIA NELA BARROZO ANGULO</v>
      </c>
      <c r="D420" s="1">
        <f>IFERROR(VLOOKUP(BDREGISTROAPORTES2025[[#This Row],[NROKARDEX]],Tabla3[],11,FALSE),"NO PAGO")</f>
        <v>1056333</v>
      </c>
      <c r="E420" s="1" t="str">
        <f t="shared" si="29"/>
        <v>165</v>
      </c>
    </row>
    <row r="421" spans="1:5" x14ac:dyDescent="0.3">
      <c r="A421" s="1">
        <f t="shared" si="31"/>
        <v>415</v>
      </c>
      <c r="C421" t="str">
        <f>IFERROR(VLOOKUP(BDREGISTROAPORTES2025[[#This Row],[NROKARDEX]],BDPADRES[],8,FALSE),"Sin registrado")</f>
        <v>CLAUDIA RAMIREZ CHOQUE</v>
      </c>
      <c r="D421" s="1">
        <f>IFERROR(VLOOKUP(BDREGISTROAPORTES2025[[#This Row],[NROKARDEX]],Tabla3[],11,FALSE),"NO PAGO")</f>
        <v>1058127</v>
      </c>
      <c r="E421" s="1" t="str">
        <f t="shared" si="29"/>
        <v>165</v>
      </c>
    </row>
    <row r="422" spans="1:5" x14ac:dyDescent="0.3">
      <c r="A422" s="1">
        <f t="shared" si="31"/>
        <v>416</v>
      </c>
      <c r="C422" t="str">
        <f>IFERROR(VLOOKUP(BDREGISTROAPORTES2025[[#This Row],[NROKARDEX]],BDPADRES[],8,FALSE),"Sin registrado")</f>
        <v>PAULITA ORTIZ MENDEZ</v>
      </c>
      <c r="D422" s="1">
        <f>IFERROR(VLOOKUP(BDREGISTROAPORTES2025[[#This Row],[NROKARDEX]],Tabla3[],11,FALSE),"NO PAGO")</f>
        <v>1058774</v>
      </c>
      <c r="E422" s="1" t="str">
        <f t="shared" si="29"/>
        <v>165</v>
      </c>
    </row>
    <row r="423" spans="1:5" x14ac:dyDescent="0.3">
      <c r="A423" s="1">
        <f t="shared" si="31"/>
        <v>417</v>
      </c>
      <c r="C423" t="str">
        <f>IFERROR(VLOOKUP(BDREGISTROAPORTES2025[[#This Row],[NROKARDEX]],BDPADRES[],8,FALSE),"Sin registrado")</f>
        <v>MARIA MAGDALENA FERNANDEZ ROJAS</v>
      </c>
      <c r="D423" s="1">
        <f>IFERROR(VLOOKUP(BDREGISTROAPORTES2025[[#This Row],[NROKARDEX]],Tabla3[],11,FALSE),"NO PAGO")</f>
        <v>1060843</v>
      </c>
      <c r="E423" s="1" t="str">
        <f t="shared" si="29"/>
        <v>165</v>
      </c>
    </row>
    <row r="424" spans="1:5" x14ac:dyDescent="0.3">
      <c r="A424" s="1">
        <f t="shared" si="31"/>
        <v>418</v>
      </c>
      <c r="C424" t="str">
        <f>IFERROR(VLOOKUP(BDREGISTROAPORTES2025[[#This Row],[NROKARDEX]],BDPADRES[],8,FALSE),"Sin registrado")</f>
        <v>TANIA MARCELA DELGADILLO RAMOS</v>
      </c>
      <c r="D424" s="1">
        <f>IFERROR(VLOOKUP(BDREGISTROAPORTES2025[[#This Row],[NROKARDEX]],Tabla3[],11,FALSE),"NO PAGO")</f>
        <v>1071358</v>
      </c>
      <c r="E424" s="1" t="str">
        <f t="shared" si="29"/>
        <v>165</v>
      </c>
    </row>
    <row r="425" spans="1:5" x14ac:dyDescent="0.3">
      <c r="A425" s="1">
        <f t="shared" ref="A425:A437" si="32">ROW(A419)</f>
        <v>419</v>
      </c>
      <c r="C425" t="str">
        <f>IFERROR(VLOOKUP(BDREGISTROAPORTES2025[[#This Row],[NROKARDEX]],BDPADRES[],8,FALSE),"Sin registrado")</f>
        <v>CAROLITA GUZMAN GUZMAN</v>
      </c>
      <c r="D425" s="1">
        <f>IFERROR(VLOOKUP(BDREGISTROAPORTES2025[[#This Row],[NROKARDEX]],Tabla3[],11,FALSE),"NO PAGO")</f>
        <v>1056642</v>
      </c>
      <c r="E425" s="1" t="str">
        <f t="shared" si="29"/>
        <v>165</v>
      </c>
    </row>
    <row r="426" spans="1:5" x14ac:dyDescent="0.3">
      <c r="A426" s="1">
        <f t="shared" si="32"/>
        <v>420</v>
      </c>
      <c r="C426" t="str">
        <f>IFERROR(VLOOKUP(BDREGISTROAPORTES2025[[#This Row],[NROKARDEX]],BDPADRES[],8,FALSE),"Sin registrado")</f>
        <v>YULEIDY FERNANDEZ OSINAGA</v>
      </c>
      <c r="D426" s="1">
        <f>IFERROR(VLOOKUP(BDREGISTROAPORTES2025[[#This Row],[NROKARDEX]],Tabla3[],11,FALSE),"NO PAGO")</f>
        <v>1059014</v>
      </c>
      <c r="E426" s="1" t="str">
        <f t="shared" si="29"/>
        <v>165</v>
      </c>
    </row>
    <row r="427" spans="1:5" x14ac:dyDescent="0.3">
      <c r="A427" s="1">
        <f t="shared" si="32"/>
        <v>421</v>
      </c>
      <c r="C427" t="str">
        <f>IFERROR(VLOOKUP(BDREGISTROAPORTES2025[[#This Row],[NROKARDEX]],BDPADRES[],8,FALSE),"Sin registrado")</f>
        <v>NELIDA MARTINEZ PEREZ</v>
      </c>
      <c r="D427" s="1">
        <f>IFERROR(VLOOKUP(BDREGISTROAPORTES2025[[#This Row],[NROKARDEX]],Tabla3[],11,FALSE),"NO PAGO")</f>
        <v>1059661</v>
      </c>
      <c r="E427" s="1" t="str">
        <f t="shared" si="29"/>
        <v>165</v>
      </c>
    </row>
    <row r="428" spans="1:5" x14ac:dyDescent="0.3">
      <c r="A428" s="1">
        <f t="shared" si="32"/>
        <v>422</v>
      </c>
      <c r="C428" t="str">
        <f>IFERROR(VLOOKUP(BDREGISTROAPORTES2025[[#This Row],[NROKARDEX]],BDPADRES[],8,FALSE),"Sin registrado")</f>
        <v>ELFY MORALES MOSCOSO</v>
      </c>
      <c r="D428" s="1">
        <f>IFERROR(VLOOKUP(BDREGISTROAPORTES2025[[#This Row],[NROKARDEX]],Tabla3[],11,FALSE),"NO PAGO")</f>
        <v>1059023</v>
      </c>
      <c r="E428" s="1" t="str">
        <f t="shared" si="29"/>
        <v>165</v>
      </c>
    </row>
    <row r="429" spans="1:5" x14ac:dyDescent="0.3">
      <c r="A429" s="1">
        <f t="shared" si="32"/>
        <v>423</v>
      </c>
      <c r="C429" t="str">
        <f>IFERROR(VLOOKUP(BDREGISTROAPORTES2025[[#This Row],[NROKARDEX]],BDPADRES[],8,FALSE),"Sin registrado")</f>
        <v>SILVIA  CHOQUE ESPINOZA</v>
      </c>
      <c r="D429" s="1">
        <f>IFERROR(VLOOKUP(BDREGISTROAPORTES2025[[#This Row],[NROKARDEX]],Tabla3[],11,FALSE),"NO PAGO")</f>
        <v>1058682</v>
      </c>
      <c r="E429" s="1" t="str">
        <f t="shared" si="29"/>
        <v>165</v>
      </c>
    </row>
    <row r="430" spans="1:5" x14ac:dyDescent="0.3">
      <c r="A430" s="1">
        <f t="shared" si="32"/>
        <v>424</v>
      </c>
      <c r="C430" t="str">
        <f>IFERROR(VLOOKUP(BDREGISTROAPORTES2025[[#This Row],[NROKARDEX]],BDPADRES[],8,FALSE),"Sin registrado")</f>
        <v>Sin registrado</v>
      </c>
      <c r="D430" s="1" t="str">
        <f>IFERROR(VLOOKUP(BDREGISTROAPORTES2025[[#This Row],[NROKARDEX]],Tabla3[],11,FALSE),"NO PAGO")</f>
        <v>NO PAGO</v>
      </c>
      <c r="E430" s="1">
        <v>0</v>
      </c>
    </row>
    <row r="431" spans="1:5" x14ac:dyDescent="0.3">
      <c r="A431" s="1">
        <f t="shared" si="32"/>
        <v>425</v>
      </c>
      <c r="C431" t="str">
        <f>IFERROR(VLOOKUP(BDREGISTROAPORTES2025[[#This Row],[NROKARDEX]],BDPADRES[],8,FALSE),"Sin registrado")</f>
        <v>ALICIA MAMANI GARCIA</v>
      </c>
      <c r="D431" s="1">
        <f>IFERROR(VLOOKUP(BDREGISTROAPORTES2025[[#This Row],[NROKARDEX]],Tabla3[],11,FALSE),"NO PAGO")</f>
        <v>1061105</v>
      </c>
      <c r="E431" s="1" t="str">
        <f t="shared" si="29"/>
        <v>165</v>
      </c>
    </row>
    <row r="432" spans="1:5" x14ac:dyDescent="0.3">
      <c r="A432" s="1">
        <f t="shared" si="32"/>
        <v>426</v>
      </c>
      <c r="C432" t="str">
        <f>IFERROR(VLOOKUP(BDREGISTROAPORTES2025[[#This Row],[NROKARDEX]],BDPADRES[],8,FALSE),"Sin registrado")</f>
        <v>ELIANA CONDORI QUISPE</v>
      </c>
      <c r="D432" s="1">
        <f>IFERROR(VLOOKUP(BDREGISTROAPORTES2025[[#This Row],[NROKARDEX]],Tabla3[],11,FALSE),"NO PAGO")</f>
        <v>1061613</v>
      </c>
      <c r="E432" s="1" t="str">
        <f t="shared" si="29"/>
        <v>165</v>
      </c>
    </row>
    <row r="433" spans="1:5" x14ac:dyDescent="0.3">
      <c r="A433" s="1">
        <f t="shared" si="32"/>
        <v>427</v>
      </c>
      <c r="C433" t="str">
        <f>IFERROR(VLOOKUP(BDREGISTROAPORTES2025[[#This Row],[NROKARDEX]],BDPADRES[],8,FALSE),"Sin registrado")</f>
        <v>Sin registrado</v>
      </c>
      <c r="D433" s="1" t="str">
        <f>IFERROR(VLOOKUP(BDREGISTROAPORTES2025[[#This Row],[NROKARDEX]],Tabla3[],11,FALSE),"NO PAGO")</f>
        <v>NO PAGO</v>
      </c>
      <c r="E433" s="1">
        <v>0</v>
      </c>
    </row>
    <row r="434" spans="1:5" x14ac:dyDescent="0.3">
      <c r="A434" s="1">
        <f t="shared" si="32"/>
        <v>428</v>
      </c>
      <c r="C434" t="str">
        <f>IFERROR(VLOOKUP(BDREGISTROAPORTES2025[[#This Row],[NROKARDEX]],BDPADRES[],8,FALSE),"Sin registrado")</f>
        <v>VIVIANA RIVERA AVALOS</v>
      </c>
      <c r="D434" s="1">
        <f>IFERROR(VLOOKUP(BDREGISTROAPORTES2025[[#This Row],[NROKARDEX]],Tabla3[],11,FALSE),"NO PAGO")</f>
        <v>1061755</v>
      </c>
      <c r="E434" s="1" t="str">
        <f t="shared" si="29"/>
        <v>165</v>
      </c>
    </row>
    <row r="435" spans="1:5" x14ac:dyDescent="0.3">
      <c r="A435" s="1">
        <f t="shared" si="32"/>
        <v>429</v>
      </c>
      <c r="C435" t="str">
        <f>IFERROR(VLOOKUP(BDREGISTROAPORTES2025[[#This Row],[NROKARDEX]],BDPADRES[],8,FALSE),"Sin registrado")</f>
        <v>SALOME CASTRO PINTO</v>
      </c>
      <c r="D435" s="1">
        <f>IFERROR(VLOOKUP(BDREGISTROAPORTES2025[[#This Row],[NROKARDEX]],Tabla3[],11,FALSE),"NO PAGO")</f>
        <v>1058839</v>
      </c>
      <c r="E435" s="1" t="str">
        <f t="shared" si="29"/>
        <v>165</v>
      </c>
    </row>
    <row r="436" spans="1:5" x14ac:dyDescent="0.3">
      <c r="A436" s="1">
        <f t="shared" si="32"/>
        <v>430</v>
      </c>
      <c r="C436" t="str">
        <f>IFERROR(VLOOKUP(BDREGISTROAPORTES2025[[#This Row],[NROKARDEX]],BDPADRES[],8,FALSE),"Sin registrado")</f>
        <v>SANDRA MATURANO GARCIA</v>
      </c>
      <c r="D436" s="1">
        <f>IFERROR(VLOOKUP(BDREGISTROAPORTES2025[[#This Row],[NROKARDEX]],Tabla3[],11,FALSE),"NO PAGO")</f>
        <v>1057192</v>
      </c>
      <c r="E436" s="1" t="str">
        <f t="shared" si="29"/>
        <v>165</v>
      </c>
    </row>
    <row r="437" spans="1:5" x14ac:dyDescent="0.3">
      <c r="A437" s="1">
        <f t="shared" si="32"/>
        <v>431</v>
      </c>
      <c r="C437" t="str">
        <f>IFERROR(VLOOKUP(BDREGISTROAPORTES2025[[#This Row],[NROKARDEX]],BDPADRES[],8,FALSE),"Sin registrado")</f>
        <v>MARIBEL  ARROYO ESCOBAR</v>
      </c>
      <c r="D437" s="1">
        <f>IFERROR(VLOOKUP(BDREGISTROAPORTES2025[[#This Row],[NROKARDEX]],Tabla3[],11,FALSE),"NO PAGO")</f>
        <v>1057410</v>
      </c>
      <c r="E437" s="1" t="str">
        <f t="shared" si="29"/>
        <v>165</v>
      </c>
    </row>
    <row r="438" spans="1:5" x14ac:dyDescent="0.3">
      <c r="A438" s="1">
        <f t="shared" ref="A438:A447" si="33">ROW(A432)</f>
        <v>432</v>
      </c>
      <c r="C438" t="str">
        <f>IFERROR(VLOOKUP(BDREGISTROAPORTES2025[[#This Row],[NROKARDEX]],BDPADRES[],8,FALSE),"Sin registrado")</f>
        <v>CONSUELO VANESA GARCIA ALVAREZ</v>
      </c>
      <c r="D438" s="1">
        <f>IFERROR(VLOOKUP(BDREGISTROAPORTES2025[[#This Row],[NROKARDEX]],Tabla3[],11,FALSE),"NO PAGO")</f>
        <v>1063278</v>
      </c>
      <c r="E438" s="1" t="str">
        <f t="shared" si="29"/>
        <v>165</v>
      </c>
    </row>
    <row r="439" spans="1:5" x14ac:dyDescent="0.3">
      <c r="A439" s="1">
        <f t="shared" si="33"/>
        <v>433</v>
      </c>
      <c r="C439" t="str">
        <f>IFERROR(VLOOKUP(BDREGISTROAPORTES2025[[#This Row],[NROKARDEX]],BDPADRES[],8,FALSE),"Sin registrado")</f>
        <v>ERCILIA PACHA ARCIBIA</v>
      </c>
      <c r="D439" s="1">
        <f>IFERROR(VLOOKUP(BDREGISTROAPORTES2025[[#This Row],[NROKARDEX]],Tabla3[],11,FALSE),"NO PAGO")</f>
        <v>1063214</v>
      </c>
      <c r="E439" s="1" t="str">
        <f t="shared" si="29"/>
        <v>165</v>
      </c>
    </row>
    <row r="440" spans="1:5" x14ac:dyDescent="0.3">
      <c r="A440" s="1">
        <f t="shared" si="33"/>
        <v>434</v>
      </c>
      <c r="C440" t="str">
        <f>IFERROR(VLOOKUP(BDREGISTROAPORTES2025[[#This Row],[NROKARDEX]],BDPADRES[],8,FALSE),"Sin registrado")</f>
        <v>IDE RODRIGUEZ LIZO</v>
      </c>
      <c r="D440" s="1">
        <f>IFERROR(VLOOKUP(BDREGISTROAPORTES2025[[#This Row],[NROKARDEX]],Tabla3[],11,FALSE),"NO PAGO")</f>
        <v>1061565</v>
      </c>
      <c r="E440" s="1" t="str">
        <f t="shared" si="29"/>
        <v>165</v>
      </c>
    </row>
    <row r="441" spans="1:5" x14ac:dyDescent="0.3">
      <c r="A441" s="1">
        <f t="shared" si="33"/>
        <v>435</v>
      </c>
      <c r="C441" t="str">
        <f>IFERROR(VLOOKUP(BDREGISTROAPORTES2025[[#This Row],[NROKARDEX]],BDPADRES[],8,FALSE),"Sin registrado")</f>
        <v>RUTH VIDAL</v>
      </c>
      <c r="D441" s="1">
        <f>IFERROR(VLOOKUP(BDREGISTROAPORTES2025[[#This Row],[NROKARDEX]],Tabla3[],11,FALSE),"NO PAGO")</f>
        <v>1061805</v>
      </c>
      <c r="E441" s="1" t="str">
        <f t="shared" si="29"/>
        <v>165</v>
      </c>
    </row>
    <row r="442" spans="1:5" x14ac:dyDescent="0.3">
      <c r="A442" s="1">
        <f t="shared" si="33"/>
        <v>436</v>
      </c>
      <c r="C442" t="str">
        <f>IFERROR(VLOOKUP(BDREGISTROAPORTES2025[[#This Row],[NROKARDEX]],BDPADRES[],8,FALSE),"Sin registrado")</f>
        <v>MARTHA HUISA ROMAN</v>
      </c>
      <c r="D442" s="1">
        <f>IFERROR(VLOOKUP(BDREGISTROAPORTES2025[[#This Row],[NROKARDEX]],Tabla3[],11,FALSE),"NO PAGO")</f>
        <v>1062995</v>
      </c>
      <c r="E442" s="1" t="str">
        <f t="shared" si="29"/>
        <v>165</v>
      </c>
    </row>
    <row r="443" spans="1:5" x14ac:dyDescent="0.3">
      <c r="A443" s="1">
        <f t="shared" si="33"/>
        <v>437</v>
      </c>
      <c r="C443" t="str">
        <f>IFERROR(VLOOKUP(BDREGISTROAPORTES2025[[#This Row],[NROKARDEX]],BDPADRES[],8,FALSE),"Sin registrado")</f>
        <v>SANTUSA MONCADA AMADOR</v>
      </c>
      <c r="D443" s="1">
        <f>IFERROR(VLOOKUP(BDREGISTROAPORTES2025[[#This Row],[NROKARDEX]],Tabla3[],11,FALSE),"NO PAGO")</f>
        <v>1058596</v>
      </c>
      <c r="E443" s="1" t="str">
        <f t="shared" si="29"/>
        <v>165</v>
      </c>
    </row>
    <row r="444" spans="1:5" x14ac:dyDescent="0.3">
      <c r="A444" s="1">
        <f t="shared" si="33"/>
        <v>438</v>
      </c>
      <c r="C444" t="str">
        <f>IFERROR(VLOOKUP(BDREGISTROAPORTES2025[[#This Row],[NROKARDEX]],BDPADRES[],8,FALSE),"Sin registrado")</f>
        <v>SABINA PADILLA ZENTENO</v>
      </c>
      <c r="D444" s="1">
        <f>IFERROR(VLOOKUP(BDREGISTROAPORTES2025[[#This Row],[NROKARDEX]],Tabla3[],11,FALSE),"NO PAGO")</f>
        <v>1062435</v>
      </c>
      <c r="E444" s="1" t="str">
        <f t="shared" si="29"/>
        <v>165</v>
      </c>
    </row>
    <row r="445" spans="1:5" x14ac:dyDescent="0.3">
      <c r="A445" s="1">
        <f t="shared" si="33"/>
        <v>439</v>
      </c>
      <c r="C445" t="str">
        <f>IFERROR(VLOOKUP(BDREGISTROAPORTES2025[[#This Row],[NROKARDEX]],BDPADRES[],8,FALSE),"Sin registrado")</f>
        <v>GIOVANA  MOREIRA VARGAS</v>
      </c>
      <c r="D445" s="1">
        <f>IFERROR(VLOOKUP(BDREGISTROAPORTES2025[[#This Row],[NROKARDEX]],Tabla3[],11,FALSE),"NO PAGO")</f>
        <v>1063545</v>
      </c>
      <c r="E445" s="1" t="str">
        <f t="shared" si="29"/>
        <v>165</v>
      </c>
    </row>
    <row r="446" spans="1:5" x14ac:dyDescent="0.3">
      <c r="A446" s="1">
        <f t="shared" si="33"/>
        <v>440</v>
      </c>
      <c r="C446" t="str">
        <f>IFERROR(VLOOKUP(BDREGISTROAPORTES2025[[#This Row],[NROKARDEX]],BDPADRES[],8,FALSE),"Sin registrado")</f>
        <v>GETHZY IVETH MAMANI FIGUEROA</v>
      </c>
      <c r="D446" s="1">
        <f>IFERROR(VLOOKUP(BDREGISTROAPORTES2025[[#This Row],[NROKARDEX]],Tabla3[],11,FALSE),"NO PAGO")</f>
        <v>1064749</v>
      </c>
      <c r="E446" s="1" t="str">
        <f t="shared" si="29"/>
        <v>165</v>
      </c>
    </row>
    <row r="447" spans="1:5" x14ac:dyDescent="0.3">
      <c r="A447" s="1">
        <f t="shared" si="33"/>
        <v>441</v>
      </c>
      <c r="C447" t="str">
        <f>IFERROR(VLOOKUP(BDREGISTROAPORTES2025[[#This Row],[NROKARDEX]],BDPADRES[],8,FALSE),"Sin registrado")</f>
        <v>DANIELA PEÑA PACHI</v>
      </c>
      <c r="D447" s="1">
        <f>IFERROR(VLOOKUP(BDREGISTROAPORTES2025[[#This Row],[NROKARDEX]],Tabla3[],11,FALSE),"NO PAGO")</f>
        <v>1057030</v>
      </c>
      <c r="E447" s="1" t="str">
        <f t="shared" si="29"/>
        <v>165</v>
      </c>
    </row>
    <row r="448" spans="1:5" x14ac:dyDescent="0.3">
      <c r="A448" s="1">
        <f t="shared" ref="A448:A458" si="34">ROW(A442)</f>
        <v>442</v>
      </c>
      <c r="C448" t="str">
        <f>IFERROR(VLOOKUP(BDREGISTROAPORTES2025[[#This Row],[NROKARDEX]],BDPADRES[],8,FALSE),"Sin registrado")</f>
        <v>RILMA FIGUEROA HINOJOSA</v>
      </c>
      <c r="D448" s="1">
        <f>IFERROR(VLOOKUP(BDREGISTROAPORTES2025[[#This Row],[NROKARDEX]],Tabla3[],11,FALSE),"NO PAGO")</f>
        <v>1064765</v>
      </c>
      <c r="E448" s="1" t="str">
        <f t="shared" si="29"/>
        <v>165</v>
      </c>
    </row>
    <row r="449" spans="1:5" x14ac:dyDescent="0.3">
      <c r="A449" s="1">
        <f t="shared" si="34"/>
        <v>443</v>
      </c>
      <c r="C449" t="str">
        <f>IFERROR(VLOOKUP(BDREGISTROAPORTES2025[[#This Row],[NROKARDEX]],BDPADRES[],8,FALSE),"Sin registrado")</f>
        <v>KARINA CHURATA LAMAS</v>
      </c>
      <c r="D449" s="1">
        <f>IFERROR(VLOOKUP(BDREGISTROAPORTES2025[[#This Row],[NROKARDEX]],Tabla3[],11,FALSE),"NO PAGO")</f>
        <v>1064969</v>
      </c>
      <c r="E449" s="1" t="str">
        <f t="shared" si="29"/>
        <v>165</v>
      </c>
    </row>
    <row r="450" spans="1:5" x14ac:dyDescent="0.3">
      <c r="A450" s="1">
        <f t="shared" si="34"/>
        <v>444</v>
      </c>
      <c r="C450" t="str">
        <f>IFERROR(VLOOKUP(BDREGISTROAPORTES2025[[#This Row],[NROKARDEX]],BDPADRES[],8,FALSE),"Sin registrado")</f>
        <v>JAHEL  ROMERO ACHO</v>
      </c>
      <c r="D450" s="1">
        <f>IFERROR(VLOOKUP(BDREGISTROAPORTES2025[[#This Row],[NROKARDEX]],Tabla3[],11,FALSE),"NO PAGO")</f>
        <v>1065135</v>
      </c>
      <c r="E450" s="1" t="str">
        <f t="shared" si="29"/>
        <v>165</v>
      </c>
    </row>
    <row r="451" spans="1:5" x14ac:dyDescent="0.3">
      <c r="A451" s="1">
        <f t="shared" si="34"/>
        <v>445</v>
      </c>
      <c r="C451" t="str">
        <f>IFERROR(VLOOKUP(BDREGISTROAPORTES2025[[#This Row],[NROKARDEX]],BDPADRES[],8,FALSE),"Sin registrado")</f>
        <v>MARISOL CHAVARRIA SANCHEZ</v>
      </c>
      <c r="D451" s="1">
        <f>IFERROR(VLOOKUP(BDREGISTROAPORTES2025[[#This Row],[NROKARDEX]],Tabla3[],11,FALSE),"NO PAGO")</f>
        <v>1057364</v>
      </c>
      <c r="E451" s="1" t="str">
        <f t="shared" si="29"/>
        <v>165</v>
      </c>
    </row>
    <row r="452" spans="1:5" x14ac:dyDescent="0.3">
      <c r="A452" s="1">
        <f t="shared" si="34"/>
        <v>446</v>
      </c>
      <c r="C452" t="str">
        <f>IFERROR(VLOOKUP(BDREGISTROAPORTES2025[[#This Row],[NROKARDEX]],BDPADRES[],8,FALSE),"Sin registrado")</f>
        <v>JESIKA BONILLA GALVIZ</v>
      </c>
      <c r="D452" s="1" t="str">
        <f>IFERROR(VLOOKUP(BDREGISTROAPORTES2025[[#This Row],[NROKARDEX]],Tabla3[],11,FALSE),"NO PAGO")</f>
        <v>NO</v>
      </c>
      <c r="E452" s="1">
        <f t="shared" si="29"/>
        <v>0</v>
      </c>
    </row>
    <row r="453" spans="1:5" x14ac:dyDescent="0.3">
      <c r="A453" s="1">
        <f t="shared" si="34"/>
        <v>447</v>
      </c>
      <c r="C453" t="str">
        <f>IFERROR(VLOOKUP(BDREGISTROAPORTES2025[[#This Row],[NROKARDEX]],BDPADRES[],8,FALSE),"Sin registrado")</f>
        <v>Sin registrado</v>
      </c>
      <c r="D453" s="1" t="str">
        <f>IFERROR(VLOOKUP(BDREGISTROAPORTES2025[[#This Row],[NROKARDEX]],Tabla3[],11,FALSE),"NO PAGO")</f>
        <v>NO PAGO</v>
      </c>
      <c r="E453" s="1">
        <v>0</v>
      </c>
    </row>
    <row r="454" spans="1:5" x14ac:dyDescent="0.3">
      <c r="A454" s="1">
        <f t="shared" si="34"/>
        <v>448</v>
      </c>
      <c r="C454" t="str">
        <f>IFERROR(VLOOKUP(BDREGISTROAPORTES2025[[#This Row],[NROKARDEX]],BDPADRES[],8,FALSE),"Sin registrado")</f>
        <v>Sin registrado</v>
      </c>
      <c r="D454" s="1" t="str">
        <f>IFERROR(VLOOKUP(BDREGISTROAPORTES2025[[#This Row],[NROKARDEX]],Tabla3[],11,FALSE),"NO PAGO")</f>
        <v>NO PAGO</v>
      </c>
      <c r="E454" s="1">
        <v>0</v>
      </c>
    </row>
    <row r="455" spans="1:5" x14ac:dyDescent="0.3">
      <c r="A455" s="1">
        <f t="shared" si="34"/>
        <v>449</v>
      </c>
      <c r="C455" t="str">
        <f>IFERROR(VLOOKUP(BDREGISTROAPORTES2025[[#This Row],[NROKARDEX]],BDPADRES[],8,FALSE),"Sin registrado")</f>
        <v>CINTHIA RODRIGUEZ MARISCAL</v>
      </c>
      <c r="D455" s="1">
        <f>IFERROR(VLOOKUP(BDREGISTROAPORTES2025[[#This Row],[NROKARDEX]],Tabla3[],11,FALSE),"NO PAGO")</f>
        <v>1072191</v>
      </c>
      <c r="E455" s="1" t="str">
        <f t="shared" ref="E455:E478" si="35">IF(D455="NO",0,"165")</f>
        <v>165</v>
      </c>
    </row>
    <row r="456" spans="1:5" x14ac:dyDescent="0.3">
      <c r="A456" s="1">
        <f t="shared" si="34"/>
        <v>450</v>
      </c>
      <c r="C456" t="str">
        <f>IFERROR(VLOOKUP(BDREGISTROAPORTES2025[[#This Row],[NROKARDEX]],BDPADRES[],8,FALSE),"Sin registrado")</f>
        <v>Sin registrado</v>
      </c>
      <c r="D456" s="1" t="str">
        <f>IFERROR(VLOOKUP(BDREGISTROAPORTES2025[[#This Row],[NROKARDEX]],Tabla3[],11,FALSE),"NO PAGO")</f>
        <v>NO PAGO</v>
      </c>
      <c r="E456" s="1">
        <v>0</v>
      </c>
    </row>
    <row r="457" spans="1:5" x14ac:dyDescent="0.3">
      <c r="A457" s="1">
        <f t="shared" si="34"/>
        <v>451</v>
      </c>
      <c r="C457" t="str">
        <f>IFERROR(VLOOKUP(BDREGISTROAPORTES2025[[#This Row],[NROKARDEX]],BDPADRES[],8,FALSE),"Sin registrado")</f>
        <v>Sin registrado</v>
      </c>
      <c r="D457" s="1" t="str">
        <f>IFERROR(VLOOKUP(BDREGISTROAPORTES2025[[#This Row],[NROKARDEX]],Tabla3[],11,FALSE),"NO PAGO")</f>
        <v>NO PAGO</v>
      </c>
      <c r="E457" s="1">
        <v>0</v>
      </c>
    </row>
    <row r="458" spans="1:5" x14ac:dyDescent="0.3">
      <c r="A458" s="1">
        <f t="shared" si="34"/>
        <v>452</v>
      </c>
      <c r="C458" t="str">
        <f>IFERROR(VLOOKUP(BDREGISTROAPORTES2025[[#This Row],[NROKARDEX]],BDPADRES[],8,FALSE),"Sin registrado")</f>
        <v>LORENA RODRIGUEZ CAMACHO</v>
      </c>
      <c r="D458" s="1">
        <f>IFERROR(VLOOKUP(BDREGISTROAPORTES2025[[#This Row],[NROKARDEX]],Tabla3[],11,FALSE),"NO PAGO")</f>
        <v>1065890</v>
      </c>
      <c r="E458" s="1" t="str">
        <f t="shared" si="35"/>
        <v>165</v>
      </c>
    </row>
    <row r="459" spans="1:5" x14ac:dyDescent="0.3">
      <c r="A459" s="1">
        <f t="shared" ref="A459:A478" si="36">ROW(A453)</f>
        <v>453</v>
      </c>
      <c r="C459" t="str">
        <f>IFERROR(VLOOKUP(BDREGISTROAPORTES2025[[#This Row],[NROKARDEX]],BDPADRES[],8,FALSE),"Sin registrado")</f>
        <v>Sin registrado</v>
      </c>
      <c r="D459" s="1" t="str">
        <f>IFERROR(VLOOKUP(BDREGISTROAPORTES2025[[#This Row],[NROKARDEX]],Tabla3[],11,FALSE),"NO PAGO")</f>
        <v>NO PAGO</v>
      </c>
      <c r="E459" s="1">
        <v>0</v>
      </c>
    </row>
    <row r="460" spans="1:5" x14ac:dyDescent="0.3">
      <c r="A460" s="1">
        <f t="shared" si="36"/>
        <v>454</v>
      </c>
      <c r="C460" t="str">
        <f>IFERROR(VLOOKUP(BDREGISTROAPORTES2025[[#This Row],[NROKARDEX]],BDPADRES[],8,FALSE),"Sin registrado")</f>
        <v>LOURDES ORIAS CALDERON</v>
      </c>
      <c r="D460" s="1">
        <f>IFERROR(VLOOKUP(BDREGISTROAPORTES2025[[#This Row],[NROKARDEX]],Tabla3[],11,FALSE),"NO PAGO")</f>
        <v>1080937</v>
      </c>
      <c r="E460" s="1" t="str">
        <f t="shared" si="35"/>
        <v>165</v>
      </c>
    </row>
    <row r="461" spans="1:5" x14ac:dyDescent="0.3">
      <c r="A461" s="1">
        <f t="shared" si="36"/>
        <v>455</v>
      </c>
      <c r="C461" t="str">
        <f>IFERROR(VLOOKUP(BDREGISTROAPORTES2025[[#This Row],[NROKARDEX]],BDPADRES[],8,FALSE),"Sin registrado")</f>
        <v>DAMIANA COLQUE QUISPE</v>
      </c>
      <c r="D461" s="1">
        <f>IFERROR(VLOOKUP(BDREGISTROAPORTES2025[[#This Row],[NROKARDEX]],Tabla3[],11,FALSE),"NO PAGO")</f>
        <v>1077550</v>
      </c>
      <c r="E461" s="1" t="str">
        <f t="shared" si="35"/>
        <v>165</v>
      </c>
    </row>
    <row r="462" spans="1:5" x14ac:dyDescent="0.3">
      <c r="A462" s="1">
        <f t="shared" si="36"/>
        <v>456</v>
      </c>
      <c r="C462" t="str">
        <f>IFERROR(VLOOKUP(BDREGISTROAPORTES2025[[#This Row],[NROKARDEX]],BDPADRES[],8,FALSE),"Sin registrado")</f>
        <v>Sin registrado</v>
      </c>
      <c r="D462" s="1" t="str">
        <f>IFERROR(VLOOKUP(BDREGISTROAPORTES2025[[#This Row],[NROKARDEX]],Tabla3[],11,FALSE),"NO PAGO")</f>
        <v>NO PAGO</v>
      </c>
      <c r="E462" s="1">
        <v>0</v>
      </c>
    </row>
    <row r="463" spans="1:5" x14ac:dyDescent="0.3">
      <c r="A463" s="1">
        <f t="shared" si="36"/>
        <v>457</v>
      </c>
      <c r="C463" t="str">
        <f>IFERROR(VLOOKUP(BDREGISTROAPORTES2025[[#This Row],[NROKARDEX]],BDPADRES[],8,FALSE),"Sin registrado")</f>
        <v>Sin registrado</v>
      </c>
      <c r="D463" s="1" t="str">
        <f>IFERROR(VLOOKUP(BDREGISTROAPORTES2025[[#This Row],[NROKARDEX]],Tabla3[],11,FALSE),"NO PAGO")</f>
        <v>NO PAGO</v>
      </c>
      <c r="E463" s="1">
        <v>0</v>
      </c>
    </row>
    <row r="464" spans="1:5" x14ac:dyDescent="0.3">
      <c r="A464" s="1">
        <f t="shared" si="36"/>
        <v>458</v>
      </c>
      <c r="C464" t="str">
        <f>IFERROR(VLOOKUP(BDREGISTROAPORTES2025[[#This Row],[NROKARDEX]],BDPADRES[],8,FALSE),"Sin registrado")</f>
        <v>Sin registrado</v>
      </c>
      <c r="D464" s="1" t="str">
        <f>IFERROR(VLOOKUP(BDREGISTROAPORTES2025[[#This Row],[NROKARDEX]],Tabla3[],11,FALSE),"NO PAGO")</f>
        <v>NO PAGO</v>
      </c>
      <c r="E464" s="1">
        <v>0</v>
      </c>
    </row>
    <row r="465" spans="1:5" x14ac:dyDescent="0.3">
      <c r="A465" s="1">
        <f t="shared" si="36"/>
        <v>459</v>
      </c>
      <c r="C465" t="str">
        <f>IFERROR(VLOOKUP(BDREGISTROAPORTES2025[[#This Row],[NROKARDEX]],BDPADRES[],8,FALSE),"Sin registrado")</f>
        <v>Sin registrado</v>
      </c>
      <c r="D465" s="1" t="str">
        <f>IFERROR(VLOOKUP(BDREGISTROAPORTES2025[[#This Row],[NROKARDEX]],Tabla3[],11,FALSE),"NO PAGO")</f>
        <v>NO PAGO</v>
      </c>
      <c r="E465" s="1">
        <v>0</v>
      </c>
    </row>
    <row r="466" spans="1:5" x14ac:dyDescent="0.3">
      <c r="A466" s="1">
        <f t="shared" si="36"/>
        <v>460</v>
      </c>
      <c r="C466" t="str">
        <f>IFERROR(VLOOKUP(BDREGISTROAPORTES2025[[#This Row],[NROKARDEX]],BDPADRES[],8,FALSE),"Sin registrado")</f>
        <v>Sin registrado</v>
      </c>
      <c r="D466" s="1" t="str">
        <f>IFERROR(VLOOKUP(BDREGISTROAPORTES2025[[#This Row],[NROKARDEX]],Tabla3[],11,FALSE),"NO PAGO")</f>
        <v>NO PAGO</v>
      </c>
      <c r="E466" s="1">
        <v>0</v>
      </c>
    </row>
    <row r="467" spans="1:5" x14ac:dyDescent="0.3">
      <c r="A467" s="1">
        <f t="shared" si="36"/>
        <v>461</v>
      </c>
      <c r="C467" t="str">
        <f>IFERROR(VLOOKUP(BDREGISTROAPORTES2025[[#This Row],[NROKARDEX]],BDPADRES[],8,FALSE),"Sin registrado")</f>
        <v>Sin registrado</v>
      </c>
      <c r="D467" s="1" t="str">
        <f>IFERROR(VLOOKUP(BDREGISTROAPORTES2025[[#This Row],[NROKARDEX]],Tabla3[],11,FALSE),"NO PAGO")</f>
        <v>NO PAGO</v>
      </c>
      <c r="E467" s="1">
        <v>0</v>
      </c>
    </row>
    <row r="468" spans="1:5" x14ac:dyDescent="0.3">
      <c r="A468" s="1">
        <f t="shared" si="36"/>
        <v>462</v>
      </c>
      <c r="C468" t="str">
        <f>IFERROR(VLOOKUP(BDREGISTROAPORTES2025[[#This Row],[NROKARDEX]],BDPADRES[],8,FALSE),"Sin registrado")</f>
        <v>Sin registrado</v>
      </c>
      <c r="D468" s="1" t="str">
        <f>IFERROR(VLOOKUP(BDREGISTROAPORTES2025[[#This Row],[NROKARDEX]],Tabla3[],11,FALSE),"NO PAGO")</f>
        <v>NO PAGO</v>
      </c>
      <c r="E468" s="1">
        <v>0</v>
      </c>
    </row>
    <row r="469" spans="1:5" x14ac:dyDescent="0.3">
      <c r="A469" s="1">
        <f t="shared" si="36"/>
        <v>463</v>
      </c>
      <c r="C469" t="str">
        <f>IFERROR(VLOOKUP(BDREGISTROAPORTES2025[[#This Row],[NROKARDEX]],BDPADRES[],8,FALSE),"Sin registrado")</f>
        <v>Sin registrado</v>
      </c>
      <c r="D469" s="1" t="str">
        <f>IFERROR(VLOOKUP(BDREGISTROAPORTES2025[[#This Row],[NROKARDEX]],Tabla3[],11,FALSE),"NO PAGO")</f>
        <v>NO PAGO</v>
      </c>
      <c r="E469" s="1">
        <v>0</v>
      </c>
    </row>
    <row r="470" spans="1:5" x14ac:dyDescent="0.3">
      <c r="A470" s="1">
        <f t="shared" si="36"/>
        <v>464</v>
      </c>
      <c r="C470" t="str">
        <f>IFERROR(VLOOKUP(BDREGISTROAPORTES2025[[#This Row],[NROKARDEX]],BDPADRES[],8,FALSE),"Sin registrado")</f>
        <v>Sin registrado</v>
      </c>
      <c r="D470" s="1" t="str">
        <f>IFERROR(VLOOKUP(BDREGISTROAPORTES2025[[#This Row],[NROKARDEX]],Tabla3[],11,FALSE),"NO PAGO")</f>
        <v>NO PAGO</v>
      </c>
      <c r="E470" s="1">
        <v>0</v>
      </c>
    </row>
    <row r="471" spans="1:5" x14ac:dyDescent="0.3">
      <c r="A471" s="1">
        <f t="shared" si="36"/>
        <v>465</v>
      </c>
      <c r="C471" t="str">
        <f>IFERROR(VLOOKUP(BDREGISTROAPORTES2025[[#This Row],[NROKARDEX]],BDPADRES[],8,FALSE),"Sin registrado")</f>
        <v>LINA SOLIS GARNICA</v>
      </c>
      <c r="D471" s="1">
        <f>IFERROR(VLOOKUP(BDREGISTROAPORTES2025[[#This Row],[NROKARDEX]],Tabla3[],11,FALSE),"NO PAGO")</f>
        <v>1057278</v>
      </c>
      <c r="E471" s="1">
        <v>0</v>
      </c>
    </row>
    <row r="472" spans="1:5" x14ac:dyDescent="0.3">
      <c r="A472" s="1">
        <f t="shared" si="36"/>
        <v>466</v>
      </c>
      <c r="C472" t="str">
        <f>IFERROR(VLOOKUP(BDREGISTROAPORTES2025[[#This Row],[NROKARDEX]],BDPADRES[],8,FALSE),"Sin registrado")</f>
        <v>Sin registrado</v>
      </c>
      <c r="D472" s="1" t="str">
        <f>IFERROR(VLOOKUP(BDREGISTROAPORTES2025[[#This Row],[NROKARDEX]],Tabla3[],11,FALSE),"NO PAGO")</f>
        <v>NO PAGO</v>
      </c>
      <c r="E472" s="1">
        <v>0</v>
      </c>
    </row>
    <row r="473" spans="1:5" x14ac:dyDescent="0.3">
      <c r="A473" s="1">
        <f t="shared" si="36"/>
        <v>467</v>
      </c>
      <c r="C473" t="str">
        <f>IFERROR(VLOOKUP(BDREGISTROAPORTES2025[[#This Row],[NROKARDEX]],BDPADRES[],8,FALSE),"Sin registrado")</f>
        <v>Sin registrado</v>
      </c>
      <c r="D473" s="1" t="str">
        <f>IFERROR(VLOOKUP(BDREGISTROAPORTES2025[[#This Row],[NROKARDEX]],Tabla3[],11,FALSE),"NO PAGO")</f>
        <v>NO PAGO</v>
      </c>
      <c r="E473" s="1">
        <v>0</v>
      </c>
    </row>
    <row r="474" spans="1:5" x14ac:dyDescent="0.3">
      <c r="A474" s="1">
        <f t="shared" si="36"/>
        <v>468</v>
      </c>
      <c r="C474" t="str">
        <f>IFERROR(VLOOKUP(BDREGISTROAPORTES2025[[#This Row],[NROKARDEX]],BDPADRES[],8,FALSE),"Sin registrado")</f>
        <v>Sin registrado</v>
      </c>
      <c r="D474" s="1" t="str">
        <f>IFERROR(VLOOKUP(BDREGISTROAPORTES2025[[#This Row],[NROKARDEX]],Tabla3[],11,FALSE),"NO PAGO")</f>
        <v>NO PAGO</v>
      </c>
      <c r="E474" s="1">
        <v>0</v>
      </c>
    </row>
    <row r="475" spans="1:5" x14ac:dyDescent="0.3">
      <c r="A475" s="1">
        <f t="shared" si="36"/>
        <v>469</v>
      </c>
      <c r="C475" t="str">
        <f>IFERROR(VLOOKUP(BDREGISTROAPORTES2025[[#This Row],[NROKARDEX]],BDPADRES[],8,FALSE),"Sin registrado")</f>
        <v>Sin registrado</v>
      </c>
      <c r="D475" s="1" t="str">
        <f>IFERROR(VLOOKUP(BDREGISTROAPORTES2025[[#This Row],[NROKARDEX]],Tabla3[],11,FALSE),"NO PAGO")</f>
        <v>NO PAGO</v>
      </c>
      <c r="E475" s="1">
        <v>0</v>
      </c>
    </row>
    <row r="476" spans="1:5" x14ac:dyDescent="0.3">
      <c r="A476" s="1">
        <f t="shared" si="36"/>
        <v>470</v>
      </c>
      <c r="C476" t="str">
        <f>IFERROR(VLOOKUP(BDREGISTROAPORTES2025[[#This Row],[NROKARDEX]],BDPADRES[],8,FALSE),"Sin registrado")</f>
        <v>Sin registrado</v>
      </c>
      <c r="D476" s="1" t="str">
        <f>IFERROR(VLOOKUP(BDREGISTROAPORTES2025[[#This Row],[NROKARDEX]],Tabla3[],11,FALSE),"NO PAGO")</f>
        <v>NO PAGO</v>
      </c>
      <c r="E476" s="1">
        <v>0</v>
      </c>
    </row>
    <row r="477" spans="1:5" x14ac:dyDescent="0.3">
      <c r="A477" s="1">
        <f t="shared" si="36"/>
        <v>471</v>
      </c>
      <c r="C477" t="str">
        <f>IFERROR(VLOOKUP(BDREGISTROAPORTES2025[[#This Row],[NROKARDEX]],BDPADRES[],8,FALSE),"Sin registrado")</f>
        <v>Sin registrado</v>
      </c>
      <c r="D477" s="1" t="str">
        <f>IFERROR(VLOOKUP(BDREGISTROAPORTES2025[[#This Row],[NROKARDEX]],Tabla3[],11,FALSE),"NO PAGO")</f>
        <v>NO PAGO</v>
      </c>
      <c r="E477" s="1">
        <v>0</v>
      </c>
    </row>
    <row r="478" spans="1:5" x14ac:dyDescent="0.3">
      <c r="A478" s="1">
        <f t="shared" si="36"/>
        <v>472</v>
      </c>
      <c r="C478" t="str">
        <f>IFERROR(VLOOKUP(BDREGISTROAPORTES2025[[#This Row],[NROKARDEX]],BDPADRES[],8,FALSE),"Sin registrado")</f>
        <v>CATHIA ORTIZ CRUZ</v>
      </c>
      <c r="D478" s="1">
        <f>IFERROR(VLOOKUP(BDREGISTROAPORTES2025[[#This Row],[NROKARDEX]],Tabla3[],11,FALSE),"NO PAGO")</f>
        <v>1090026</v>
      </c>
      <c r="E478" s="1" t="str">
        <f t="shared" si="35"/>
        <v>165</v>
      </c>
    </row>
    <row r="479" spans="1:5" x14ac:dyDescent="0.3">
      <c r="A479" s="1" t="s">
        <v>3114</v>
      </c>
      <c r="C479" t="str">
        <f>IFERROR(VLOOKUP(BDREGISTROAPORTES2025[[#This Row],[NROKARDEX]],BDPADRES[],8,FALSE),"Sin registrado")</f>
        <v>ANA LUISA RIVERA MENESES</v>
      </c>
      <c r="D479" s="1" t="str">
        <f>IFERROR(VLOOKUP(BDREGISTROAPORTES2025[[#This Row],[NROKARDEX]],Tabla3[],11,FALSE),"NO PAGO")</f>
        <v>NO PAGO</v>
      </c>
      <c r="E479" s="1">
        <v>0</v>
      </c>
    </row>
    <row r="480" spans="1:5" x14ac:dyDescent="0.3">
      <c r="A480" s="1" t="s">
        <v>3115</v>
      </c>
      <c r="C480" t="str">
        <f>IFERROR(VLOOKUP(BDREGISTROAPORTES2025[[#This Row],[NROKARDEX]],BDPADRES[],8,FALSE),"Sin registrado")</f>
        <v>BETANIA SICPORO RODRIGUEZ</v>
      </c>
      <c r="D480" s="1" t="str">
        <f>IFERROR(VLOOKUP(BDREGISTROAPORTES2025[[#This Row],[NROKARDEX]],Tabla3[],11,FALSE),"NO PAGO")</f>
        <v>NO</v>
      </c>
      <c r="E480" s="1">
        <v>0</v>
      </c>
    </row>
    <row r="481" spans="1:5" x14ac:dyDescent="0.3">
      <c r="A481" s="1" t="s">
        <v>3116</v>
      </c>
      <c r="C481" t="str">
        <f>IFERROR(VLOOKUP(BDREGISTROAPORTES2025[[#This Row],[NROKARDEX]],BDPADRES[],8,FALSE),"Sin registrado")</f>
        <v>Sin registrado</v>
      </c>
      <c r="D481" s="1" t="str">
        <f>IFERROR(VLOOKUP(BDREGISTROAPORTES2025[[#This Row],[NROKARDEX]],Tabla3[],11,FALSE),"NO PAGO")</f>
        <v>NO PAGO</v>
      </c>
      <c r="E481" s="1" t="str">
        <f t="shared" ref="E481:E490" si="37">IF(D481="NO",0,"165")</f>
        <v>165</v>
      </c>
    </row>
    <row r="482" spans="1:5" x14ac:dyDescent="0.3">
      <c r="A482" s="1" t="s">
        <v>3117</v>
      </c>
      <c r="C482" t="str">
        <f>IFERROR(VLOOKUP(BDREGISTROAPORTES2025[[#This Row],[NROKARDEX]],BDPADRES[],8,FALSE),"Sin registrado")</f>
        <v>Sin registrado</v>
      </c>
      <c r="D482" s="1">
        <v>1100318</v>
      </c>
      <c r="E482" s="1" t="str">
        <f t="shared" si="37"/>
        <v>165</v>
      </c>
    </row>
    <row r="483" spans="1:5" x14ac:dyDescent="0.3">
      <c r="A483" s="1" t="s">
        <v>3118</v>
      </c>
      <c r="C483" t="str">
        <f>IFERROR(VLOOKUP(BDREGISTROAPORTES2025[[#This Row],[NROKARDEX]],BDPADRES[],8,FALSE),"Sin registrado")</f>
        <v>FIDELIA LAQUE RAMOS</v>
      </c>
      <c r="D483" s="1" t="str">
        <f>IFERROR(VLOOKUP(BDREGISTROAPORTES2025[[#This Row],[NROKARDEX]],Tabla3[],11,FALSE),"NO PAGO")</f>
        <v>NO</v>
      </c>
      <c r="E483" s="1">
        <f t="shared" si="37"/>
        <v>0</v>
      </c>
    </row>
    <row r="484" spans="1:5" x14ac:dyDescent="0.3">
      <c r="A484" s="1" t="s">
        <v>3119</v>
      </c>
      <c r="C484" t="str">
        <f>IFERROR(VLOOKUP(BDREGISTROAPORTES2025[[#This Row],[NROKARDEX]],BDPADRES[],8,FALSE),"Sin registrado")</f>
        <v>MARINA USCAMAYTA CONDORI</v>
      </c>
      <c r="D484" s="1" t="str">
        <f>IFERROR(VLOOKUP(BDREGISTROAPORTES2025[[#This Row],[NROKARDEX]],Tabla3[],11,FALSE),"NO PAGO")</f>
        <v>NO</v>
      </c>
      <c r="E484" s="1">
        <f t="shared" si="37"/>
        <v>0</v>
      </c>
    </row>
    <row r="485" spans="1:5" x14ac:dyDescent="0.3">
      <c r="A485" s="1" t="s">
        <v>3120</v>
      </c>
      <c r="C485" t="str">
        <f>IFERROR(VLOOKUP(BDREGISTROAPORTES2025[[#This Row],[NROKARDEX]],BDPADRES[],8,FALSE),"Sin registrado")</f>
        <v>PATRICIA SALVATIERRA JIMENEZ</v>
      </c>
      <c r="D485" s="1">
        <f>IFERROR(VLOOKUP(BDREGISTROAPORTES2025[[#This Row],[NROKARDEX]],Tabla3[],11,FALSE),"NO PAGO")</f>
        <v>1058073</v>
      </c>
      <c r="E485" s="1" t="str">
        <f t="shared" si="37"/>
        <v>165</v>
      </c>
    </row>
    <row r="486" spans="1:5" x14ac:dyDescent="0.3">
      <c r="A486" s="1" t="s">
        <v>3121</v>
      </c>
      <c r="C486" t="str">
        <f>IFERROR(VLOOKUP(BDREGISTROAPORTES2025[[#This Row],[NROKARDEX]],BDPADRES[],8,FALSE),"Sin registrado")</f>
        <v>MARIELA MAMANI ACHAYA</v>
      </c>
      <c r="D486" s="1">
        <f>IFERROR(VLOOKUP(BDREGISTROAPORTES2025[[#This Row],[NROKARDEX]],Tabla3[],11,FALSE),"NO PAGO")</f>
        <v>105861</v>
      </c>
      <c r="E486" s="1" t="str">
        <f t="shared" si="37"/>
        <v>165</v>
      </c>
    </row>
    <row r="487" spans="1:5" x14ac:dyDescent="0.3">
      <c r="A487" s="1" t="s">
        <v>3122</v>
      </c>
      <c r="C487" t="str">
        <f>IFERROR(VLOOKUP(BDREGISTROAPORTES2025[[#This Row],[NROKARDEX]],BDPADRES[],8,FALSE),"Sin registrado")</f>
        <v>IVET BELTRAN GONZALES</v>
      </c>
      <c r="D487" s="1">
        <f>IFERROR(VLOOKUP(BDREGISTROAPORTES2025[[#This Row],[NROKARDEX]],Tabla3[],11,FALSE),"NO PAGO")</f>
        <v>1057703</v>
      </c>
      <c r="E487" s="1" t="str">
        <f t="shared" si="37"/>
        <v>165</v>
      </c>
    </row>
    <row r="488" spans="1:5" x14ac:dyDescent="0.3">
      <c r="A488" s="1" t="s">
        <v>3123</v>
      </c>
      <c r="C488" t="str">
        <f>IFERROR(VLOOKUP(BDREGISTROAPORTES2025[[#This Row],[NROKARDEX]],BDPADRES[],8,FALSE),"Sin registrado")</f>
        <v>LOURDES FERNANDEZ ORTIZ</v>
      </c>
      <c r="D488" s="1" t="str">
        <f>IFERROR(VLOOKUP(BDREGISTROAPORTES2025[[#This Row],[NROKARDEX]],Tabla3[],11,FALSE),"NO PAGO")</f>
        <v>NO</v>
      </c>
      <c r="E488" s="1">
        <f t="shared" si="37"/>
        <v>0</v>
      </c>
    </row>
    <row r="489" spans="1:5" x14ac:dyDescent="0.3">
      <c r="A489" s="1" t="s">
        <v>3124</v>
      </c>
      <c r="C489" t="str">
        <f>IFERROR(VLOOKUP(BDREGISTROAPORTES2025[[#This Row],[NROKARDEX]],BDPADRES[],8,FALSE),"Sin registrado")</f>
        <v>DEYSY ROBLEDO AVALOS</v>
      </c>
      <c r="D489" s="1">
        <f>IFERROR(VLOOKUP(BDREGISTROAPORTES2025[[#This Row],[NROKARDEX]],Tabla3[],11,FALSE),"NO PAGO")</f>
        <v>82578</v>
      </c>
      <c r="E489" s="1" t="str">
        <f t="shared" si="37"/>
        <v>165</v>
      </c>
    </row>
    <row r="490" spans="1:5" x14ac:dyDescent="0.3">
      <c r="A490" s="1" t="s">
        <v>3125</v>
      </c>
      <c r="C490" t="str">
        <f>IFERROR(VLOOKUP(BDREGISTROAPORTES2025[[#This Row],[NROKARDEX]],BDPADRES[],8,FALSE),"Sin registrado")</f>
        <v>MARIANA VACA NOVA</v>
      </c>
      <c r="D490" s="1">
        <f>IFERROR(VLOOKUP(BDREGISTROAPORTES2025[[#This Row],[NROKARDEX]],Tabla3[],11,FALSE),"NO PAGO")</f>
        <v>1057851</v>
      </c>
      <c r="E490" s="1" t="str">
        <f t="shared" si="37"/>
        <v>165</v>
      </c>
    </row>
    <row r="491" spans="1:5" x14ac:dyDescent="0.3">
      <c r="A491" s="1" t="s">
        <v>3126</v>
      </c>
      <c r="C491" t="str">
        <f>IFERROR(VLOOKUP(BDREGISTROAPORTES2025[[#This Row],[NROKARDEX]],BDPADRES[],8,FALSE),"Sin registrado")</f>
        <v>ADRIANA HUAILLA ORELLANA</v>
      </c>
      <c r="D491" s="1">
        <f>IFERROR(VLOOKUP(BDREGISTROAPORTES2025[[#This Row],[NROKARDEX]],Tabla3[],11,FALSE),"NO PAGO")</f>
        <v>1056867</v>
      </c>
      <c r="E491" s="1" t="str">
        <f t="shared" ref="E491:E498" si="38">IF(D491="NO",0,"165")</f>
        <v>165</v>
      </c>
    </row>
    <row r="492" spans="1:5" x14ac:dyDescent="0.3">
      <c r="A492" s="1" t="s">
        <v>3127</v>
      </c>
      <c r="C492" t="str">
        <f>IFERROR(VLOOKUP(BDREGISTROAPORTES2025[[#This Row],[NROKARDEX]],BDPADRES[],8,FALSE),"Sin registrado")</f>
        <v>MIRIAN MENDOZA RIVERA</v>
      </c>
      <c r="D492" s="1">
        <f>IFERROR(VLOOKUP(BDREGISTROAPORTES2025[[#This Row],[NROKARDEX]],Tabla3[],11,FALSE),"NO PAGO")</f>
        <v>503341</v>
      </c>
      <c r="E492" s="1" t="str">
        <f t="shared" si="38"/>
        <v>165</v>
      </c>
    </row>
    <row r="493" spans="1:5" x14ac:dyDescent="0.3">
      <c r="A493" s="1" t="s">
        <v>3128</v>
      </c>
      <c r="C493" t="str">
        <f>IFERROR(VLOOKUP(BDREGISTROAPORTES2025[[#This Row],[NROKARDEX]],BDPADRES[],8,FALSE),"Sin registrado")</f>
        <v>HERMINIA QUEMAYA GARCIA</v>
      </c>
      <c r="D493" s="1">
        <f>IFERROR(VLOOKUP(BDREGISTROAPORTES2025[[#This Row],[NROKARDEX]],Tabla3[],11,FALSE),"NO PAGO")</f>
        <v>1062790</v>
      </c>
      <c r="E493" s="1" t="str">
        <f t="shared" si="38"/>
        <v>165</v>
      </c>
    </row>
    <row r="494" spans="1:5" x14ac:dyDescent="0.3">
      <c r="A494" s="1" t="s">
        <v>3129</v>
      </c>
      <c r="C494" t="str">
        <f>IFERROR(VLOOKUP(BDREGISTROAPORTES2025[[#This Row],[NROKARDEX]],BDPADRES[],8,FALSE),"Sin registrado")</f>
        <v>DELMA MERUBIA AVILA</v>
      </c>
      <c r="D494" s="1">
        <f>IFERROR(VLOOKUP(BDREGISTROAPORTES2025[[#This Row],[NROKARDEX]],Tabla3[],11,FALSE),"NO PAGO")</f>
        <v>1055503</v>
      </c>
      <c r="E494" s="1" t="str">
        <f t="shared" si="38"/>
        <v>165</v>
      </c>
    </row>
    <row r="495" spans="1:5" x14ac:dyDescent="0.3">
      <c r="A495" s="1" t="s">
        <v>3130</v>
      </c>
      <c r="C495" t="str">
        <f>IFERROR(VLOOKUP(BDREGISTROAPORTES2025[[#This Row],[NROKARDEX]],BDPADRES[],8,FALSE),"Sin registrado")</f>
        <v>YOVANA MARTINEZ ROMERO</v>
      </c>
      <c r="D495" s="1">
        <f>IFERROR(VLOOKUP(BDREGISTROAPORTES2025[[#This Row],[NROKARDEX]],Tabla3[],11,FALSE),"NO PAGO")</f>
        <v>1058532</v>
      </c>
      <c r="E495" s="1" t="str">
        <f t="shared" si="38"/>
        <v>165</v>
      </c>
    </row>
    <row r="496" spans="1:5" x14ac:dyDescent="0.3">
      <c r="A496" s="1" t="s">
        <v>3131</v>
      </c>
      <c r="C496" t="str">
        <f>IFERROR(VLOOKUP(BDREGISTROAPORTES2025[[#This Row],[NROKARDEX]],BDPADRES[],8,FALSE),"Sin registrado")</f>
        <v>Sin registrado</v>
      </c>
      <c r="D496" s="1" t="str">
        <f>IFERROR(VLOOKUP(BDREGISTROAPORTES2025[[#This Row],[NROKARDEX]],Tabla3[],11,FALSE),"NO PAGO")</f>
        <v>NO PAGO</v>
      </c>
      <c r="E496" s="1" t="str">
        <f t="shared" si="38"/>
        <v>165</v>
      </c>
    </row>
    <row r="497" spans="1:5" x14ac:dyDescent="0.3">
      <c r="A497" s="1" t="s">
        <v>3132</v>
      </c>
      <c r="C497" t="str">
        <f>IFERROR(VLOOKUP(BDREGISTROAPORTES2025[[#This Row],[NROKARDEX]],BDPADRES[],8,FALSE),"Sin registrado")</f>
        <v>NORMA FLORES ABREGO</v>
      </c>
      <c r="D497" s="1">
        <f>IFERROR(VLOOKUP(BDREGISTROAPORTES2025[[#This Row],[NROKARDEX]],Tabla3[],11,FALSE),"NO PAGO")</f>
        <v>1057642</v>
      </c>
      <c r="E497" s="1" t="str">
        <f t="shared" si="38"/>
        <v>165</v>
      </c>
    </row>
    <row r="498" spans="1:5" x14ac:dyDescent="0.3">
      <c r="A498" s="1" t="s">
        <v>3133</v>
      </c>
      <c r="C498" t="str">
        <f>IFERROR(VLOOKUP(BDREGISTROAPORTES2025[[#This Row],[NROKARDEX]],BDPADRES[],8,FALSE),"Sin registrado")</f>
        <v>MARGARITA COIMBRA SOLIZ</v>
      </c>
      <c r="D498" s="1">
        <f>IFERROR(VLOOKUP(BDREGISTROAPORTES2025[[#This Row],[NROKARDEX]],Tabla3[],11,FALSE),"NO PAGO")</f>
        <v>1078061</v>
      </c>
      <c r="E498" s="1" t="str">
        <f t="shared" si="38"/>
        <v>165</v>
      </c>
    </row>
    <row r="499" spans="1:5" x14ac:dyDescent="0.3">
      <c r="A499" s="1" t="s">
        <v>3134</v>
      </c>
      <c r="C499" t="str">
        <f>IFERROR(VLOOKUP(BDREGISTROAPORTES2025[[#This Row],[NROKARDEX]],BDPADRES[],8,FALSE),"Sin registrado")</f>
        <v xml:space="preserve">NREG/NOMBRE PEREZ </v>
      </c>
      <c r="D499" s="1" t="str">
        <f>IFERROR(VLOOKUP(BDREGISTROAPORTES2025[[#This Row],[NROKARDEX]],Tabla3[],11,FALSE),"NO PAGO")</f>
        <v>NO</v>
      </c>
      <c r="E499" s="1">
        <f t="shared" ref="E499:E507" si="39">IF(D499="NO",0,"165")</f>
        <v>0</v>
      </c>
    </row>
    <row r="500" spans="1:5" x14ac:dyDescent="0.3">
      <c r="A500" s="1" t="s">
        <v>3135</v>
      </c>
      <c r="C500" t="str">
        <f>IFERROR(VLOOKUP(BDREGISTROAPORTES2025[[#This Row],[NROKARDEX]],BDPADRES[],8,FALSE),"Sin registrado")</f>
        <v>CIERIDEY CEREZO GARCIA</v>
      </c>
      <c r="D500" s="1">
        <f>IFERROR(VLOOKUP(BDREGISTROAPORTES2025[[#This Row],[NROKARDEX]],Tabla3[],11,FALSE),"NO PAGO")</f>
        <v>1058702</v>
      </c>
      <c r="E500" s="1" t="str">
        <f t="shared" si="39"/>
        <v>165</v>
      </c>
    </row>
    <row r="501" spans="1:5" x14ac:dyDescent="0.3">
      <c r="A501" s="1" t="s">
        <v>3136</v>
      </c>
      <c r="C501" t="str">
        <f>IFERROR(VLOOKUP(BDREGISTROAPORTES2025[[#This Row],[NROKARDEX]],BDPADRES[],8,FALSE),"Sin registrado")</f>
        <v>CONSUELO MILENKA RAMOS VILLEGAS</v>
      </c>
      <c r="D501" s="1">
        <f>IFERROR(VLOOKUP(BDREGISTROAPORTES2025[[#This Row],[NROKARDEX]],Tabla3[],11,FALSE),"NO PAGO")</f>
        <v>1055609</v>
      </c>
      <c r="E501" s="1" t="str">
        <f t="shared" si="39"/>
        <v>165</v>
      </c>
    </row>
    <row r="502" spans="1:5" x14ac:dyDescent="0.3">
      <c r="A502" s="1" t="s">
        <v>3137</v>
      </c>
      <c r="C502" t="str">
        <f>IFERROR(VLOOKUP(BDREGISTROAPORTES2025[[#This Row],[NROKARDEX]],BDPADRES[],8,FALSE),"Sin registrado")</f>
        <v>NICOLAZA BONIFAZ ALVAREZ</v>
      </c>
      <c r="D502" s="1">
        <f>IFERROR(VLOOKUP(BDREGISTROAPORTES2025[[#This Row],[NROKARDEX]],Tabla3[],11,FALSE),"NO PAGO")</f>
        <v>1057471</v>
      </c>
      <c r="E502" s="1" t="str">
        <f t="shared" si="39"/>
        <v>165</v>
      </c>
    </row>
    <row r="503" spans="1:5" x14ac:dyDescent="0.3">
      <c r="A503" s="1" t="s">
        <v>3138</v>
      </c>
      <c r="C503" t="str">
        <f>IFERROR(VLOOKUP(BDREGISTROAPORTES2025[[#This Row],[NROKARDEX]],BDPADRES[],8,FALSE),"Sin registrado")</f>
        <v>MARIA CUELLAR MOSCOSO</v>
      </c>
      <c r="D503" s="1">
        <f>IFERROR(VLOOKUP(BDREGISTROAPORTES2025[[#This Row],[NROKARDEX]],Tabla3[],11,FALSE),"NO PAGO")</f>
        <v>1057295</v>
      </c>
      <c r="E503" s="1" t="str">
        <f t="shared" si="39"/>
        <v>165</v>
      </c>
    </row>
    <row r="504" spans="1:5" x14ac:dyDescent="0.3">
      <c r="A504" s="1" t="s">
        <v>3139</v>
      </c>
      <c r="C504" t="str">
        <f>IFERROR(VLOOKUP(BDREGISTROAPORTES2025[[#This Row],[NROKARDEX]],BDPADRES[],8,FALSE),"Sin registrado")</f>
        <v>PATRICIA CLAUDIA SERRANO BANEGAS</v>
      </c>
      <c r="D504" s="1">
        <f>IFERROR(VLOOKUP(BDREGISTROAPORTES2025[[#This Row],[NROKARDEX]],Tabla3[],11,FALSE),"NO PAGO")</f>
        <v>11726745</v>
      </c>
      <c r="E504" s="1" t="str">
        <f t="shared" si="39"/>
        <v>165</v>
      </c>
    </row>
    <row r="505" spans="1:5" x14ac:dyDescent="0.3">
      <c r="A505" s="1" t="s">
        <v>3140</v>
      </c>
      <c r="C505" t="str">
        <f>IFERROR(VLOOKUP(BDREGISTROAPORTES2025[[#This Row],[NROKARDEX]],BDPADRES[],8,FALSE),"Sin registrado")</f>
        <v>ISABELA CONDORI PATZI</v>
      </c>
      <c r="D505" s="1" t="str">
        <f>IFERROR(VLOOKUP(BDREGISTROAPORTES2025[[#This Row],[NROKARDEX]],Tabla3[],11,FALSE),"NO PAGO")</f>
        <v>20012025/2</v>
      </c>
      <c r="E505" s="1" t="str">
        <f t="shared" si="39"/>
        <v>165</v>
      </c>
    </row>
    <row r="506" spans="1:5" x14ac:dyDescent="0.3">
      <c r="A506" s="1" t="s">
        <v>3141</v>
      </c>
      <c r="C506" t="str">
        <f>IFERROR(VLOOKUP(BDREGISTROAPORTES2025[[#This Row],[NROKARDEX]],BDPADRES[],8,FALSE),"Sin registrado")</f>
        <v>YANIRA  CARVALHO ESCOBAR</v>
      </c>
      <c r="D506" s="1" t="str">
        <f>IFERROR(VLOOKUP(BDREGISTROAPORTES2025[[#This Row],[NROKARDEX]],Tabla3[],11,FALSE),"NO PAGO")</f>
        <v>NO</v>
      </c>
      <c r="E506" s="1">
        <f t="shared" si="39"/>
        <v>0</v>
      </c>
    </row>
    <row r="507" spans="1:5" x14ac:dyDescent="0.3">
      <c r="A507" s="1" t="s">
        <v>3142</v>
      </c>
      <c r="C507" t="str">
        <f>IFERROR(VLOOKUP(BDREGISTROAPORTES2025[[#This Row],[NROKARDEX]],BDPADRES[],8,FALSE),"Sin registrado")</f>
        <v>CRISTINA  CRUZ OYOLA</v>
      </c>
      <c r="D507" s="1">
        <f>IFERROR(VLOOKUP(BDREGISTROAPORTES2025[[#This Row],[NROKARDEX]],Tabla3[],11,FALSE),"NO PAGO")</f>
        <v>1055733</v>
      </c>
      <c r="E507" s="1" t="str">
        <f t="shared" si="39"/>
        <v>165</v>
      </c>
    </row>
    <row r="508" spans="1:5" x14ac:dyDescent="0.3">
      <c r="A508" s="1" t="s">
        <v>3143</v>
      </c>
      <c r="C508" t="str">
        <f>IFERROR(VLOOKUP(BDREGISTROAPORTES2025[[#This Row],[NROKARDEX]],BDPADRES[],8,FALSE),"Sin registrado")</f>
        <v>MARIELY HURTADO</v>
      </c>
      <c r="D508" s="1">
        <f>IFERROR(VLOOKUP(BDREGISTROAPORTES2025[[#This Row],[NROKARDEX]],Tabla3[],11,FALSE),"NO PAGO")</f>
        <v>1058805</v>
      </c>
      <c r="E508" s="1" t="str">
        <f t="shared" ref="E508:E510" si="40">IF(D508="NO",0,"165")</f>
        <v>165</v>
      </c>
    </row>
    <row r="509" spans="1:5" x14ac:dyDescent="0.3">
      <c r="A509" s="1" t="s">
        <v>3144</v>
      </c>
      <c r="C509" t="str">
        <f>IFERROR(VLOOKUP(BDREGISTROAPORTES2025[[#This Row],[NROKARDEX]],BDPADRES[],8,FALSE),"Sin registrado")</f>
        <v>LORENA SANDOVAL ALGARAÑAZ</v>
      </c>
      <c r="D509" s="1" t="str">
        <f>IFERROR(VLOOKUP(BDREGISTROAPORTES2025[[#This Row],[NROKARDEX]],Tabla3[],11,FALSE),"NO PAGO")</f>
        <v>NO</v>
      </c>
      <c r="E509" s="1">
        <f t="shared" si="40"/>
        <v>0</v>
      </c>
    </row>
    <row r="510" spans="1:5" x14ac:dyDescent="0.3">
      <c r="A510" s="1" t="s">
        <v>3145</v>
      </c>
      <c r="C510" t="str">
        <f>IFERROR(VLOOKUP(BDREGISTROAPORTES2025[[#This Row],[NROKARDEX]],BDPADRES[],8,FALSE),"Sin registrado")</f>
        <v>MARLENI SOLEDAD ALDAPI GONZALES</v>
      </c>
      <c r="D510" s="1">
        <f>IFERROR(VLOOKUP(BDREGISTROAPORTES2025[[#This Row],[NROKARDEX]],Tabla3[],11,FALSE),"NO PAGO")</f>
        <v>1056137</v>
      </c>
      <c r="E510" s="1" t="str">
        <f t="shared" si="40"/>
        <v>165</v>
      </c>
    </row>
    <row r="511" spans="1:5" x14ac:dyDescent="0.3">
      <c r="A511" s="1" t="s">
        <v>3146</v>
      </c>
      <c r="C511" t="str">
        <f>IFERROR(VLOOKUP(BDREGISTROAPORTES2025[[#This Row],[NROKARDEX]],BDPADRES[],8,FALSE),"Sin registrado")</f>
        <v>RICHARD JOSE VARGAS TELLEZ</v>
      </c>
      <c r="D511" s="1" t="str">
        <f>IFERROR(VLOOKUP(BDREGISTROAPORTES2025[[#This Row],[NROKARDEX]],Tabla3[],11,FALSE),"NO PAGO")</f>
        <v>NO</v>
      </c>
      <c r="E511" s="1">
        <f t="shared" ref="E511:E512" si="41">IF(D511="NO",0,"165")</f>
        <v>0</v>
      </c>
    </row>
    <row r="512" spans="1:5" x14ac:dyDescent="0.3">
      <c r="A512" s="1" t="s">
        <v>3147</v>
      </c>
      <c r="C512" t="str">
        <f>IFERROR(VLOOKUP(BDREGISTROAPORTES2025[[#This Row],[NROKARDEX]],BDPADRES[],8,FALSE),"Sin registrado")</f>
        <v>MARLENI   LAQUE RAMOS</v>
      </c>
      <c r="D512" s="1">
        <f>IFERROR(VLOOKUP(BDREGISTROAPORTES2025[[#This Row],[NROKARDEX]],Tabla3[],11,FALSE),"NO PAGO")</f>
        <v>1064290</v>
      </c>
      <c r="E512" s="1" t="str">
        <f t="shared" si="41"/>
        <v>165</v>
      </c>
    </row>
    <row r="513" spans="1:5" x14ac:dyDescent="0.3">
      <c r="A513" s="1" t="s">
        <v>3148</v>
      </c>
      <c r="C513" t="str">
        <f>IFERROR(VLOOKUP(BDREGISTROAPORTES2025[[#This Row],[NROKARDEX]],BDPADRES[],8,FALSE),"Sin registrado")</f>
        <v>MIOLET CEREZO GARCIA</v>
      </c>
      <c r="D513" s="1">
        <f>IFERROR(VLOOKUP(BDREGISTROAPORTES2025[[#This Row],[NROKARDEX]],Tabla3[],11,FALSE),"NO PAGO")</f>
        <v>1063041</v>
      </c>
      <c r="E513" s="1" t="str">
        <f t="shared" ref="E513" si="42">IF(D513="NO",0,"165")</f>
        <v>165</v>
      </c>
    </row>
    <row r="514" spans="1:5" x14ac:dyDescent="0.3">
      <c r="A514" s="1" t="s">
        <v>3149</v>
      </c>
      <c r="C514" t="str">
        <f>IFERROR(VLOOKUP(BDREGISTROAPORTES2025[[#This Row],[NROKARDEX]],BDPADRES[],8,FALSE),"Sin registrado")</f>
        <v>MAIBER PESSOA GARCIA</v>
      </c>
      <c r="D514" s="1" t="str">
        <f>IFERROR(VLOOKUP(BDREGISTROAPORTES2025[[#This Row],[NROKARDEX]],Tabla3[],11,FALSE),"NO PAGO")</f>
        <v>NO</v>
      </c>
      <c r="E514" s="1">
        <f t="shared" ref="E514:E521" si="43">IF(D514="NO",0,"165")</f>
        <v>0</v>
      </c>
    </row>
    <row r="515" spans="1:5" x14ac:dyDescent="0.3">
      <c r="A515" s="1" t="s">
        <v>3150</v>
      </c>
      <c r="C515" t="str">
        <f>IFERROR(VLOOKUP(BDREGISTROAPORTES2025[[#This Row],[NROKARDEX]],BDPADRES[],8,FALSE),"Sin registrado")</f>
        <v>ELSA ALVAREZ ORELLANA</v>
      </c>
      <c r="D515" s="1">
        <f>IFERROR(VLOOKUP(BDREGISTROAPORTES2025[[#This Row],[NROKARDEX]],Tabla3[],11,FALSE),"NO PAGO")</f>
        <v>1058775</v>
      </c>
      <c r="E515" s="1" t="str">
        <f t="shared" si="43"/>
        <v>165</v>
      </c>
    </row>
    <row r="516" spans="1:5" x14ac:dyDescent="0.3">
      <c r="A516" s="1" t="s">
        <v>3151</v>
      </c>
      <c r="C516" t="str">
        <f>IFERROR(VLOOKUP(BDREGISTROAPORTES2025[[#This Row],[NROKARDEX]],BDPADRES[],8,FALSE),"Sin registrado")</f>
        <v>MARY GULDING VILLAVICENCIO CONTRERAS</v>
      </c>
      <c r="D516" s="1">
        <f>IFERROR(VLOOKUP(BDREGISTROAPORTES2025[[#This Row],[NROKARDEX]],Tabla3[],11,FALSE),"NO PAGO")</f>
        <v>1057301</v>
      </c>
      <c r="E516" s="1" t="str">
        <f t="shared" si="43"/>
        <v>165</v>
      </c>
    </row>
    <row r="517" spans="1:5" x14ac:dyDescent="0.3">
      <c r="A517" s="1" t="s">
        <v>3155</v>
      </c>
      <c r="C517" t="str">
        <f>IFERROR(VLOOKUP(BDREGISTROAPORTES2025[[#This Row],[NROKARDEX]],BDPADRES[],8,FALSE),"Sin registrado")</f>
        <v>MATILDE FLORES MAIZARES</v>
      </c>
      <c r="D517" s="1">
        <f>IFERROR(VLOOKUP(BDREGISTROAPORTES2025[[#This Row],[NROKARDEX]],Tabla3[],11,FALSE),"NO PAGO")</f>
        <v>1058235</v>
      </c>
      <c r="E517" s="1" t="str">
        <f t="shared" si="43"/>
        <v>165</v>
      </c>
    </row>
    <row r="518" spans="1:5" x14ac:dyDescent="0.3">
      <c r="A518" s="1" t="s">
        <v>3152</v>
      </c>
      <c r="C518" t="str">
        <f>IFERROR(VLOOKUP(BDREGISTROAPORTES2025[[#This Row],[NROKARDEX]],BDPADRES[],8,FALSE),"Sin registrado")</f>
        <v>N/SINREGISTRO RODAS</v>
      </c>
      <c r="D518" s="1" t="str">
        <f>IFERROR(VLOOKUP(BDREGISTROAPORTES2025[[#This Row],[NROKARDEX]],Tabla3[],11,FALSE),"NO PAGO")</f>
        <v>NO</v>
      </c>
      <c r="E518" s="1">
        <f t="shared" si="43"/>
        <v>0</v>
      </c>
    </row>
    <row r="519" spans="1:5" x14ac:dyDescent="0.3">
      <c r="A519" s="1" t="s">
        <v>3153</v>
      </c>
      <c r="C519" t="str">
        <f>IFERROR(VLOOKUP(BDREGISTROAPORTES2025[[#This Row],[NROKARDEX]],BDPADRES[],8,FALSE),"Sin registrado")</f>
        <v xml:space="preserve"> ROBLEDO</v>
      </c>
      <c r="D519" s="1" t="str">
        <f>IFERROR(VLOOKUP(BDREGISTROAPORTES2025[[#This Row],[NROKARDEX]],Tabla3[],11,FALSE),"NO PAGO")</f>
        <v>NO</v>
      </c>
      <c r="E519" s="1">
        <f t="shared" si="43"/>
        <v>0</v>
      </c>
    </row>
    <row r="520" spans="1:5" x14ac:dyDescent="0.3">
      <c r="A520" s="1" t="s">
        <v>3154</v>
      </c>
      <c r="C520" t="str">
        <f>IFERROR(VLOOKUP(BDREGISTROAPORTES2025[[#This Row],[NROKARDEX]],BDPADRES[],8,FALSE),"Sin registrado")</f>
        <v>TERESA JIMENEZ CARRIAZO</v>
      </c>
      <c r="D520" s="1">
        <f>IFERROR(VLOOKUP(BDREGISTROAPORTES2025[[#This Row],[NROKARDEX]],Tabla3[],11,FALSE),"NO PAGO")</f>
        <v>1057960</v>
      </c>
      <c r="E520" s="1" t="str">
        <f t="shared" si="43"/>
        <v>165</v>
      </c>
    </row>
    <row r="521" spans="1:5" x14ac:dyDescent="0.3">
      <c r="A521" s="1" t="s">
        <v>3156</v>
      </c>
      <c r="C521" t="str">
        <f>IFERROR(VLOOKUP(BDREGISTROAPORTES2025[[#This Row],[NROKARDEX]],BDPADRES[],8,FALSE),"Sin registrado")</f>
        <v>Sin registrado</v>
      </c>
      <c r="D521" s="1" t="str">
        <f>IFERROR(VLOOKUP(BDREGISTROAPORTES2025[[#This Row],[NROKARDEX]],Tabla3[],11,FALSE),"NO PAGO")</f>
        <v>NO PAGO</v>
      </c>
      <c r="E521" s="1" t="str">
        <f t="shared" si="43"/>
        <v>165</v>
      </c>
    </row>
    <row r="522" spans="1:5" x14ac:dyDescent="0.3">
      <c r="A522" s="1">
        <v>473</v>
      </c>
      <c r="C522" t="str">
        <f>IFERROR(VLOOKUP(BDREGISTROAPORTES2025[[#This Row],[NROKARDEX]],BDPADRES[],8,FALSE),"Sin registrado")</f>
        <v>Sin registrado</v>
      </c>
      <c r="D522" s="1" t="str">
        <f>IFERROR(VLOOKUP(BDREGISTROAPORTES2025[[#This Row],[NROKARDEX]],Tabla3[],11,FALSE),"NO PAGO")</f>
        <v>NO PAGO</v>
      </c>
      <c r="E522" s="1" t="str">
        <f>IF(D522="NO",0,"165")</f>
        <v>165</v>
      </c>
    </row>
    <row r="523" spans="1:5" x14ac:dyDescent="0.3">
      <c r="A523" s="1">
        <f>ROW(A517)</f>
        <v>517</v>
      </c>
      <c r="C523" t="str">
        <f>IFERROR(VLOOKUP(BDREGISTROAPORTES2025[[#This Row],[NROKARDEX]],BDPADRES[],8,FALSE),"Sin registrado")</f>
        <v>Sin registrado</v>
      </c>
      <c r="D523" s="1" t="str">
        <f>IFERROR(VLOOKUP(BDREGISTROAPORTES2025[[#This Row],[NROKARDEX]],Tabla3[],11,FALSE),"NO PAGO")</f>
        <v>NO PAGO</v>
      </c>
      <c r="E523" s="1" t="str">
        <f>IF(D523="NO",0,"165")</f>
        <v>165</v>
      </c>
    </row>
  </sheetData>
  <mergeCells count="1">
    <mergeCell ref="A1:O3"/>
  </mergeCells>
  <conditionalFormatting sqref="D7">
    <cfRule type="duplicateValues" dxfId="21" priority="3"/>
  </conditionalFormatting>
  <conditionalFormatting sqref="D1:D1048576">
    <cfRule type="duplicateValues" dxfId="20" priority="2"/>
  </conditionalFormatting>
  <conditionalFormatting sqref="C1:C1048576">
    <cfRule type="duplicateValues" dxfId="19" priority="1"/>
  </conditionalFormatting>
  <pageMargins left="0.7" right="0.7" top="0.75" bottom="0.75" header="0.3" footer="0.3"/>
  <ignoredErrors>
    <ignoredError sqref="A479:A513" calculatedColumn="1"/>
  </ignoredErrors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93D6D-7C3A-439B-B3C3-3B8A66EEAAFE}">
  <sheetPr codeName="Hoja11"/>
  <dimension ref="A1:L585"/>
  <sheetViews>
    <sheetView topLeftCell="A430" zoomScale="70" zoomScaleNormal="70" workbookViewId="0">
      <selection activeCell="A457" sqref="A457:XFD457"/>
    </sheetView>
  </sheetViews>
  <sheetFormatPr baseColWidth="10" defaultRowHeight="14.4" x14ac:dyDescent="0.3"/>
  <cols>
    <col min="1" max="1" width="1.88671875" customWidth="1"/>
    <col min="2" max="2" width="19.109375" style="1" bestFit="1" customWidth="1"/>
    <col min="3" max="3" width="42.6640625" bestFit="1" customWidth="1"/>
    <col min="4" max="4" width="15" bestFit="1" customWidth="1"/>
    <col min="5" max="5" width="11.33203125" bestFit="1" customWidth="1"/>
    <col min="6" max="6" width="17.44140625" style="1" bestFit="1" customWidth="1"/>
    <col min="7" max="7" width="13.77734375" style="1" bestFit="1" customWidth="1"/>
    <col min="8" max="8" width="15.33203125" bestFit="1" customWidth="1"/>
    <col min="9" max="9" width="10.77734375" bestFit="1" customWidth="1"/>
    <col min="10" max="10" width="13.77734375" style="1" bestFit="1" customWidth="1"/>
    <col min="11" max="11" width="6" customWidth="1"/>
    <col min="12" max="12" width="74.21875" bestFit="1" customWidth="1"/>
  </cols>
  <sheetData>
    <row r="1" spans="1:12" x14ac:dyDescent="0.3">
      <c r="C1" t="s">
        <v>3072</v>
      </c>
      <c r="L1" t="s">
        <v>3158</v>
      </c>
    </row>
    <row r="2" spans="1:12" x14ac:dyDescent="0.3">
      <c r="A2" s="167" t="s">
        <v>3026</v>
      </c>
      <c r="B2" s="168"/>
      <c r="C2" s="168"/>
      <c r="D2" s="168"/>
      <c r="E2" s="168"/>
      <c r="F2" s="168"/>
      <c r="G2" s="168"/>
      <c r="H2" s="168"/>
      <c r="I2" s="168"/>
      <c r="J2" s="168"/>
      <c r="K2" s="168"/>
    </row>
    <row r="3" spans="1:12" x14ac:dyDescent="0.3">
      <c r="A3" s="168"/>
      <c r="B3" s="168"/>
      <c r="C3" s="168"/>
      <c r="D3" s="168"/>
      <c r="E3" s="168"/>
      <c r="F3" s="168"/>
      <c r="G3" s="168"/>
      <c r="H3" s="168"/>
      <c r="I3" s="168"/>
      <c r="J3" s="168"/>
      <c r="K3" s="168"/>
    </row>
    <row r="4" spans="1:12" x14ac:dyDescent="0.3">
      <c r="A4" s="112"/>
      <c r="B4" s="112"/>
      <c r="C4" s="168"/>
      <c r="D4" s="168"/>
      <c r="E4" s="168"/>
      <c r="F4" s="168"/>
      <c r="G4" s="168"/>
      <c r="H4" s="168"/>
      <c r="I4" s="168"/>
      <c r="J4" s="168"/>
      <c r="K4" s="168"/>
    </row>
    <row r="6" spans="1:12" x14ac:dyDescent="0.3">
      <c r="D6" s="169" t="s">
        <v>3053</v>
      </c>
      <c r="E6" s="169"/>
      <c r="F6" s="169"/>
      <c r="G6" s="169"/>
      <c r="H6" s="169"/>
      <c r="I6" s="169"/>
    </row>
    <row r="7" spans="1:12" x14ac:dyDescent="0.3">
      <c r="B7" s="1" t="s">
        <v>26</v>
      </c>
      <c r="C7" t="s">
        <v>3024</v>
      </c>
      <c r="D7" s="1" t="s">
        <v>27</v>
      </c>
      <c r="E7" s="1" t="s">
        <v>28</v>
      </c>
      <c r="F7" s="1" t="s">
        <v>3089</v>
      </c>
      <c r="G7" s="1" t="s">
        <v>3031</v>
      </c>
      <c r="H7" t="s">
        <v>3090</v>
      </c>
      <c r="I7" t="s">
        <v>2</v>
      </c>
      <c r="J7" s="1" t="s">
        <v>3032</v>
      </c>
    </row>
    <row r="8" spans="1:12" x14ac:dyDescent="0.3">
      <c r="B8" s="1">
        <f>ROW(A1)</f>
        <v>1</v>
      </c>
      <c r="C8" t="str">
        <f>IFERROR(VLOOKUP(BDOBLIGACIONES[[#This Row],[NROKARDEX]],BDPADRES[],8,FALSE),"Sin registrado")</f>
        <v>ZUNILDA ARANCIBIA ROSADO</v>
      </c>
      <c r="D8" s="1">
        <f>IF(VLOOKUP(B8,BDREGISTROAPORTES2025[],5,FALSE)="165",0,"165")</f>
        <v>0</v>
      </c>
      <c r="E8" s="1">
        <f>IF(VLOOKUP(B8,BDREGISTROBTH2025[],5,FALSE)="100",0,"100")</f>
        <v>0</v>
      </c>
      <c r="F8" s="1">
        <f>VLOOKUP(B8,BDREGISTROASAMBLEA2025[],8,FALSE)</f>
        <v>30</v>
      </c>
      <c r="G8" s="1">
        <f>VLOOKUP(B8,BDREGISTROMINGA2025[],6,FALSE)</f>
        <v>50</v>
      </c>
      <c r="H8" s="1">
        <v>0</v>
      </c>
      <c r="I8" s="1">
        <v>0</v>
      </c>
      <c r="J8" s="1">
        <f>BDOBLIGACIONES[[#This Row],[ASAMBLEA]]+BDOBLIGACIONES[[#This Row],[MINGA]]+BDOBLIGACIONES[[#This Row],[DELEGADOS]]+BDOBLIGACIONES[[#This Row],[CURSO]]+BDOBLIGACIONES[[#This Row],[APORTE]]+BDOBLIGACIONES[[#This Row],[BTH]]</f>
        <v>80</v>
      </c>
    </row>
    <row r="9" spans="1:12" x14ac:dyDescent="0.3">
      <c r="B9" s="1">
        <f>ROW(A2)</f>
        <v>2</v>
      </c>
      <c r="C9" t="str">
        <f>IFERROR(VLOOKUP(BDOBLIGACIONES[[#This Row],[NROKARDEX]],BDPADRES[],8,FALSE),"Sin registrado")</f>
        <v>GUISELA ULLOA MAMANI</v>
      </c>
      <c r="D9" s="1">
        <f>IF(VLOOKUP(B9,BDREGISTROAPORTES2025[],5,FALSE)="165",0,"165")</f>
        <v>0</v>
      </c>
      <c r="E9" s="1" t="str">
        <f>IF(VLOOKUP(B9,BDREGISTROBTH2025[],5,FALSE)="100",0,"100")</f>
        <v>100</v>
      </c>
      <c r="F9" s="1">
        <f>VLOOKUP(B9,BDREGISTROASAMBLEA2025[],8,FALSE)</f>
        <v>0</v>
      </c>
      <c r="G9" s="1">
        <f>VLOOKUP(B9,BDREGISTROMINGA2025[],6,FALSE)</f>
        <v>0</v>
      </c>
      <c r="H9" s="1">
        <v>0</v>
      </c>
      <c r="I9" s="1">
        <v>0</v>
      </c>
      <c r="J9" s="1">
        <f>BDOBLIGACIONES[[#This Row],[ASAMBLEA]]+BDOBLIGACIONES[[#This Row],[MINGA]]+BDOBLIGACIONES[[#This Row],[DELEGADOS]]+BDOBLIGACIONES[[#This Row],[CURSO]]+BDOBLIGACIONES[[#This Row],[APORTE]]+BDOBLIGACIONES[[#This Row],[BTH]]</f>
        <v>100</v>
      </c>
    </row>
    <row r="10" spans="1:12" x14ac:dyDescent="0.3">
      <c r="B10" s="1">
        <f>ROW(A3)</f>
        <v>3</v>
      </c>
      <c r="C10" t="str">
        <f>IFERROR(VLOOKUP(BDOBLIGACIONES[[#This Row],[NROKARDEX]],BDPADRES[],8,FALSE),"Sin registrado")</f>
        <v>BENITA VILLARES PACHILE</v>
      </c>
      <c r="D10" s="1">
        <f>IF(VLOOKUP(B10,BDREGISTROAPORTES2025[],5,FALSE)="165",0,"165")</f>
        <v>0</v>
      </c>
      <c r="E10" s="1">
        <f>IF(VLOOKUP(B10,BDREGISTROBTH2025[],5,FALSE)="100",0,"100")</f>
        <v>0</v>
      </c>
      <c r="F10" s="1">
        <f>VLOOKUP(B10,BDREGISTROASAMBLEA2025[],8,FALSE)</f>
        <v>0</v>
      </c>
      <c r="G10" s="1">
        <f>VLOOKUP(B10,BDREGISTROMINGA2025[],6,FALSE)</f>
        <v>0</v>
      </c>
      <c r="H10" s="1">
        <v>0</v>
      </c>
      <c r="I10" s="1">
        <v>0</v>
      </c>
      <c r="J10" s="1">
        <f>BDOBLIGACIONES[[#This Row],[ASAMBLEA]]+BDOBLIGACIONES[[#This Row],[MINGA]]+BDOBLIGACIONES[[#This Row],[DELEGADOS]]+BDOBLIGACIONES[[#This Row],[CURSO]]+BDOBLIGACIONES[[#This Row],[APORTE]]+BDOBLIGACIONES[[#This Row],[BTH]]</f>
        <v>0</v>
      </c>
      <c r="L10" s="148" t="s">
        <v>3066</v>
      </c>
    </row>
    <row r="11" spans="1:12" x14ac:dyDescent="0.3">
      <c r="B11" s="1">
        <f>ROW(A5)</f>
        <v>5</v>
      </c>
      <c r="C11" t="str">
        <f>IFERROR(VLOOKUP(BDOBLIGACIONES[[#This Row],[NROKARDEX]],BDPADRES[],8,FALSE),"Sin registrado")</f>
        <v>YILDA ROSADO ARAUZ</v>
      </c>
      <c r="D11" s="1">
        <f>IF(VLOOKUP(B11,BDREGISTROAPORTES2025[],5,FALSE)="165",0,"165")</f>
        <v>0</v>
      </c>
      <c r="E11" s="1">
        <f>IF(VLOOKUP(B11,BDREGISTROBTH2025[],5,FALSE)="100",0,"100")</f>
        <v>0</v>
      </c>
      <c r="F11" s="1">
        <f>VLOOKUP(B11,BDREGISTROASAMBLEA2025[],8,FALSE)</f>
        <v>0</v>
      </c>
      <c r="G11" s="1">
        <f>VLOOKUP(B11,BDREGISTROMINGA2025[],6,FALSE)</f>
        <v>0</v>
      </c>
      <c r="H11" s="1">
        <v>0</v>
      </c>
      <c r="I11" s="1">
        <v>0</v>
      </c>
      <c r="J11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2" spans="1:12" x14ac:dyDescent="0.3">
      <c r="B12" s="1">
        <f t="shared" ref="B12:B72" si="0">ROW(A7)</f>
        <v>7</v>
      </c>
      <c r="C12" t="str">
        <f>IFERROR(VLOOKUP(BDOBLIGACIONES[[#This Row],[NROKARDEX]],BDPADRES[],8,FALSE),"Sin registrado")</f>
        <v>LUZ CORAZON ALBORNOS ZABALAGA</v>
      </c>
      <c r="D12" s="1">
        <f>IF(VLOOKUP(B12,BDREGISTROAPORTES2025[],5,FALSE)="165",0,"165")</f>
        <v>0</v>
      </c>
      <c r="E12" s="1">
        <f>IF(VLOOKUP(B12,BDREGISTROBTH2025[],5,FALSE)="100",0,"100")</f>
        <v>0</v>
      </c>
      <c r="F12" s="1">
        <f>VLOOKUP(B12,BDREGISTROASAMBLEA2025[],8,FALSE)</f>
        <v>0</v>
      </c>
      <c r="G12" s="1">
        <f>VLOOKUP(B12,BDREGISTROMINGA2025[],6,FALSE)</f>
        <v>0</v>
      </c>
      <c r="H12" s="1">
        <v>0</v>
      </c>
      <c r="I12" s="1">
        <v>0</v>
      </c>
      <c r="J12" s="1">
        <f>BDOBLIGACIONES[[#This Row],[ASAMBLEA]]+BDOBLIGACIONES[[#This Row],[MINGA]]+BDOBLIGACIONES[[#This Row],[DELEGADOS]]+BDOBLIGACIONES[[#This Row],[CURSO]]+BDOBLIGACIONES[[#This Row],[APORTE]]+BDOBLIGACIONES[[#This Row],[BTH]]</f>
        <v>0</v>
      </c>
      <c r="L12" t="str">
        <f>IF(VLOOKUP(B36,BDREGISTROAPORTES2025[],5,FALSE)="165",0,"1")</f>
        <v>1</v>
      </c>
    </row>
    <row r="13" spans="1:12" x14ac:dyDescent="0.3">
      <c r="B13" s="1">
        <f t="shared" si="0"/>
        <v>8</v>
      </c>
      <c r="C13" t="str">
        <f>IFERROR(VLOOKUP(BDOBLIGACIONES[[#This Row],[NROKARDEX]],BDPADRES[],8,FALSE),"Sin registrado")</f>
        <v>ANA KAREN ESTRADA URIONA</v>
      </c>
      <c r="D13" s="1">
        <f>IF(VLOOKUP(B13,BDREGISTROAPORTES2025[],5,FALSE)="165",0,"165")</f>
        <v>0</v>
      </c>
      <c r="E13" s="1">
        <f>IF(VLOOKUP(B13,BDREGISTROBTH2025[],5,FALSE)="100",0,"100")</f>
        <v>0</v>
      </c>
      <c r="F13" s="1">
        <f>VLOOKUP(B13,BDREGISTROASAMBLEA2025[],8,FALSE)</f>
        <v>0</v>
      </c>
      <c r="G13" s="1">
        <f>VLOOKUP(B13,BDREGISTROMINGA2025[],6,FALSE)</f>
        <v>0</v>
      </c>
      <c r="H13" s="1">
        <v>0</v>
      </c>
      <c r="I13" s="1">
        <v>0</v>
      </c>
      <c r="J13" s="1">
        <f>BDOBLIGACIONES[[#This Row],[ASAMBLEA]]+BDOBLIGACIONES[[#This Row],[MINGA]]+BDOBLIGACIONES[[#This Row],[DELEGADOS]]+BDOBLIGACIONES[[#This Row],[CURSO]]+BDOBLIGACIONES[[#This Row],[APORTE]]+BDOBLIGACIONES[[#This Row],[BTH]]</f>
        <v>0</v>
      </c>
      <c r="L13" t="s">
        <v>3157</v>
      </c>
    </row>
    <row r="14" spans="1:12" x14ac:dyDescent="0.3">
      <c r="B14" s="1">
        <f t="shared" si="0"/>
        <v>9</v>
      </c>
      <c r="C14" t="str">
        <f>IFERROR(VLOOKUP(BDOBLIGACIONES[[#This Row],[NROKARDEX]],BDPADRES[],8,FALSE),"Sin registrado")</f>
        <v>PAMELA LEONESA MARTINEZ ROMERO</v>
      </c>
      <c r="D14" s="1">
        <f>IF(VLOOKUP(B14,BDREGISTROAPORTES2025[],5,FALSE)="165",0,"165")</f>
        <v>0</v>
      </c>
      <c r="E14" s="1">
        <f>IF(VLOOKUP(B14,BDREGISTROBTH2025[],5,FALSE)="100",0,"100")</f>
        <v>0</v>
      </c>
      <c r="F14" s="1">
        <f>VLOOKUP(B14,BDREGISTROASAMBLEA2025[],8,FALSE)</f>
        <v>0</v>
      </c>
      <c r="G14" s="1">
        <f>VLOOKUP(B14,BDREGISTROMINGA2025[],6,FALSE)</f>
        <v>0</v>
      </c>
      <c r="H14" s="1">
        <v>0</v>
      </c>
      <c r="I14" s="1">
        <v>0</v>
      </c>
      <c r="J14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5" spans="1:12" x14ac:dyDescent="0.3">
      <c r="B15" s="1">
        <f t="shared" si="0"/>
        <v>10</v>
      </c>
      <c r="C15" t="str">
        <f>IFERROR(VLOOKUP(BDOBLIGACIONES[[#This Row],[NROKARDEX]],BDPADRES[],8,FALSE),"Sin registrado")</f>
        <v>EVELIN BALDERRAMA ROJAS</v>
      </c>
      <c r="D15" s="1">
        <f>IF(VLOOKUP(B15,BDREGISTROAPORTES2025[],5,FALSE)="165",0,"165")</f>
        <v>0</v>
      </c>
      <c r="E15" s="1">
        <f>IF(VLOOKUP(B15,BDREGISTROBTH2025[],5,FALSE)="100",0,"100")</f>
        <v>0</v>
      </c>
      <c r="F15" s="1">
        <f>VLOOKUP(B15,BDREGISTROASAMBLEA2025[],8,FALSE)</f>
        <v>0</v>
      </c>
      <c r="G15" s="1">
        <f>VLOOKUP(B15,BDREGISTROMINGA2025[],6,FALSE)</f>
        <v>0</v>
      </c>
      <c r="H15" s="1">
        <v>0</v>
      </c>
      <c r="I15" s="1">
        <v>0</v>
      </c>
      <c r="J15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6" spans="1:12" x14ac:dyDescent="0.3">
      <c r="B16" s="1">
        <f t="shared" si="0"/>
        <v>11</v>
      </c>
      <c r="C16" t="str">
        <f>IFERROR(VLOOKUP(BDOBLIGACIONES[[#This Row],[NROKARDEX]],BDPADRES[],8,FALSE),"Sin registrado")</f>
        <v>CELIA ORELLANA GUTIERREZ</v>
      </c>
      <c r="D16" s="1">
        <f>IF(VLOOKUP(B16,BDREGISTROAPORTES2025[],5,FALSE)="165",0,"165")</f>
        <v>0</v>
      </c>
      <c r="E16" s="1">
        <f>IF(VLOOKUP(B16,BDREGISTROBTH2025[],5,FALSE)="100",0,"100")</f>
        <v>0</v>
      </c>
      <c r="F16" s="1">
        <f>VLOOKUP(B16,BDREGISTROASAMBLEA2025[],8,FALSE)</f>
        <v>0</v>
      </c>
      <c r="G16" s="1">
        <f>VLOOKUP(B16,BDREGISTROMINGA2025[],6,FALSE)</f>
        <v>0</v>
      </c>
      <c r="H16" s="1">
        <v>0</v>
      </c>
      <c r="I16" s="1">
        <v>0</v>
      </c>
      <c r="J16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7" spans="2:10" x14ac:dyDescent="0.3">
      <c r="B17" s="1">
        <f t="shared" si="0"/>
        <v>12</v>
      </c>
      <c r="C17" t="str">
        <f>IFERROR(VLOOKUP(BDOBLIGACIONES[[#This Row],[NROKARDEX]],BDPADRES[],8,FALSE),"Sin registrado")</f>
        <v>MARCELINA MOJIANO MOSCOSO</v>
      </c>
      <c r="D17" s="1">
        <f>IF(VLOOKUP(B17,BDREGISTROAPORTES2025[],5,FALSE)="165",0,"165")</f>
        <v>0</v>
      </c>
      <c r="E17" s="1">
        <f>IF(VLOOKUP(B17,BDREGISTROBTH2025[],5,FALSE)="100",0,"100")</f>
        <v>0</v>
      </c>
      <c r="F17" s="1">
        <f>VLOOKUP(B17,BDREGISTROASAMBLEA2025[],8,FALSE)</f>
        <v>0</v>
      </c>
      <c r="G17" s="1">
        <f>VLOOKUP(B17,BDREGISTROMINGA2025[],6,FALSE)</f>
        <v>0</v>
      </c>
      <c r="H17" s="1">
        <v>0</v>
      </c>
      <c r="I17" s="1">
        <v>0</v>
      </c>
      <c r="J17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8" spans="2:10" x14ac:dyDescent="0.3">
      <c r="B18" s="1">
        <f t="shared" si="0"/>
        <v>13</v>
      </c>
      <c r="C18" t="str">
        <f>IFERROR(VLOOKUP(BDOBLIGACIONES[[#This Row],[NROKARDEX]],BDPADRES[],8,FALSE),"Sin registrado")</f>
        <v>YOLANDA CRUZ AGUIRRE</v>
      </c>
      <c r="D18" s="1">
        <f>IF(VLOOKUP(B18,BDREGISTROAPORTES2025[],5,FALSE)="165",0,"165")</f>
        <v>0</v>
      </c>
      <c r="E18" s="1">
        <f>IF(VLOOKUP(B18,BDREGISTROBTH2025[],5,FALSE)="100",0,"100")</f>
        <v>0</v>
      </c>
      <c r="F18" s="1">
        <f>VLOOKUP(B18,BDREGISTROASAMBLEA2025[],8,FALSE)</f>
        <v>0</v>
      </c>
      <c r="G18" s="1">
        <f>VLOOKUP(B18,BDREGISTROMINGA2025[],6,FALSE)</f>
        <v>0</v>
      </c>
      <c r="H18" s="1">
        <v>0</v>
      </c>
      <c r="I18" s="1">
        <v>0</v>
      </c>
      <c r="J18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9" spans="2:10" x14ac:dyDescent="0.3">
      <c r="B19" s="1">
        <f t="shared" si="0"/>
        <v>14</v>
      </c>
      <c r="C19" t="str">
        <f>IFERROR(VLOOKUP(BDOBLIGACIONES[[#This Row],[NROKARDEX]],BDPADRES[],8,FALSE),"Sin registrado")</f>
        <v>MARGARITA VARGAS BOBARIN</v>
      </c>
      <c r="D19" s="1">
        <f>IF(VLOOKUP(B19,BDREGISTROAPORTES2025[],5,FALSE)="165",0,"165")</f>
        <v>0</v>
      </c>
      <c r="E19" s="1">
        <f>IF(VLOOKUP(B19,BDREGISTROBTH2025[],5,FALSE)="100",0,"100")</f>
        <v>0</v>
      </c>
      <c r="F19" s="1">
        <f>VLOOKUP(B19,BDREGISTROASAMBLEA2025[],8,FALSE)</f>
        <v>0</v>
      </c>
      <c r="G19" s="1">
        <f>VLOOKUP(B19,BDREGISTROMINGA2025[],6,FALSE)</f>
        <v>0</v>
      </c>
      <c r="H19" s="1">
        <v>0</v>
      </c>
      <c r="I19" s="1">
        <v>0</v>
      </c>
      <c r="J19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0" spans="2:10" x14ac:dyDescent="0.3">
      <c r="B20" s="1">
        <f t="shared" si="0"/>
        <v>15</v>
      </c>
      <c r="C20" t="str">
        <f>IFERROR(VLOOKUP(BDOBLIGACIONES[[#This Row],[NROKARDEX]],BDPADRES[],8,FALSE),"Sin registrado")</f>
        <v>CANDELARIA ZAPATA CRESPO</v>
      </c>
      <c r="D20" s="1">
        <f>IF(VLOOKUP(B20,BDREGISTROAPORTES2025[],5,FALSE)="165",0,"165")</f>
        <v>0</v>
      </c>
      <c r="E20" s="1">
        <f>IF(VLOOKUP(B20,BDREGISTROBTH2025[],5,FALSE)="100",0,"100")</f>
        <v>0</v>
      </c>
      <c r="F20" s="1">
        <f>VLOOKUP(B20,BDREGISTROASAMBLEA2025[],8,FALSE)</f>
        <v>0</v>
      </c>
      <c r="G20" s="1">
        <f>VLOOKUP(B20,BDREGISTROMINGA2025[],6,FALSE)</f>
        <v>0</v>
      </c>
      <c r="H20" s="1">
        <v>0</v>
      </c>
      <c r="I20" s="1">
        <v>0</v>
      </c>
      <c r="J20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1" spans="2:10" x14ac:dyDescent="0.3">
      <c r="B21" s="1">
        <f t="shared" si="0"/>
        <v>16</v>
      </c>
      <c r="C21" t="str">
        <f>IFERROR(VLOOKUP(BDOBLIGACIONES[[#This Row],[NROKARDEX]],BDPADRES[],8,FALSE),"Sin registrado")</f>
        <v>DOLORES QUENTA BARRIENTOS</v>
      </c>
      <c r="D21" s="1">
        <f>IF(VLOOKUP(B21,BDREGISTROAPORTES2025[],5,FALSE)="165",0,"165")</f>
        <v>0</v>
      </c>
      <c r="E21" s="1">
        <f>IF(VLOOKUP(B21,BDREGISTROBTH2025[],5,FALSE)="100",0,"100")</f>
        <v>0</v>
      </c>
      <c r="F21" s="1">
        <f>VLOOKUP(B21,BDREGISTROASAMBLEA2025[],8,FALSE)</f>
        <v>0</v>
      </c>
      <c r="G21" s="1">
        <f>VLOOKUP(B21,BDREGISTROMINGA2025[],6,FALSE)</f>
        <v>0</v>
      </c>
      <c r="H21" s="1">
        <v>0</v>
      </c>
      <c r="I21" s="1">
        <v>0</v>
      </c>
      <c r="J21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2" spans="2:10" x14ac:dyDescent="0.3">
      <c r="B22" s="1">
        <f t="shared" si="0"/>
        <v>17</v>
      </c>
      <c r="C22" t="str">
        <f>IFERROR(VLOOKUP(BDOBLIGACIONES[[#This Row],[NROKARDEX]],BDPADRES[],8,FALSE),"Sin registrado")</f>
        <v>ANA MARIA CHOQUE LEITON</v>
      </c>
      <c r="D22" s="1">
        <f>IF(VLOOKUP(B22,BDREGISTROAPORTES2025[],5,FALSE)="165",0,"165")</f>
        <v>0</v>
      </c>
      <c r="E22" s="1">
        <f>IF(VLOOKUP(B22,BDREGISTROBTH2025[],5,FALSE)="100",0,"100")</f>
        <v>0</v>
      </c>
      <c r="F22" s="1">
        <f>VLOOKUP(B22,BDREGISTROASAMBLEA2025[],8,FALSE)</f>
        <v>0</v>
      </c>
      <c r="G22" s="1">
        <f>VLOOKUP(B22,BDREGISTROMINGA2025[],6,FALSE)</f>
        <v>0</v>
      </c>
      <c r="H22" s="1">
        <v>0</v>
      </c>
      <c r="I22" s="1">
        <v>0</v>
      </c>
      <c r="J22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3" spans="2:10" x14ac:dyDescent="0.3">
      <c r="B23" s="1">
        <f t="shared" si="0"/>
        <v>18</v>
      </c>
      <c r="C23" t="str">
        <f>IFERROR(VLOOKUP(BDOBLIGACIONES[[#This Row],[NROKARDEX]],BDPADRES[],8,FALSE),"Sin registrado")</f>
        <v>YASELY RUTH MURILLO CASTRO</v>
      </c>
      <c r="D23" s="1">
        <f>IF(VLOOKUP(B23,BDREGISTROAPORTES2025[],5,FALSE)="165",0,"165")</f>
        <v>0</v>
      </c>
      <c r="E23" s="1">
        <f>IF(VLOOKUP(B23,BDREGISTROBTH2025[],5,FALSE)="100",0,"100")</f>
        <v>0</v>
      </c>
      <c r="F23" s="1">
        <f>VLOOKUP(B23,BDREGISTROASAMBLEA2025[],8,FALSE)</f>
        <v>0</v>
      </c>
      <c r="G23" s="1">
        <f>VLOOKUP(B23,BDREGISTROMINGA2025[],6,FALSE)</f>
        <v>0</v>
      </c>
      <c r="H23" s="1">
        <v>0</v>
      </c>
      <c r="I23" s="1">
        <v>0</v>
      </c>
      <c r="J23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4" spans="2:10" x14ac:dyDescent="0.3">
      <c r="B24" s="1">
        <f t="shared" si="0"/>
        <v>19</v>
      </c>
      <c r="C24" t="str">
        <f>IFERROR(VLOOKUP(BDOBLIGACIONES[[#This Row],[NROKARDEX]],BDPADRES[],8,FALSE),"Sin registrado")</f>
        <v>LIBERATA DIAZ CASTRO</v>
      </c>
      <c r="D24" s="1">
        <f>IF(VLOOKUP(B24,BDREGISTROAPORTES2025[],5,FALSE)="165",0,"165")</f>
        <v>0</v>
      </c>
      <c r="E24" s="1">
        <f>IF(VLOOKUP(B24,BDREGISTROBTH2025[],5,FALSE)="100",0,"100")</f>
        <v>0</v>
      </c>
      <c r="F24" s="1">
        <f>VLOOKUP(B24,BDREGISTROASAMBLEA2025[],8,FALSE)</f>
        <v>0</v>
      </c>
      <c r="G24" s="1">
        <f>VLOOKUP(B24,BDREGISTROMINGA2025[],6,FALSE)</f>
        <v>0</v>
      </c>
      <c r="H24" s="1">
        <v>0</v>
      </c>
      <c r="I24" s="1">
        <v>0</v>
      </c>
      <c r="J24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5" spans="2:10" x14ac:dyDescent="0.3">
      <c r="B25" s="1">
        <f t="shared" si="0"/>
        <v>20</v>
      </c>
      <c r="C25" t="str">
        <f>IFERROR(VLOOKUP(BDOBLIGACIONES[[#This Row],[NROKARDEX]],BDPADRES[],8,FALSE),"Sin registrado")</f>
        <v>EMY RUDY MURILLO CASTRO</v>
      </c>
      <c r="D25" s="1">
        <f>IF(VLOOKUP(B25,BDREGISTROAPORTES2025[],5,FALSE)="165",0,"165")</f>
        <v>0</v>
      </c>
      <c r="E25" s="1">
        <f>IF(VLOOKUP(B25,BDREGISTROBTH2025[],5,FALSE)="100",0,"100")</f>
        <v>0</v>
      </c>
      <c r="F25" s="1">
        <f>VLOOKUP(B25,BDREGISTROASAMBLEA2025[],8,FALSE)</f>
        <v>0</v>
      </c>
      <c r="G25" s="1">
        <f>VLOOKUP(B25,BDREGISTROMINGA2025[],6,FALSE)</f>
        <v>0</v>
      </c>
      <c r="H25" s="1">
        <v>0</v>
      </c>
      <c r="I25" s="1">
        <v>0</v>
      </c>
      <c r="J25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6" spans="2:10" x14ac:dyDescent="0.3">
      <c r="B26" s="1">
        <f t="shared" si="0"/>
        <v>21</v>
      </c>
      <c r="C26" t="str">
        <f>IFERROR(VLOOKUP(BDOBLIGACIONES[[#This Row],[NROKARDEX]],BDPADRES[],8,FALSE),"Sin registrado")</f>
        <v>ABIGAIL LEON SEAS</v>
      </c>
      <c r="D26" s="1">
        <f>IF(VLOOKUP(B26,BDREGISTROAPORTES2025[],5,FALSE)="165",0,"165")</f>
        <v>0</v>
      </c>
      <c r="E26" s="1">
        <f>IF(VLOOKUP(B26,BDREGISTROBTH2025[],5,FALSE)="100",0,"100")</f>
        <v>0</v>
      </c>
      <c r="F26" s="1">
        <f>VLOOKUP(B26,BDREGISTROASAMBLEA2025[],8,FALSE)</f>
        <v>0</v>
      </c>
      <c r="G26" s="1">
        <f>VLOOKUP(B26,BDREGISTROMINGA2025[],6,FALSE)</f>
        <v>0</v>
      </c>
      <c r="H26" s="1">
        <v>0</v>
      </c>
      <c r="I26" s="1">
        <v>0</v>
      </c>
      <c r="J26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7" spans="2:10" x14ac:dyDescent="0.3">
      <c r="B27" s="1">
        <f t="shared" si="0"/>
        <v>22</v>
      </c>
      <c r="C27" t="str">
        <f>IFERROR(VLOOKUP(BDOBLIGACIONES[[#This Row],[NROKARDEX]],BDPADRES[],8,FALSE),"Sin registrado")</f>
        <v>SANDRA PUMA ROSAS</v>
      </c>
      <c r="D27" s="1">
        <f>IF(VLOOKUP(B27,BDREGISTROAPORTES2025[],5,FALSE)="165",0,"165")</f>
        <v>0</v>
      </c>
      <c r="E27" s="1">
        <f>IF(VLOOKUP(B27,BDREGISTROBTH2025[],5,FALSE)="100",0,"100")</f>
        <v>0</v>
      </c>
      <c r="F27" s="1">
        <f>VLOOKUP(B27,BDREGISTROASAMBLEA2025[],8,FALSE)</f>
        <v>0</v>
      </c>
      <c r="G27" s="1">
        <f>VLOOKUP(B27,BDREGISTROMINGA2025[],6,FALSE)</f>
        <v>0</v>
      </c>
      <c r="H27" s="1">
        <v>0</v>
      </c>
      <c r="I27" s="1">
        <v>0</v>
      </c>
      <c r="J27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8" spans="2:10" x14ac:dyDescent="0.3">
      <c r="B28" s="1">
        <f t="shared" si="0"/>
        <v>23</v>
      </c>
      <c r="C28" t="str">
        <f>IFERROR(VLOOKUP(BDOBLIGACIONES[[#This Row],[NROKARDEX]],BDPADRES[],8,FALSE),"Sin registrado")</f>
        <v>VERONICA AIZA QUIROGA</v>
      </c>
      <c r="D28" s="1">
        <f>IF(VLOOKUP(B28,BDREGISTROAPORTES2025[],5,FALSE)="165",0,"165")</f>
        <v>0</v>
      </c>
      <c r="E28" s="1">
        <f>IF(VLOOKUP(B28,BDREGISTROBTH2025[],5,FALSE)="100",0,"100")</f>
        <v>0</v>
      </c>
      <c r="F28" s="1">
        <f>VLOOKUP(B28,BDREGISTROASAMBLEA2025[],8,FALSE)</f>
        <v>0</v>
      </c>
      <c r="G28" s="1">
        <f>VLOOKUP(B28,BDREGISTROMINGA2025[],6,FALSE)</f>
        <v>0</v>
      </c>
      <c r="H28" s="1">
        <v>0</v>
      </c>
      <c r="I28" s="1">
        <v>0</v>
      </c>
      <c r="J28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9" spans="2:10" x14ac:dyDescent="0.3">
      <c r="B29" s="1">
        <f t="shared" si="0"/>
        <v>24</v>
      </c>
      <c r="C29" t="str">
        <f>IFERROR(VLOOKUP(BDOBLIGACIONES[[#This Row],[NROKARDEX]],BDPADRES[],8,FALSE),"Sin registrado")</f>
        <v>ESMERALDA MARINA BARRERA PUMA</v>
      </c>
      <c r="D29" s="1">
        <f>IF(VLOOKUP(B29,BDREGISTROAPORTES2025[],5,FALSE)="165",0,"165")</f>
        <v>0</v>
      </c>
      <c r="E29" s="1">
        <f>IF(VLOOKUP(B29,BDREGISTROBTH2025[],5,FALSE)="100",0,"100")</f>
        <v>0</v>
      </c>
      <c r="F29" s="1">
        <f>VLOOKUP(B29,BDREGISTROASAMBLEA2025[],8,FALSE)</f>
        <v>0</v>
      </c>
      <c r="G29" s="1">
        <f>VLOOKUP(B29,BDREGISTROMINGA2025[],6,FALSE)</f>
        <v>0</v>
      </c>
      <c r="H29" s="1">
        <v>0</v>
      </c>
      <c r="I29" s="1">
        <v>0</v>
      </c>
      <c r="J29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30" spans="2:10" x14ac:dyDescent="0.3">
      <c r="B30" s="1">
        <f t="shared" si="0"/>
        <v>25</v>
      </c>
      <c r="C30" t="str">
        <f>IFERROR(VLOOKUP(BDOBLIGACIONES[[#This Row],[NROKARDEX]],BDPADRES[],8,FALSE),"Sin registrado")</f>
        <v>HEIDY PACO CASTRO</v>
      </c>
      <c r="D30" s="1">
        <f>IF(VLOOKUP(B30,BDREGISTROAPORTES2025[],5,FALSE)="165",0,"165")</f>
        <v>0</v>
      </c>
      <c r="E30" s="1">
        <f>IF(VLOOKUP(B30,BDREGISTROBTH2025[],5,FALSE)="100",0,"100")</f>
        <v>0</v>
      </c>
      <c r="F30" s="1">
        <f>VLOOKUP(B30,BDREGISTROASAMBLEA2025[],8,FALSE)</f>
        <v>0</v>
      </c>
      <c r="G30" s="1">
        <f>VLOOKUP(B30,BDREGISTROMINGA2025[],6,FALSE)</f>
        <v>0</v>
      </c>
      <c r="H30" s="1">
        <v>0</v>
      </c>
      <c r="I30" s="1">
        <v>0</v>
      </c>
      <c r="J30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31" spans="2:10" x14ac:dyDescent="0.3">
      <c r="B31" s="1">
        <f t="shared" si="0"/>
        <v>26</v>
      </c>
      <c r="C31" t="str">
        <f>IFERROR(VLOOKUP(BDOBLIGACIONES[[#This Row],[NROKARDEX]],BDPADRES[],8,FALSE),"Sin registrado")</f>
        <v>PATRICIA LOPEZ CHOQUE</v>
      </c>
      <c r="D31" s="1">
        <f>IF(VLOOKUP(B31,BDREGISTROAPORTES2025[],5,FALSE)="165",0,"165")</f>
        <v>0</v>
      </c>
      <c r="E31" s="1">
        <f>IF(VLOOKUP(B31,BDREGISTROBTH2025[],5,FALSE)="100",0,"100")</f>
        <v>0</v>
      </c>
      <c r="F31" s="1">
        <f>VLOOKUP(B31,BDREGISTROASAMBLEA2025[],8,FALSE)</f>
        <v>0</v>
      </c>
      <c r="G31" s="1">
        <f>VLOOKUP(B31,BDREGISTROMINGA2025[],6,FALSE)</f>
        <v>0</v>
      </c>
      <c r="H31" s="1">
        <v>0</v>
      </c>
      <c r="I31" s="1">
        <v>0</v>
      </c>
      <c r="J31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32" spans="2:10" x14ac:dyDescent="0.3">
      <c r="B32" s="1">
        <f t="shared" si="0"/>
        <v>27</v>
      </c>
      <c r="C32" t="str">
        <f>IFERROR(VLOOKUP(BDOBLIGACIONES[[#This Row],[NROKARDEX]],BDPADRES[],8,FALSE),"Sin registrado")</f>
        <v>BASILIA PADILLA REINA</v>
      </c>
      <c r="D32" s="1">
        <f>IF(VLOOKUP(B32,BDREGISTROAPORTES2025[],5,FALSE)="165",0,"165")</f>
        <v>0</v>
      </c>
      <c r="E32" s="1">
        <f>IF(VLOOKUP(B32,BDREGISTROBTH2025[],5,FALSE)="100",0,"100")</f>
        <v>0</v>
      </c>
      <c r="F32" s="1">
        <f>VLOOKUP(B32,BDREGISTROASAMBLEA2025[],8,FALSE)</f>
        <v>0</v>
      </c>
      <c r="G32" s="1">
        <f>VLOOKUP(B32,BDREGISTROMINGA2025[],6,FALSE)</f>
        <v>0</v>
      </c>
      <c r="H32" s="1">
        <v>0</v>
      </c>
      <c r="I32" s="1">
        <v>0</v>
      </c>
      <c r="J32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33" spans="2:10" x14ac:dyDescent="0.3">
      <c r="B33" s="1">
        <f t="shared" si="0"/>
        <v>28</v>
      </c>
      <c r="C33" t="str">
        <f>IFERROR(VLOOKUP(BDOBLIGACIONES[[#This Row],[NROKARDEX]],BDPADRES[],8,FALSE),"Sin registrado")</f>
        <v>DALCY SILES ROSADO</v>
      </c>
      <c r="D33" s="1">
        <f>IF(VLOOKUP(B33,BDREGISTROAPORTES2025[],5,FALSE)="165",0,"165")</f>
        <v>0</v>
      </c>
      <c r="E33" s="1">
        <f>IF(VLOOKUP(B33,BDREGISTROBTH2025[],5,FALSE)="100",0,"100")</f>
        <v>0</v>
      </c>
      <c r="F33" s="1">
        <f>VLOOKUP(B33,BDREGISTROASAMBLEA2025[],8,FALSE)</f>
        <v>0</v>
      </c>
      <c r="G33" s="1">
        <f>VLOOKUP(B33,BDREGISTROMINGA2025[],6,FALSE)</f>
        <v>0</v>
      </c>
      <c r="H33" s="1">
        <v>0</v>
      </c>
      <c r="I33" s="1">
        <v>0</v>
      </c>
      <c r="J33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34" spans="2:10" x14ac:dyDescent="0.3">
      <c r="B34" s="1">
        <f t="shared" si="0"/>
        <v>29</v>
      </c>
      <c r="C34" t="str">
        <f>IFERROR(VLOOKUP(BDOBLIGACIONES[[#This Row],[NROKARDEX]],BDPADRES[],8,FALSE),"Sin registrado")</f>
        <v>NICOLE PEREYRA CABRERA</v>
      </c>
      <c r="D34" s="1">
        <f>IF(VLOOKUP(B34,BDREGISTROAPORTES2025[],5,FALSE)="165",0,"165")</f>
        <v>0</v>
      </c>
      <c r="E34" s="1">
        <f>IF(VLOOKUP(B34,BDREGISTROBTH2025[],5,FALSE)="100",0,"100")</f>
        <v>0</v>
      </c>
      <c r="F34" s="1">
        <f>VLOOKUP(B34,BDREGISTROASAMBLEA2025[],8,FALSE)</f>
        <v>0</v>
      </c>
      <c r="G34" s="1">
        <f>VLOOKUP(B34,BDREGISTROMINGA2025[],6,FALSE)</f>
        <v>0</v>
      </c>
      <c r="H34" s="1">
        <v>0</v>
      </c>
      <c r="I34" s="1">
        <v>0</v>
      </c>
      <c r="J34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35" spans="2:10" x14ac:dyDescent="0.3">
      <c r="B35" s="1">
        <f t="shared" si="0"/>
        <v>30</v>
      </c>
      <c r="C35" t="str">
        <f>IFERROR(VLOOKUP(BDOBLIGACIONES[[#This Row],[NROKARDEX]],BDPADRES[],8,FALSE),"Sin registrado")</f>
        <v>TERESA  ANDREA CONDORI LOPEZ</v>
      </c>
      <c r="D35" s="1">
        <f>IF(VLOOKUP(B35,BDREGISTROAPORTES2025[],5,FALSE)="165",0,"165")</f>
        <v>0</v>
      </c>
      <c r="E35" s="1">
        <f>IF(VLOOKUP(B35,BDREGISTROBTH2025[],5,FALSE)="100",0,"100")</f>
        <v>0</v>
      </c>
      <c r="F35" s="1">
        <f>VLOOKUP(B35,BDREGISTROASAMBLEA2025[],8,FALSE)</f>
        <v>0</v>
      </c>
      <c r="G35" s="1">
        <f>VLOOKUP(B35,BDREGISTROMINGA2025[],6,FALSE)</f>
        <v>0</v>
      </c>
      <c r="H35" s="1">
        <v>0</v>
      </c>
      <c r="I35" s="1">
        <v>0</v>
      </c>
      <c r="J35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36" spans="2:10" x14ac:dyDescent="0.3">
      <c r="B36" s="1">
        <f t="shared" si="0"/>
        <v>31</v>
      </c>
      <c r="C36" s="8" t="str">
        <f>IFERROR(VLOOKUP(BDOBLIGACIONES[[#This Row],[NROKARDEX]],BDPADRES[],8,FALSE),"Sin registrado")</f>
        <v>Sin registrado</v>
      </c>
      <c r="D36" s="1" t="str">
        <f>IF(VLOOKUP(B36,BDREGISTROAPORTES2025[],5,FALSE)="165",0,"165")</f>
        <v>165</v>
      </c>
      <c r="E36" s="11" t="str">
        <f>IF(VLOOKUP(B36,BDREGISTROBTH2025[],5,FALSE)="100",0,"100")</f>
        <v>100</v>
      </c>
      <c r="F36" s="1">
        <f>VLOOKUP(B36,BDREGISTROASAMBLEA2025[],8,FALSE)</f>
        <v>0</v>
      </c>
      <c r="G36" s="1">
        <f>VLOOKUP(B36,BDREGISTROMINGA2025[],6,FALSE)</f>
        <v>0</v>
      </c>
      <c r="H36" s="1">
        <v>0</v>
      </c>
      <c r="I36" s="1">
        <v>0</v>
      </c>
      <c r="J36" s="1">
        <f>BDOBLIGACIONES[[#This Row],[ASAMBLEA]]+BDOBLIGACIONES[[#This Row],[MINGA]]+BDOBLIGACIONES[[#This Row],[DELEGADOS]]+BDOBLIGACIONES[[#This Row],[CURSO]]+BDOBLIGACIONES[[#This Row],[APORTE]]+BDOBLIGACIONES[[#This Row],[BTH]]</f>
        <v>265</v>
      </c>
    </row>
    <row r="37" spans="2:10" x14ac:dyDescent="0.3">
      <c r="B37" s="1">
        <f t="shared" si="0"/>
        <v>32</v>
      </c>
      <c r="C37" t="str">
        <f>IFERROR(VLOOKUP(BDOBLIGACIONES[[#This Row],[NROKARDEX]],BDPADRES[],8,FALSE),"Sin registrado")</f>
        <v>RODEE FLORES TITO</v>
      </c>
      <c r="D37" s="1">
        <f>IF(VLOOKUP(B37,BDREGISTROAPORTES2025[],5,FALSE)="165",0,"165")</f>
        <v>0</v>
      </c>
      <c r="E37" s="1">
        <f>IF(VLOOKUP(B37,BDREGISTROBTH2025[],5,FALSE)="100",0,"100")</f>
        <v>0</v>
      </c>
      <c r="F37" s="1">
        <f>VLOOKUP(B37,BDREGISTROASAMBLEA2025[],8,FALSE)</f>
        <v>0</v>
      </c>
      <c r="G37" s="1">
        <f>VLOOKUP(B37,BDREGISTROMINGA2025[],6,FALSE)</f>
        <v>0</v>
      </c>
      <c r="H37" s="1">
        <v>0</v>
      </c>
      <c r="I37" s="1">
        <v>0</v>
      </c>
      <c r="J37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38" spans="2:10" x14ac:dyDescent="0.3">
      <c r="B38" s="1">
        <f t="shared" si="0"/>
        <v>33</v>
      </c>
      <c r="C38" t="str">
        <f>IFERROR(VLOOKUP(BDOBLIGACIONES[[#This Row],[NROKARDEX]],BDPADRES[],8,FALSE),"Sin registrado")</f>
        <v>ANA ISABEL APAZA MAMANI</v>
      </c>
      <c r="D38" s="1">
        <f>IF(VLOOKUP(B38,BDREGISTROAPORTES2025[],5,FALSE)="165",0,"165")</f>
        <v>0</v>
      </c>
      <c r="E38" s="1">
        <f>IF(VLOOKUP(B38,BDREGISTROBTH2025[],5,FALSE)="100",0,"100")</f>
        <v>0</v>
      </c>
      <c r="F38" s="1">
        <f>VLOOKUP(B38,BDREGISTROASAMBLEA2025[],8,FALSE)</f>
        <v>0</v>
      </c>
      <c r="G38" s="1">
        <f>VLOOKUP(B38,BDREGISTROMINGA2025[],6,FALSE)</f>
        <v>0</v>
      </c>
      <c r="H38" s="1">
        <v>0</v>
      </c>
      <c r="I38" s="1">
        <v>0</v>
      </c>
      <c r="J38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39" spans="2:10" x14ac:dyDescent="0.3">
      <c r="B39" s="1">
        <f t="shared" si="0"/>
        <v>34</v>
      </c>
      <c r="C39" t="str">
        <f>IFERROR(VLOOKUP(BDOBLIGACIONES[[#This Row],[NROKARDEX]],BDPADRES[],8,FALSE),"Sin registrado")</f>
        <v>JUANA FERNANDEZ LOPEZ</v>
      </c>
      <c r="D39" s="1">
        <f>IF(VLOOKUP(B39,BDREGISTROAPORTES2025[],5,FALSE)="165",0,"165")</f>
        <v>0</v>
      </c>
      <c r="E39" s="1">
        <f>IF(VLOOKUP(B39,BDREGISTROBTH2025[],5,FALSE)="100",0,"100")</f>
        <v>0</v>
      </c>
      <c r="F39" s="1">
        <f>VLOOKUP(B39,BDREGISTROASAMBLEA2025[],8,FALSE)</f>
        <v>0</v>
      </c>
      <c r="G39" s="1">
        <f>VLOOKUP(B39,BDREGISTROMINGA2025[],6,FALSE)</f>
        <v>0</v>
      </c>
      <c r="H39" s="1">
        <v>0</v>
      </c>
      <c r="I39" s="1">
        <v>0</v>
      </c>
      <c r="J39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40" spans="2:10" x14ac:dyDescent="0.3">
      <c r="B40" s="1">
        <f t="shared" si="0"/>
        <v>35</v>
      </c>
      <c r="C40" t="str">
        <f>IFERROR(VLOOKUP(BDOBLIGACIONES[[#This Row],[NROKARDEX]],BDPADRES[],8,FALSE),"Sin registrado")</f>
        <v>OLIVIA FLORES SERRUTO</v>
      </c>
      <c r="D40" s="1">
        <f>IF(VLOOKUP(B40,BDREGISTROAPORTES2025[],5,FALSE)="165",0,"165")</f>
        <v>0</v>
      </c>
      <c r="E40" s="1">
        <f>IF(VLOOKUP(B40,BDREGISTROBTH2025[],5,FALSE)="100",0,"100")</f>
        <v>0</v>
      </c>
      <c r="F40" s="1">
        <f>VLOOKUP(B40,BDREGISTROASAMBLEA2025[],8,FALSE)</f>
        <v>0</v>
      </c>
      <c r="G40" s="1">
        <f>VLOOKUP(B40,BDREGISTROMINGA2025[],6,FALSE)</f>
        <v>0</v>
      </c>
      <c r="H40" s="1">
        <v>0</v>
      </c>
      <c r="I40" s="1">
        <v>0</v>
      </c>
      <c r="J40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41" spans="2:10" x14ac:dyDescent="0.3">
      <c r="B41" s="1">
        <f t="shared" si="0"/>
        <v>36</v>
      </c>
      <c r="C41" t="str">
        <f>IFERROR(VLOOKUP(BDOBLIGACIONES[[#This Row],[NROKARDEX]],BDPADRES[],8,FALSE),"Sin registrado")</f>
        <v>MARLENE   VEDIA BALLESTEROS</v>
      </c>
      <c r="D41" s="1">
        <f>IF(VLOOKUP(B41,BDREGISTROAPORTES2025[],5,FALSE)="165",0,"165")</f>
        <v>0</v>
      </c>
      <c r="E41" s="1" t="str">
        <f>IF(VLOOKUP(B41,BDREGISTROBTH2025[],5,FALSE)="100",0,"100")</f>
        <v>100</v>
      </c>
      <c r="F41" s="1">
        <f>VLOOKUP(B41,BDREGISTROASAMBLEA2025[],8,FALSE)</f>
        <v>0</v>
      </c>
      <c r="G41" s="1">
        <f>VLOOKUP(B41,BDREGISTROMINGA2025[],6,FALSE)</f>
        <v>0</v>
      </c>
      <c r="H41" s="1">
        <v>0</v>
      </c>
      <c r="I41" s="1">
        <v>0</v>
      </c>
      <c r="J41" s="1">
        <f>BDOBLIGACIONES[[#This Row],[ASAMBLEA]]+BDOBLIGACIONES[[#This Row],[MINGA]]+BDOBLIGACIONES[[#This Row],[DELEGADOS]]+BDOBLIGACIONES[[#This Row],[CURSO]]+BDOBLIGACIONES[[#This Row],[APORTE]]+BDOBLIGACIONES[[#This Row],[BTH]]</f>
        <v>100</v>
      </c>
    </row>
    <row r="42" spans="2:10" x14ac:dyDescent="0.3">
      <c r="B42" s="1">
        <f t="shared" si="0"/>
        <v>37</v>
      </c>
      <c r="C42" t="str">
        <f>IFERROR(VLOOKUP(BDOBLIGACIONES[[#This Row],[NROKARDEX]],BDPADRES[],8,FALSE),"Sin registrado")</f>
        <v>SEGUNDINA PEÑARRIETA BARVOLIN</v>
      </c>
      <c r="D42" s="1">
        <f>IF(VLOOKUP(B42,BDREGISTROAPORTES2025[],5,FALSE)="165",0,"165")</f>
        <v>0</v>
      </c>
      <c r="E42" s="1">
        <f>IF(VLOOKUP(B42,BDREGISTROBTH2025[],5,FALSE)="100",0,"100")</f>
        <v>0</v>
      </c>
      <c r="F42" s="1">
        <f>VLOOKUP(B42,BDREGISTROASAMBLEA2025[],8,FALSE)</f>
        <v>0</v>
      </c>
      <c r="G42" s="1">
        <f>VLOOKUP(B42,BDREGISTROMINGA2025[],6,FALSE)</f>
        <v>0</v>
      </c>
      <c r="H42" s="1">
        <v>0</v>
      </c>
      <c r="I42" s="1">
        <v>0</v>
      </c>
      <c r="J42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43" spans="2:10" x14ac:dyDescent="0.3">
      <c r="B43" s="1">
        <f t="shared" si="0"/>
        <v>38</v>
      </c>
      <c r="C43" t="str">
        <f>IFERROR(VLOOKUP(BDOBLIGACIONES[[#This Row],[NROKARDEX]],BDPADRES[],8,FALSE),"Sin registrado")</f>
        <v>MERY AGUADO TORREZ</v>
      </c>
      <c r="D43" s="1">
        <f>IF(VLOOKUP(B43,BDREGISTROAPORTES2025[],5,FALSE)="165",0,"165")</f>
        <v>0</v>
      </c>
      <c r="E43" s="1">
        <f>IF(VLOOKUP(B43,BDREGISTROBTH2025[],5,FALSE)="100",0,"100")</f>
        <v>0</v>
      </c>
      <c r="F43" s="1">
        <f>VLOOKUP(B43,BDREGISTROASAMBLEA2025[],8,FALSE)</f>
        <v>0</v>
      </c>
      <c r="G43" s="1">
        <f>VLOOKUP(B43,BDREGISTROMINGA2025[],6,FALSE)</f>
        <v>0</v>
      </c>
      <c r="H43" s="1">
        <v>0</v>
      </c>
      <c r="I43" s="1">
        <v>0</v>
      </c>
      <c r="J43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44" spans="2:10" x14ac:dyDescent="0.3">
      <c r="B44" s="1">
        <f t="shared" si="0"/>
        <v>39</v>
      </c>
      <c r="C44" t="str">
        <f>IFERROR(VLOOKUP(BDOBLIGACIONES[[#This Row],[NROKARDEX]],BDPADRES[],8,FALSE),"Sin registrado")</f>
        <v>JOVITA GARCIA TANTUTELA</v>
      </c>
      <c r="D44" s="1">
        <f>IF(VLOOKUP(B44,BDREGISTROAPORTES2025[],5,FALSE)="165",0,"165")</f>
        <v>0</v>
      </c>
      <c r="E44" s="1">
        <f>IF(VLOOKUP(B44,BDREGISTROBTH2025[],5,FALSE)="100",0,"100")</f>
        <v>0</v>
      </c>
      <c r="F44" s="1">
        <f>VLOOKUP(B44,BDREGISTROASAMBLEA2025[],8,FALSE)</f>
        <v>0</v>
      </c>
      <c r="G44" s="1">
        <f>VLOOKUP(B44,BDREGISTROMINGA2025[],6,FALSE)</f>
        <v>0</v>
      </c>
      <c r="H44" s="1">
        <v>0</v>
      </c>
      <c r="I44" s="1">
        <v>0</v>
      </c>
      <c r="J44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45" spans="2:10" x14ac:dyDescent="0.3">
      <c r="B45" s="1">
        <f t="shared" si="0"/>
        <v>40</v>
      </c>
      <c r="C45" t="str">
        <f>IFERROR(VLOOKUP(BDOBLIGACIONES[[#This Row],[NROKARDEX]],BDPADRES[],8,FALSE),"Sin registrado")</f>
        <v>MARINA MEJIA BEJARANO</v>
      </c>
      <c r="D45" s="1">
        <f>IF(VLOOKUP(B45,BDREGISTROAPORTES2025[],5,FALSE)="165",0,"165")</f>
        <v>0</v>
      </c>
      <c r="E45" s="1" t="str">
        <f>IF(VLOOKUP(B45,BDREGISTROBTH2025[],5,FALSE)="100",0,"100")</f>
        <v>100</v>
      </c>
      <c r="F45" s="1">
        <f>VLOOKUP(B45,BDREGISTROASAMBLEA2025[],8,FALSE)</f>
        <v>0</v>
      </c>
      <c r="G45" s="1">
        <f>VLOOKUP(B45,BDREGISTROMINGA2025[],6,FALSE)</f>
        <v>0</v>
      </c>
      <c r="H45" s="1">
        <v>0</v>
      </c>
      <c r="I45" s="1">
        <v>0</v>
      </c>
      <c r="J45" s="1">
        <f>BDOBLIGACIONES[[#This Row],[ASAMBLEA]]+BDOBLIGACIONES[[#This Row],[MINGA]]+BDOBLIGACIONES[[#This Row],[DELEGADOS]]+BDOBLIGACIONES[[#This Row],[CURSO]]+BDOBLIGACIONES[[#This Row],[APORTE]]+BDOBLIGACIONES[[#This Row],[BTH]]</f>
        <v>100</v>
      </c>
    </row>
    <row r="46" spans="2:10" x14ac:dyDescent="0.3">
      <c r="B46" s="1">
        <f t="shared" si="0"/>
        <v>41</v>
      </c>
      <c r="C46" t="str">
        <f>IFERROR(VLOOKUP(BDOBLIGACIONES[[#This Row],[NROKARDEX]],BDPADRES[],8,FALSE),"Sin registrado")</f>
        <v>ELSA TITO CABRERA</v>
      </c>
      <c r="D46" s="1">
        <f>IF(VLOOKUP(B46,BDREGISTROAPORTES2025[],5,FALSE)="165",0,"165")</f>
        <v>0</v>
      </c>
      <c r="E46" s="1">
        <f>IF(VLOOKUP(B46,BDREGISTROBTH2025[],5,FALSE)="100",0,"100")</f>
        <v>0</v>
      </c>
      <c r="F46" s="1">
        <f>VLOOKUP(B46,BDREGISTROASAMBLEA2025[],8,FALSE)</f>
        <v>0</v>
      </c>
      <c r="G46" s="1">
        <f>VLOOKUP(B46,BDREGISTROMINGA2025[],6,FALSE)</f>
        <v>0</v>
      </c>
      <c r="H46" s="1">
        <v>0</v>
      </c>
      <c r="I46" s="1">
        <v>0</v>
      </c>
      <c r="J46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47" spans="2:10" x14ac:dyDescent="0.3">
      <c r="B47" s="1">
        <f t="shared" si="0"/>
        <v>42</v>
      </c>
      <c r="C47" t="str">
        <f>IFERROR(VLOOKUP(BDOBLIGACIONES[[#This Row],[NROKARDEX]],BDPADRES[],8,FALSE),"Sin registrado")</f>
        <v>MARINA  SANTOS PADILLA</v>
      </c>
      <c r="D47" s="1">
        <f>IF(VLOOKUP(B47,BDREGISTROAPORTES2025[],5,FALSE)="165",0,"165")</f>
        <v>0</v>
      </c>
      <c r="E47" s="1">
        <f>IF(VLOOKUP(B47,BDREGISTROBTH2025[],5,FALSE)="100",0,"100")</f>
        <v>0</v>
      </c>
      <c r="F47" s="1">
        <f>VLOOKUP(B47,BDREGISTROASAMBLEA2025[],8,FALSE)</f>
        <v>0</v>
      </c>
      <c r="G47" s="1">
        <f>VLOOKUP(B47,BDREGISTROMINGA2025[],6,FALSE)</f>
        <v>0</v>
      </c>
      <c r="H47" s="1">
        <v>0</v>
      </c>
      <c r="I47" s="1">
        <v>0</v>
      </c>
      <c r="J47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48" spans="2:10" x14ac:dyDescent="0.3">
      <c r="B48" s="1">
        <f t="shared" si="0"/>
        <v>43</v>
      </c>
      <c r="C48" t="str">
        <f>IFERROR(VLOOKUP(BDOBLIGACIONES[[#This Row],[NROKARDEX]],BDPADRES[],8,FALSE),"Sin registrado")</f>
        <v>YOLANDA TORREZ ROJAS</v>
      </c>
      <c r="D48" s="1">
        <f>IF(VLOOKUP(B48,BDREGISTROAPORTES2025[],5,FALSE)="165",0,"165")</f>
        <v>0</v>
      </c>
      <c r="E48" s="1">
        <f>IF(VLOOKUP(B48,BDREGISTROBTH2025[],5,FALSE)="100",0,"100")</f>
        <v>0</v>
      </c>
      <c r="F48" s="1">
        <f>VLOOKUP(B48,BDREGISTROASAMBLEA2025[],8,FALSE)</f>
        <v>0</v>
      </c>
      <c r="G48" s="1">
        <f>VLOOKUP(B48,BDREGISTROMINGA2025[],6,FALSE)</f>
        <v>0</v>
      </c>
      <c r="H48" s="1">
        <v>0</v>
      </c>
      <c r="I48" s="1">
        <v>0</v>
      </c>
      <c r="J48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49" spans="2:10" x14ac:dyDescent="0.3">
      <c r="B49" s="1">
        <f t="shared" si="0"/>
        <v>44</v>
      </c>
      <c r="C49" t="str">
        <f>IFERROR(VLOOKUP(BDOBLIGACIONES[[#This Row],[NROKARDEX]],BDPADRES[],8,FALSE),"Sin registrado")</f>
        <v>MARIA DEISY TERRAZAS GUTIERREZ</v>
      </c>
      <c r="D49" s="1">
        <f>IF(VLOOKUP(B49,BDREGISTROAPORTES2025[],5,FALSE)="165",0,"165")</f>
        <v>0</v>
      </c>
      <c r="E49" s="1">
        <f>IF(VLOOKUP(B49,BDREGISTROBTH2025[],5,FALSE)="100",0,"100")</f>
        <v>0</v>
      </c>
      <c r="F49" s="1">
        <f>VLOOKUP(B49,BDREGISTROASAMBLEA2025[],8,FALSE)</f>
        <v>0</v>
      </c>
      <c r="G49" s="1">
        <f>VLOOKUP(B49,BDREGISTROMINGA2025[],6,FALSE)</f>
        <v>0</v>
      </c>
      <c r="H49" s="1">
        <v>0</v>
      </c>
      <c r="I49" s="1">
        <v>0</v>
      </c>
      <c r="J49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50" spans="2:10" x14ac:dyDescent="0.3">
      <c r="B50" s="1">
        <f t="shared" si="0"/>
        <v>45</v>
      </c>
      <c r="C50" t="str">
        <f>IFERROR(VLOOKUP(BDOBLIGACIONES[[#This Row],[NROKARDEX]],BDPADRES[],8,FALSE),"Sin registrado")</f>
        <v>LIDIA ALVAREZ MONTAÑO</v>
      </c>
      <c r="D50" s="1">
        <f>IF(VLOOKUP(B50,BDREGISTROAPORTES2025[],5,FALSE)="165",0,"165")</f>
        <v>0</v>
      </c>
      <c r="E50" s="1">
        <f>IF(VLOOKUP(B50,BDREGISTROBTH2025[],5,FALSE)="100",0,"100")</f>
        <v>0</v>
      </c>
      <c r="F50" s="1">
        <f>VLOOKUP(B50,BDREGISTROASAMBLEA2025[],8,FALSE)</f>
        <v>0</v>
      </c>
      <c r="G50" s="1">
        <f>VLOOKUP(B50,BDREGISTROMINGA2025[],6,FALSE)</f>
        <v>0</v>
      </c>
      <c r="H50" s="1">
        <v>0</v>
      </c>
      <c r="I50" s="1">
        <v>0</v>
      </c>
      <c r="J50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51" spans="2:10" x14ac:dyDescent="0.3">
      <c r="B51" s="1">
        <f t="shared" si="0"/>
        <v>46</v>
      </c>
      <c r="C51" t="str">
        <f>IFERROR(VLOOKUP(BDOBLIGACIONES[[#This Row],[NROKARDEX]],BDPADRES[],8,FALSE),"Sin registrado")</f>
        <v>YESSICA AGUILAR ALVAREZ</v>
      </c>
      <c r="D51" s="1">
        <f>IF(VLOOKUP(B51,BDREGISTROAPORTES2025[],5,FALSE)="165",0,"165")</f>
        <v>0</v>
      </c>
      <c r="E51" s="1">
        <f>IF(VLOOKUP(B51,BDREGISTROBTH2025[],5,FALSE)="100",0,"100")</f>
        <v>0</v>
      </c>
      <c r="F51" s="1">
        <f>VLOOKUP(B51,BDREGISTROASAMBLEA2025[],8,FALSE)</f>
        <v>0</v>
      </c>
      <c r="G51" s="1">
        <f>VLOOKUP(B51,BDREGISTROMINGA2025[],6,FALSE)</f>
        <v>0</v>
      </c>
      <c r="H51" s="1">
        <v>0</v>
      </c>
      <c r="I51" s="1">
        <v>0</v>
      </c>
      <c r="J51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52" spans="2:10" x14ac:dyDescent="0.3">
      <c r="B52" s="1">
        <f t="shared" si="0"/>
        <v>47</v>
      </c>
      <c r="C52" t="str">
        <f>IFERROR(VLOOKUP(BDOBLIGACIONES[[#This Row],[NROKARDEX]],BDPADRES[],8,FALSE),"Sin registrado")</f>
        <v>EUNICE CARTAGENA RUIZ</v>
      </c>
      <c r="D52" s="1">
        <f>IF(VLOOKUP(B52,BDREGISTROAPORTES2025[],5,FALSE)="165",0,"165")</f>
        <v>0</v>
      </c>
      <c r="E52" s="1">
        <f>IF(VLOOKUP(B52,BDREGISTROBTH2025[],5,FALSE)="100",0,"100")</f>
        <v>0</v>
      </c>
      <c r="F52" s="1">
        <f>VLOOKUP(B52,BDREGISTROASAMBLEA2025[],8,FALSE)</f>
        <v>0</v>
      </c>
      <c r="G52" s="1">
        <f>VLOOKUP(B52,BDREGISTROMINGA2025[],6,FALSE)</f>
        <v>0</v>
      </c>
      <c r="H52" s="1">
        <v>0</v>
      </c>
      <c r="I52" s="1">
        <v>0</v>
      </c>
      <c r="J52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53" spans="2:10" x14ac:dyDescent="0.3">
      <c r="B53" s="1">
        <f t="shared" si="0"/>
        <v>48</v>
      </c>
      <c r="C53" t="str">
        <f>IFERROR(VLOOKUP(BDOBLIGACIONES[[#This Row],[NROKARDEX]],BDPADRES[],8,FALSE),"Sin registrado")</f>
        <v>SHEILA VANESSA VARGAS TITO</v>
      </c>
      <c r="D53" s="1">
        <f>IF(VLOOKUP(B53,BDREGISTROAPORTES2025[],5,FALSE)="165",0,"165")</f>
        <v>0</v>
      </c>
      <c r="E53" s="1">
        <f>IF(VLOOKUP(B53,BDREGISTROBTH2025[],5,FALSE)="100",0,"100")</f>
        <v>0</v>
      </c>
      <c r="F53" s="1">
        <f>VLOOKUP(B53,BDREGISTROASAMBLEA2025[],8,FALSE)</f>
        <v>0</v>
      </c>
      <c r="G53" s="1">
        <f>VLOOKUP(B53,BDREGISTROMINGA2025[],6,FALSE)</f>
        <v>0</v>
      </c>
      <c r="H53" s="1">
        <v>0</v>
      </c>
      <c r="I53" s="1">
        <v>0</v>
      </c>
      <c r="J53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54" spans="2:10" x14ac:dyDescent="0.3">
      <c r="B54" s="1">
        <f t="shared" si="0"/>
        <v>49</v>
      </c>
      <c r="C54" t="str">
        <f>IFERROR(VLOOKUP(BDOBLIGACIONES[[#This Row],[NROKARDEX]],BDPADRES[],8,FALSE),"Sin registrado")</f>
        <v>REINA MAMANI IPORRE</v>
      </c>
      <c r="D54" s="1">
        <f>IF(VLOOKUP(B54,BDREGISTROAPORTES2025[],5,FALSE)="165",0,"165")</f>
        <v>0</v>
      </c>
      <c r="E54" s="1">
        <f>IF(VLOOKUP(B54,BDREGISTROBTH2025[],5,FALSE)="100",0,"100")</f>
        <v>0</v>
      </c>
      <c r="F54" s="1">
        <f>VLOOKUP(B54,BDREGISTROASAMBLEA2025[],8,FALSE)</f>
        <v>0</v>
      </c>
      <c r="G54" s="1">
        <f>VLOOKUP(B54,BDREGISTROMINGA2025[],6,FALSE)</f>
        <v>0</v>
      </c>
      <c r="H54" s="1">
        <v>0</v>
      </c>
      <c r="I54" s="1">
        <v>0</v>
      </c>
      <c r="J54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55" spans="2:10" x14ac:dyDescent="0.3">
      <c r="B55" s="1">
        <f t="shared" si="0"/>
        <v>50</v>
      </c>
      <c r="C55" t="str">
        <f>IFERROR(VLOOKUP(BDOBLIGACIONES[[#This Row],[NROKARDEX]],BDPADRES[],8,FALSE),"Sin registrado")</f>
        <v>MARLENE TERESA GOMEZ CHOQUE</v>
      </c>
      <c r="D55" s="1">
        <f>IF(VLOOKUP(B55,BDREGISTROAPORTES2025[],5,FALSE)="165",0,"165")</f>
        <v>0</v>
      </c>
      <c r="E55" s="1">
        <f>IF(VLOOKUP(B55,BDREGISTROBTH2025[],5,FALSE)="100",0,"100")</f>
        <v>0</v>
      </c>
      <c r="F55" s="1">
        <f>VLOOKUP(B55,BDREGISTROASAMBLEA2025[],8,FALSE)</f>
        <v>0</v>
      </c>
      <c r="G55" s="1">
        <f>VLOOKUP(B55,BDREGISTROMINGA2025[],6,FALSE)</f>
        <v>0</v>
      </c>
      <c r="H55" s="1">
        <v>0</v>
      </c>
      <c r="I55" s="1">
        <v>0</v>
      </c>
      <c r="J55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56" spans="2:10" x14ac:dyDescent="0.3">
      <c r="B56" s="1">
        <f t="shared" si="0"/>
        <v>51</v>
      </c>
      <c r="C56" t="str">
        <f>IFERROR(VLOOKUP(BDOBLIGACIONES[[#This Row],[NROKARDEX]],BDPADRES[],8,FALSE),"Sin registrado")</f>
        <v>ELVA LLENES SALAZAR</v>
      </c>
      <c r="D56" s="1">
        <f>IF(VLOOKUP(B56,BDREGISTROAPORTES2025[],5,FALSE)="165",0,"165")</f>
        <v>0</v>
      </c>
      <c r="E56" s="1">
        <f>IF(VLOOKUP(B56,BDREGISTROBTH2025[],5,FALSE)="100",0,"100")</f>
        <v>0</v>
      </c>
      <c r="F56" s="1">
        <f>VLOOKUP(B56,BDREGISTROASAMBLEA2025[],8,FALSE)</f>
        <v>0</v>
      </c>
      <c r="G56" s="1">
        <f>VLOOKUP(B56,BDREGISTROMINGA2025[],6,FALSE)</f>
        <v>0</v>
      </c>
      <c r="H56" s="1">
        <v>0</v>
      </c>
      <c r="I56" s="1">
        <v>0</v>
      </c>
      <c r="J56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57" spans="2:10" x14ac:dyDescent="0.3">
      <c r="B57" s="1">
        <f t="shared" si="0"/>
        <v>52</v>
      </c>
      <c r="C57" t="str">
        <f>IFERROR(VLOOKUP(BDOBLIGACIONES[[#This Row],[NROKARDEX]],BDPADRES[],8,FALSE),"Sin registrado")</f>
        <v>MARTHA URQUIZU SALINAS</v>
      </c>
      <c r="D57" s="1">
        <f>IF(VLOOKUP(B57,BDREGISTROAPORTES2025[],5,FALSE)="165",0,"165")</f>
        <v>0</v>
      </c>
      <c r="E57" s="1">
        <f>IF(VLOOKUP(B57,BDREGISTROBTH2025[],5,FALSE)="100",0,"100")</f>
        <v>0</v>
      </c>
      <c r="F57" s="1">
        <f>VLOOKUP(B57,BDREGISTROASAMBLEA2025[],8,FALSE)</f>
        <v>0</v>
      </c>
      <c r="G57" s="1">
        <f>VLOOKUP(B57,BDREGISTROMINGA2025[],6,FALSE)</f>
        <v>0</v>
      </c>
      <c r="H57" s="1">
        <v>0</v>
      </c>
      <c r="I57" s="1">
        <v>0</v>
      </c>
      <c r="J57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58" spans="2:10" x14ac:dyDescent="0.3">
      <c r="B58" s="1">
        <f t="shared" si="0"/>
        <v>53</v>
      </c>
      <c r="C58" t="str">
        <f>IFERROR(VLOOKUP(BDOBLIGACIONES[[#This Row],[NROKARDEX]],BDPADRES[],8,FALSE),"Sin registrado")</f>
        <v>MARGOT ZEGARRA NUÑEZ</v>
      </c>
      <c r="D58" s="1">
        <f>IF(VLOOKUP(B58,BDREGISTROAPORTES2025[],5,FALSE)="165",0,"165")</f>
        <v>0</v>
      </c>
      <c r="E58" s="1">
        <f>IF(VLOOKUP(B58,BDREGISTROBTH2025[],5,FALSE)="100",0,"100")</f>
        <v>0</v>
      </c>
      <c r="F58" s="1">
        <f>VLOOKUP(B58,BDREGISTROASAMBLEA2025[],8,FALSE)</f>
        <v>0</v>
      </c>
      <c r="G58" s="1">
        <f>VLOOKUP(B58,BDREGISTROMINGA2025[],6,FALSE)</f>
        <v>0</v>
      </c>
      <c r="H58" s="1">
        <v>0</v>
      </c>
      <c r="I58" s="1">
        <v>0</v>
      </c>
      <c r="J58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59" spans="2:10" x14ac:dyDescent="0.3">
      <c r="B59" s="1">
        <f t="shared" si="0"/>
        <v>54</v>
      </c>
      <c r="C59" t="str">
        <f>IFERROR(VLOOKUP(BDOBLIGACIONES[[#This Row],[NROKARDEX]],BDPADRES[],8,FALSE),"Sin registrado")</f>
        <v>CECILIA CASTRO PINTO</v>
      </c>
      <c r="D59" s="1">
        <f>IF(VLOOKUP(B59,BDREGISTROAPORTES2025[],5,FALSE)="165",0,"165")</f>
        <v>0</v>
      </c>
      <c r="E59" s="1">
        <f>IF(VLOOKUP(B59,BDREGISTROBTH2025[],5,FALSE)="100",0,"100")</f>
        <v>0</v>
      </c>
      <c r="F59" s="1">
        <f>VLOOKUP(B59,BDREGISTROASAMBLEA2025[],8,FALSE)</f>
        <v>0</v>
      </c>
      <c r="G59" s="1">
        <f>VLOOKUP(B59,BDREGISTROMINGA2025[],6,FALSE)</f>
        <v>0</v>
      </c>
      <c r="H59" s="1">
        <v>0</v>
      </c>
      <c r="I59" s="1">
        <v>0</v>
      </c>
      <c r="J59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60" spans="2:10" x14ac:dyDescent="0.3">
      <c r="B60" s="1">
        <f t="shared" si="0"/>
        <v>55</v>
      </c>
      <c r="C60" t="str">
        <f>IFERROR(VLOOKUP(BDOBLIGACIONES[[#This Row],[NROKARDEX]],BDPADRES[],8,FALSE),"Sin registrado")</f>
        <v>ROSSE MARY BALDELOMAR VEIZAGA</v>
      </c>
      <c r="D60" s="1">
        <f>IF(VLOOKUP(B60,BDREGISTROAPORTES2025[],5,FALSE)="165",0,"165")</f>
        <v>0</v>
      </c>
      <c r="E60" s="1">
        <f>IF(VLOOKUP(B60,BDREGISTROBTH2025[],5,FALSE)="100",0,"100")</f>
        <v>0</v>
      </c>
      <c r="F60" s="1">
        <f>VLOOKUP(B60,BDREGISTROASAMBLEA2025[],8,FALSE)</f>
        <v>0</v>
      </c>
      <c r="G60" s="1">
        <f>VLOOKUP(B60,BDREGISTROMINGA2025[],6,FALSE)</f>
        <v>0</v>
      </c>
      <c r="H60" s="1">
        <v>0</v>
      </c>
      <c r="I60" s="1">
        <v>0</v>
      </c>
      <c r="J60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61" spans="2:10" x14ac:dyDescent="0.3">
      <c r="B61" s="1">
        <f t="shared" si="0"/>
        <v>56</v>
      </c>
      <c r="C61" t="str">
        <f>IFERROR(VLOOKUP(BDOBLIGACIONES[[#This Row],[NROKARDEX]],BDPADRES[],8,FALSE),"Sin registrado")</f>
        <v>CLAUDINA SANTOS</v>
      </c>
      <c r="D61" s="1">
        <f>IF(VLOOKUP(B61,BDREGISTROAPORTES2025[],5,FALSE)="165",0,"165")</f>
        <v>0</v>
      </c>
      <c r="E61" s="1">
        <f>IF(VLOOKUP(B61,BDREGISTROBTH2025[],5,FALSE)="100",0,"100")</f>
        <v>0</v>
      </c>
      <c r="F61" s="1">
        <f>VLOOKUP(B61,BDREGISTROASAMBLEA2025[],8,FALSE)</f>
        <v>0</v>
      </c>
      <c r="G61" s="1">
        <f>VLOOKUP(B61,BDREGISTROMINGA2025[],6,FALSE)</f>
        <v>0</v>
      </c>
      <c r="H61" s="1">
        <v>0</v>
      </c>
      <c r="I61" s="1">
        <v>0</v>
      </c>
      <c r="J61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62" spans="2:10" x14ac:dyDescent="0.3">
      <c r="B62" s="1">
        <f t="shared" si="0"/>
        <v>57</v>
      </c>
      <c r="C62" s="8" t="str">
        <f>IFERROR(VLOOKUP(BDOBLIGACIONES[[#This Row],[NROKARDEX]],BDPADRES[],8,FALSE),"Sin registrado")</f>
        <v>ALISON CABRERA CRUZ</v>
      </c>
      <c r="D62" s="1" t="str">
        <f>IF(VLOOKUP(B62,BDREGISTROAPORTES2025[],5,FALSE)="165",0,"165")</f>
        <v>165</v>
      </c>
      <c r="E62" s="1" t="str">
        <f>IF(VLOOKUP(B62,BDREGISTROBTH2025[],5,FALSE)="100",0,"100")</f>
        <v>100</v>
      </c>
      <c r="F62" s="1">
        <f>VLOOKUP(B62,BDREGISTROASAMBLEA2025[],8,FALSE)</f>
        <v>0</v>
      </c>
      <c r="G62" s="1">
        <f>VLOOKUP(B62,BDREGISTROMINGA2025[],6,FALSE)</f>
        <v>0</v>
      </c>
      <c r="H62" s="1">
        <v>0</v>
      </c>
      <c r="I62" s="1">
        <v>0</v>
      </c>
      <c r="J62" s="1">
        <f>BDOBLIGACIONES[[#This Row],[ASAMBLEA]]+BDOBLIGACIONES[[#This Row],[MINGA]]+BDOBLIGACIONES[[#This Row],[DELEGADOS]]+BDOBLIGACIONES[[#This Row],[CURSO]]+BDOBLIGACIONES[[#This Row],[APORTE]]+BDOBLIGACIONES[[#This Row],[BTH]]</f>
        <v>265</v>
      </c>
    </row>
    <row r="63" spans="2:10" x14ac:dyDescent="0.3">
      <c r="B63" s="1">
        <f t="shared" si="0"/>
        <v>58</v>
      </c>
      <c r="C63" t="str">
        <f>IFERROR(VLOOKUP(BDOBLIGACIONES[[#This Row],[NROKARDEX]],BDPADRES[],8,FALSE),"Sin registrado")</f>
        <v>ANA MARIA ROMERO AVILA</v>
      </c>
      <c r="D63" s="1">
        <f>IF(VLOOKUP(B63,BDREGISTROAPORTES2025[],5,FALSE)="165",0,"165")</f>
        <v>0</v>
      </c>
      <c r="E63" s="1">
        <f>IF(VLOOKUP(B63,BDREGISTROBTH2025[],5,FALSE)="100",0,"100")</f>
        <v>0</v>
      </c>
      <c r="F63" s="1">
        <f>VLOOKUP(B63,BDREGISTROASAMBLEA2025[],8,FALSE)</f>
        <v>0</v>
      </c>
      <c r="G63" s="1">
        <f>VLOOKUP(B63,BDREGISTROMINGA2025[],6,FALSE)</f>
        <v>0</v>
      </c>
      <c r="H63" s="1">
        <v>0</v>
      </c>
      <c r="I63" s="1">
        <v>0</v>
      </c>
      <c r="J63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64" spans="2:10" x14ac:dyDescent="0.3">
      <c r="B64" s="1">
        <f t="shared" si="0"/>
        <v>59</v>
      </c>
      <c r="C64" t="str">
        <f>IFERROR(VLOOKUP(BDOBLIGACIONES[[#This Row],[NROKARDEX]],BDPADRES[],8,FALSE),"Sin registrado")</f>
        <v>MARGARITA AVARIPA CRUZ</v>
      </c>
      <c r="D64" s="1">
        <f>IF(VLOOKUP(B64,BDREGISTROAPORTES2025[],5,FALSE)="165",0,"165")</f>
        <v>0</v>
      </c>
      <c r="E64" s="1">
        <f>IF(VLOOKUP(B64,BDREGISTROBTH2025[],5,FALSE)="100",0,"100")</f>
        <v>0</v>
      </c>
      <c r="F64" s="1">
        <f>VLOOKUP(B64,BDREGISTROASAMBLEA2025[],8,FALSE)</f>
        <v>0</v>
      </c>
      <c r="G64" s="1">
        <f>VLOOKUP(B64,BDREGISTROMINGA2025[],6,FALSE)</f>
        <v>0</v>
      </c>
      <c r="H64" s="1">
        <v>0</v>
      </c>
      <c r="I64" s="1">
        <v>0</v>
      </c>
      <c r="J64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65" spans="2:10" x14ac:dyDescent="0.3">
      <c r="B65" s="1">
        <f t="shared" si="0"/>
        <v>60</v>
      </c>
      <c r="C65" t="str">
        <f>IFERROR(VLOOKUP(BDOBLIGACIONES[[#This Row],[NROKARDEX]],BDPADRES[],8,FALSE),"Sin registrado")</f>
        <v>ANAHI LIJERON RAMIREZ</v>
      </c>
      <c r="D65" s="1">
        <f>IF(VLOOKUP(B65,BDREGISTROAPORTES2025[],5,FALSE)="165",0,"165")</f>
        <v>0</v>
      </c>
      <c r="E65" s="1">
        <f>IF(VLOOKUP(B65,BDREGISTROBTH2025[],5,FALSE)="100",0,"100")</f>
        <v>0</v>
      </c>
      <c r="F65" s="1">
        <f>VLOOKUP(B65,BDREGISTROASAMBLEA2025[],8,FALSE)</f>
        <v>0</v>
      </c>
      <c r="G65" s="1">
        <f>VLOOKUP(B65,BDREGISTROMINGA2025[],6,FALSE)</f>
        <v>0</v>
      </c>
      <c r="H65" s="1">
        <v>0</v>
      </c>
      <c r="I65" s="1">
        <v>0</v>
      </c>
      <c r="J65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66" spans="2:10" x14ac:dyDescent="0.3">
      <c r="B66" s="1">
        <f t="shared" si="0"/>
        <v>61</v>
      </c>
      <c r="C66" t="str">
        <f>IFERROR(VLOOKUP(BDOBLIGACIONES[[#This Row],[NROKARDEX]],BDPADRES[],8,FALSE),"Sin registrado")</f>
        <v>NILDA HUAYHUA ARENAS</v>
      </c>
      <c r="D66" s="1">
        <f>IF(VLOOKUP(B66,BDREGISTROAPORTES2025[],5,FALSE)="165",0,"165")</f>
        <v>0</v>
      </c>
      <c r="E66" s="1">
        <f>IF(VLOOKUP(B66,BDREGISTROBTH2025[],5,FALSE)="100",0,"100")</f>
        <v>0</v>
      </c>
      <c r="F66" s="1">
        <f>VLOOKUP(B66,BDREGISTROASAMBLEA2025[],8,FALSE)</f>
        <v>0</v>
      </c>
      <c r="G66" s="1">
        <f>VLOOKUP(B66,BDREGISTROMINGA2025[],6,FALSE)</f>
        <v>0</v>
      </c>
      <c r="H66" s="1">
        <v>0</v>
      </c>
      <c r="I66" s="1">
        <v>0</v>
      </c>
      <c r="J66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67" spans="2:10" x14ac:dyDescent="0.3">
      <c r="B67" s="1">
        <f t="shared" si="0"/>
        <v>62</v>
      </c>
      <c r="C67" t="str">
        <f>IFERROR(VLOOKUP(BDOBLIGACIONES[[#This Row],[NROKARDEX]],BDPADRES[],8,FALSE),"Sin registrado")</f>
        <v>EDITH  ESCOBAR CESPEDES</v>
      </c>
      <c r="D67" s="1">
        <f>IF(VLOOKUP(B67,BDREGISTROAPORTES2025[],5,FALSE)="165",0,"165")</f>
        <v>0</v>
      </c>
      <c r="E67" s="1">
        <f>IF(VLOOKUP(B67,BDREGISTROBTH2025[],5,FALSE)="100",0,"100")</f>
        <v>0</v>
      </c>
      <c r="F67" s="1">
        <f>VLOOKUP(B67,BDREGISTROASAMBLEA2025[],8,FALSE)</f>
        <v>0</v>
      </c>
      <c r="G67" s="1">
        <f>VLOOKUP(B67,BDREGISTROMINGA2025[],6,FALSE)</f>
        <v>0</v>
      </c>
      <c r="H67" s="1">
        <v>0</v>
      </c>
      <c r="I67" s="1">
        <v>0</v>
      </c>
      <c r="J67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68" spans="2:10" x14ac:dyDescent="0.3">
      <c r="B68" s="1">
        <f t="shared" si="0"/>
        <v>63</v>
      </c>
      <c r="C68" t="str">
        <f>IFERROR(VLOOKUP(BDOBLIGACIONES[[#This Row],[NROKARDEX]],BDPADRES[],8,FALSE),"Sin registrado")</f>
        <v>SIMONA ARIAS RENGIPO</v>
      </c>
      <c r="D68" s="1">
        <f>IF(VLOOKUP(B68,BDREGISTROAPORTES2025[],5,FALSE)="165",0,"165")</f>
        <v>0</v>
      </c>
      <c r="E68" s="1">
        <f>IF(VLOOKUP(B68,BDREGISTROBTH2025[],5,FALSE)="100",0,"100")</f>
        <v>0</v>
      </c>
      <c r="F68" s="1">
        <f>VLOOKUP(B68,BDREGISTROASAMBLEA2025[],8,FALSE)</f>
        <v>0</v>
      </c>
      <c r="G68" s="1">
        <f>VLOOKUP(B68,BDREGISTROMINGA2025[],6,FALSE)</f>
        <v>0</v>
      </c>
      <c r="H68" s="1">
        <v>0</v>
      </c>
      <c r="I68" s="1">
        <v>0</v>
      </c>
      <c r="J68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69" spans="2:10" x14ac:dyDescent="0.3">
      <c r="B69" s="1">
        <f t="shared" si="0"/>
        <v>64</v>
      </c>
      <c r="C69" t="str">
        <f>IFERROR(VLOOKUP(BDOBLIGACIONES[[#This Row],[NROKARDEX]],BDPADRES[],8,FALSE),"Sin registrado")</f>
        <v>JUANA MARTINEZ FERNANDEZ</v>
      </c>
      <c r="D69" s="1">
        <f>IF(VLOOKUP(B69,BDREGISTROAPORTES2025[],5,FALSE)="165",0,"165")</f>
        <v>0</v>
      </c>
      <c r="E69" s="1">
        <f>IF(VLOOKUP(B69,BDREGISTROBTH2025[],5,FALSE)="100",0,"100")</f>
        <v>0</v>
      </c>
      <c r="F69" s="1">
        <f>VLOOKUP(B69,BDREGISTROASAMBLEA2025[],8,FALSE)</f>
        <v>0</v>
      </c>
      <c r="G69" s="1">
        <f>VLOOKUP(B69,BDREGISTROMINGA2025[],6,FALSE)</f>
        <v>0</v>
      </c>
      <c r="H69" s="1">
        <v>0</v>
      </c>
      <c r="I69" s="1">
        <v>0</v>
      </c>
      <c r="J69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70" spans="2:10" x14ac:dyDescent="0.3">
      <c r="B70" s="1">
        <f t="shared" si="0"/>
        <v>65</v>
      </c>
      <c r="C70" t="str">
        <f>IFERROR(VLOOKUP(BDOBLIGACIONES[[#This Row],[NROKARDEX]],BDPADRES[],8,FALSE),"Sin registrado")</f>
        <v>MARGARITA DAZA VEDIA</v>
      </c>
      <c r="D70" s="1">
        <f>IF(VLOOKUP(B70,BDREGISTROAPORTES2025[],5,FALSE)="165",0,"165")</f>
        <v>0</v>
      </c>
      <c r="E70" s="1">
        <f>IF(VLOOKUP(B70,BDREGISTROBTH2025[],5,FALSE)="100",0,"100")</f>
        <v>0</v>
      </c>
      <c r="F70" s="1">
        <f>VLOOKUP(B70,BDREGISTROASAMBLEA2025[],8,FALSE)</f>
        <v>0</v>
      </c>
      <c r="G70" s="1">
        <f>VLOOKUP(B70,BDREGISTROMINGA2025[],6,FALSE)</f>
        <v>0</v>
      </c>
      <c r="H70" s="1">
        <v>0</v>
      </c>
      <c r="I70" s="1">
        <v>0</v>
      </c>
      <c r="J70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71" spans="2:10" x14ac:dyDescent="0.3">
      <c r="B71" s="1">
        <f t="shared" si="0"/>
        <v>66</v>
      </c>
      <c r="C71" t="str">
        <f>IFERROR(VLOOKUP(BDOBLIGACIONES[[#This Row],[NROKARDEX]],BDPADRES[],8,FALSE),"Sin registrado")</f>
        <v>JAHEL  ACHO RODRIGUEZ</v>
      </c>
      <c r="D71" s="1">
        <f>IF(VLOOKUP(B71,BDREGISTROAPORTES2025[],5,FALSE)="165",0,"165")</f>
        <v>0</v>
      </c>
      <c r="E71" s="1">
        <f>IF(VLOOKUP(B71,BDREGISTROBTH2025[],5,FALSE)="100",0,"100")</f>
        <v>0</v>
      </c>
      <c r="F71" s="1">
        <f>VLOOKUP(B71,BDREGISTROASAMBLEA2025[],8,FALSE)</f>
        <v>0</v>
      </c>
      <c r="G71" s="1">
        <f>VLOOKUP(B71,BDREGISTROMINGA2025[],6,FALSE)</f>
        <v>0</v>
      </c>
      <c r="H71" s="1">
        <v>0</v>
      </c>
      <c r="I71" s="1">
        <v>0</v>
      </c>
      <c r="J71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72" spans="2:10" x14ac:dyDescent="0.3">
      <c r="B72" s="1">
        <f t="shared" si="0"/>
        <v>67</v>
      </c>
      <c r="C72" t="str">
        <f>IFERROR(VLOOKUP(BDOBLIGACIONES[[#This Row],[NROKARDEX]],BDPADRES[],8,FALSE),"Sin registrado")</f>
        <v>SIN NOMBRE PACO</v>
      </c>
      <c r="D72" s="1">
        <f>IF(VLOOKUP(B72,BDREGISTROAPORTES2025[],5,FALSE)="165",0,"165")</f>
        <v>0</v>
      </c>
      <c r="E72" s="1">
        <f>IF(VLOOKUP(B72,BDREGISTROBTH2025[],5,FALSE)="100",0,"100")</f>
        <v>0</v>
      </c>
      <c r="F72" s="1">
        <f>VLOOKUP(B72,BDREGISTROASAMBLEA2025[],8,FALSE)</f>
        <v>0</v>
      </c>
      <c r="G72" s="1">
        <f>VLOOKUP(B72,BDREGISTROMINGA2025[],6,FALSE)</f>
        <v>0</v>
      </c>
      <c r="H72" s="1">
        <v>0</v>
      </c>
      <c r="I72" s="1">
        <v>0</v>
      </c>
      <c r="J72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73" spans="2:10" x14ac:dyDescent="0.3">
      <c r="B73" s="1">
        <f t="shared" ref="B73:B136" si="1">ROW(A68)</f>
        <v>68</v>
      </c>
      <c r="C73" t="str">
        <f>IFERROR(VLOOKUP(BDOBLIGACIONES[[#This Row],[NROKARDEX]],BDPADRES[],8,FALSE),"Sin registrado")</f>
        <v>LISBETH ALCOBA CESPEDES</v>
      </c>
      <c r="D73" s="1">
        <f>IF(VLOOKUP(B73,BDREGISTROAPORTES2025[],5,FALSE)="165",0,"165")</f>
        <v>0</v>
      </c>
      <c r="E73" s="1">
        <f>IF(VLOOKUP(B73,BDREGISTROBTH2025[],5,FALSE)="100",0,"100")</f>
        <v>0</v>
      </c>
      <c r="F73" s="1">
        <f>VLOOKUP(B73,BDREGISTROASAMBLEA2025[],8,FALSE)</f>
        <v>0</v>
      </c>
      <c r="G73" s="1">
        <f>VLOOKUP(B73,BDREGISTROMINGA2025[],6,FALSE)</f>
        <v>0</v>
      </c>
      <c r="H73" s="1">
        <v>0</v>
      </c>
      <c r="I73" s="1">
        <v>0</v>
      </c>
      <c r="J73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74" spans="2:10" x14ac:dyDescent="0.3">
      <c r="B74" s="1">
        <f t="shared" si="1"/>
        <v>69</v>
      </c>
      <c r="C74" t="str">
        <f>IFERROR(VLOOKUP(BDOBLIGACIONES[[#This Row],[NROKARDEX]],BDPADRES[],8,FALSE),"Sin registrado")</f>
        <v>MARIA MERCEDES PUMACAYO PERALTA</v>
      </c>
      <c r="D74" s="1">
        <f>IF(VLOOKUP(B74,BDREGISTROAPORTES2025[],5,FALSE)="165",0,"165")</f>
        <v>0</v>
      </c>
      <c r="E74" s="1">
        <f>IF(VLOOKUP(B74,BDREGISTROBTH2025[],5,FALSE)="100",0,"100")</f>
        <v>0</v>
      </c>
      <c r="F74" s="1">
        <f>VLOOKUP(B74,BDREGISTROASAMBLEA2025[],8,FALSE)</f>
        <v>0</v>
      </c>
      <c r="G74" s="1">
        <f>VLOOKUP(B74,BDREGISTROMINGA2025[],6,FALSE)</f>
        <v>0</v>
      </c>
      <c r="H74" s="1">
        <v>0</v>
      </c>
      <c r="I74" s="1">
        <v>0</v>
      </c>
      <c r="J74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75" spans="2:10" x14ac:dyDescent="0.3">
      <c r="B75" s="1">
        <f t="shared" si="1"/>
        <v>70</v>
      </c>
      <c r="C75" t="str">
        <f>IFERROR(VLOOKUP(BDOBLIGACIONES[[#This Row],[NROKARDEX]],BDPADRES[],8,FALSE),"Sin registrado")</f>
        <v>CRECENCIA AVALOS GARNICA</v>
      </c>
      <c r="D75" s="1">
        <f>IF(VLOOKUP(B75,BDREGISTROAPORTES2025[],5,FALSE)="165",0,"165")</f>
        <v>0</v>
      </c>
      <c r="E75" s="1">
        <f>IF(VLOOKUP(B75,BDREGISTROBTH2025[],5,FALSE)="100",0,"100")</f>
        <v>0</v>
      </c>
      <c r="F75" s="1">
        <f>VLOOKUP(B75,BDREGISTROASAMBLEA2025[],8,FALSE)</f>
        <v>0</v>
      </c>
      <c r="G75" s="1">
        <f>VLOOKUP(B75,BDREGISTROMINGA2025[],6,FALSE)</f>
        <v>0</v>
      </c>
      <c r="H75" s="1">
        <v>0</v>
      </c>
      <c r="I75" s="1">
        <v>0</v>
      </c>
      <c r="J75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76" spans="2:10" x14ac:dyDescent="0.3">
      <c r="B76" s="1">
        <f t="shared" si="1"/>
        <v>71</v>
      </c>
      <c r="C76" t="str">
        <f>IFERROR(VLOOKUP(BDOBLIGACIONES[[#This Row],[NROKARDEX]],BDPADRES[],8,FALSE),"Sin registrado")</f>
        <v>TEOLINDA HUAILLA LOPEZ</v>
      </c>
      <c r="D76" s="1">
        <f>IF(VLOOKUP(B76,BDREGISTROAPORTES2025[],5,FALSE)="165",0,"165")</f>
        <v>0</v>
      </c>
      <c r="E76" s="1">
        <f>IF(VLOOKUP(B76,BDREGISTROBTH2025[],5,FALSE)="100",0,"100")</f>
        <v>0</v>
      </c>
      <c r="F76" s="1">
        <f>VLOOKUP(B76,BDREGISTROASAMBLEA2025[],8,FALSE)</f>
        <v>0</v>
      </c>
      <c r="G76" s="1">
        <f>VLOOKUP(B76,BDREGISTROMINGA2025[],6,FALSE)</f>
        <v>0</v>
      </c>
      <c r="H76" s="1">
        <v>0</v>
      </c>
      <c r="I76" s="1">
        <v>0</v>
      </c>
      <c r="J76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77" spans="2:10" x14ac:dyDescent="0.3">
      <c r="B77" s="1">
        <f t="shared" si="1"/>
        <v>72</v>
      </c>
      <c r="C77" t="str">
        <f>IFERROR(VLOOKUP(BDOBLIGACIONES[[#This Row],[NROKARDEX]],BDPADRES[],8,FALSE),"Sin registrado")</f>
        <v xml:space="preserve">SIN NOMBRE  PUMACAYO  </v>
      </c>
      <c r="D77" s="1" t="str">
        <f>IF(VLOOKUP(B77,BDREGISTROAPORTES2025[],5,FALSE)="165",0,"165")</f>
        <v>165</v>
      </c>
      <c r="E77" s="1" t="str">
        <f>IF(VLOOKUP(B77,BDREGISTROBTH2025[],5,FALSE)="100",0,"100")</f>
        <v>100</v>
      </c>
      <c r="F77" s="1">
        <f>VLOOKUP(B77,BDREGISTROASAMBLEA2025[],8,FALSE)</f>
        <v>0</v>
      </c>
      <c r="G77" s="1">
        <f>VLOOKUP(B77,BDREGISTROMINGA2025[],6,FALSE)</f>
        <v>0</v>
      </c>
      <c r="H77" s="1">
        <v>0</v>
      </c>
      <c r="I77" s="1">
        <v>0</v>
      </c>
      <c r="J77" s="1">
        <f>BDOBLIGACIONES[[#This Row],[ASAMBLEA]]+BDOBLIGACIONES[[#This Row],[MINGA]]+BDOBLIGACIONES[[#This Row],[DELEGADOS]]+BDOBLIGACIONES[[#This Row],[CURSO]]+BDOBLIGACIONES[[#This Row],[APORTE]]+BDOBLIGACIONES[[#This Row],[BTH]]</f>
        <v>265</v>
      </c>
    </row>
    <row r="78" spans="2:10" x14ac:dyDescent="0.3">
      <c r="B78" s="1">
        <f t="shared" si="1"/>
        <v>73</v>
      </c>
      <c r="C78" t="str">
        <f>IFERROR(VLOOKUP(BDOBLIGACIONES[[#This Row],[NROKARDEX]],BDPADRES[],8,FALSE),"Sin registrado")</f>
        <v>SIDELA RAMIREZ FLORES</v>
      </c>
      <c r="D78" s="1">
        <f>IF(VLOOKUP(B78,BDREGISTROAPORTES2025[],5,FALSE)="165",0,"165")</f>
        <v>0</v>
      </c>
      <c r="E78" s="1">
        <f>IF(VLOOKUP(B78,BDREGISTROBTH2025[],5,FALSE)="100",0,"100")</f>
        <v>0</v>
      </c>
      <c r="F78" s="1">
        <f>VLOOKUP(B78,BDREGISTROASAMBLEA2025[],8,FALSE)</f>
        <v>0</v>
      </c>
      <c r="G78" s="1">
        <f>VLOOKUP(B78,BDREGISTROMINGA2025[],6,FALSE)</f>
        <v>0</v>
      </c>
      <c r="H78" s="1">
        <v>0</v>
      </c>
      <c r="I78" s="1">
        <v>0</v>
      </c>
      <c r="J78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79" spans="2:10" x14ac:dyDescent="0.3">
      <c r="B79" s="1">
        <f t="shared" si="1"/>
        <v>74</v>
      </c>
      <c r="C79" t="str">
        <f>IFERROR(VLOOKUP(BDOBLIGACIONES[[#This Row],[NROKARDEX]],BDPADRES[],8,FALSE),"Sin registrado")</f>
        <v>ELIZABETH RODRIGUEZ RODRIGUEZ</v>
      </c>
      <c r="D79" s="1">
        <f>IF(VLOOKUP(B79,BDREGISTROAPORTES2025[],5,FALSE)="165",0,"165")</f>
        <v>0</v>
      </c>
      <c r="E79" s="1" t="str">
        <f>IF(VLOOKUP(B79,BDREGISTROBTH2025[],5,FALSE)="100",0,"100")</f>
        <v>100</v>
      </c>
      <c r="F79" s="1">
        <f>VLOOKUP(B79,BDREGISTROASAMBLEA2025[],8,FALSE)</f>
        <v>0</v>
      </c>
      <c r="G79" s="1">
        <f>VLOOKUP(B79,BDREGISTROMINGA2025[],6,FALSE)</f>
        <v>0</v>
      </c>
      <c r="H79" s="1">
        <v>0</v>
      </c>
      <c r="I79" s="1">
        <v>0</v>
      </c>
      <c r="J79" s="1">
        <f>BDOBLIGACIONES[[#This Row],[ASAMBLEA]]+BDOBLIGACIONES[[#This Row],[MINGA]]+BDOBLIGACIONES[[#This Row],[DELEGADOS]]+BDOBLIGACIONES[[#This Row],[CURSO]]+BDOBLIGACIONES[[#This Row],[APORTE]]+BDOBLIGACIONES[[#This Row],[BTH]]</f>
        <v>100</v>
      </c>
    </row>
    <row r="80" spans="2:10" x14ac:dyDescent="0.3">
      <c r="B80" s="1">
        <f t="shared" si="1"/>
        <v>75</v>
      </c>
      <c r="C80" t="str">
        <f>IFERROR(VLOOKUP(BDOBLIGACIONES[[#This Row],[NROKARDEX]],BDPADRES[],8,FALSE),"Sin registrado")</f>
        <v>MARGARITA ISABEL RIBERA TERCEROS</v>
      </c>
      <c r="D80" s="1">
        <f>IF(VLOOKUP(B80,BDREGISTROAPORTES2025[],5,FALSE)="165",0,"165")</f>
        <v>0</v>
      </c>
      <c r="E80" s="1">
        <f>IF(VLOOKUP(B80,BDREGISTROBTH2025[],5,FALSE)="100",0,"100")</f>
        <v>0</v>
      </c>
      <c r="F80" s="1">
        <f>VLOOKUP(B80,BDREGISTROASAMBLEA2025[],8,FALSE)</f>
        <v>0</v>
      </c>
      <c r="G80" s="1">
        <f>VLOOKUP(B80,BDREGISTROMINGA2025[],6,FALSE)</f>
        <v>0</v>
      </c>
      <c r="H80" s="1">
        <v>0</v>
      </c>
      <c r="I80" s="1">
        <v>0</v>
      </c>
      <c r="J80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81" spans="2:10" x14ac:dyDescent="0.3">
      <c r="B81" s="1">
        <f t="shared" si="1"/>
        <v>76</v>
      </c>
      <c r="C81" t="str">
        <f>IFERROR(VLOOKUP(BDOBLIGACIONES[[#This Row],[NROKARDEX]],BDPADRES[],8,FALSE),"Sin registrado")</f>
        <v>YSABEL CEREZO RIVAS</v>
      </c>
      <c r="D81" s="1">
        <f>IF(VLOOKUP(B81,BDREGISTROAPORTES2025[],5,FALSE)="165",0,"165")</f>
        <v>0</v>
      </c>
      <c r="E81" s="1">
        <f>IF(VLOOKUP(B81,BDREGISTROBTH2025[],5,FALSE)="100",0,"100")</f>
        <v>0</v>
      </c>
      <c r="F81" s="1">
        <f>VLOOKUP(B81,BDREGISTROASAMBLEA2025[],8,FALSE)</f>
        <v>0</v>
      </c>
      <c r="G81" s="1">
        <f>VLOOKUP(B81,BDREGISTROMINGA2025[],6,FALSE)</f>
        <v>0</v>
      </c>
      <c r="H81" s="1">
        <v>0</v>
      </c>
      <c r="I81" s="1">
        <v>0</v>
      </c>
      <c r="J81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82" spans="2:10" x14ac:dyDescent="0.3">
      <c r="B82" s="1">
        <f t="shared" si="1"/>
        <v>77</v>
      </c>
      <c r="C82" t="str">
        <f>IFERROR(VLOOKUP(BDOBLIGACIONES[[#This Row],[NROKARDEX]],BDPADRES[],8,FALSE),"Sin registrado")</f>
        <v>LIDIA MEDINA NOVA</v>
      </c>
      <c r="D82" s="1">
        <f>IF(VLOOKUP(B82,BDREGISTROAPORTES2025[],5,FALSE)="165",0,"165")</f>
        <v>0</v>
      </c>
      <c r="E82" s="1">
        <f>IF(VLOOKUP(B82,BDREGISTROBTH2025[],5,FALSE)="100",0,"100")</f>
        <v>0</v>
      </c>
      <c r="F82" s="1">
        <f>VLOOKUP(B82,BDREGISTROASAMBLEA2025[],8,FALSE)</f>
        <v>0</v>
      </c>
      <c r="G82" s="1">
        <f>VLOOKUP(B82,BDREGISTROMINGA2025[],6,FALSE)</f>
        <v>0</v>
      </c>
      <c r="H82" s="1">
        <v>0</v>
      </c>
      <c r="I82" s="1">
        <v>0</v>
      </c>
      <c r="J82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83" spans="2:10" x14ac:dyDescent="0.3">
      <c r="B83" s="1">
        <f t="shared" si="1"/>
        <v>78</v>
      </c>
      <c r="C83" t="str">
        <f>IFERROR(VLOOKUP(BDOBLIGACIONES[[#This Row],[NROKARDEX]],BDPADRES[],8,FALSE),"Sin registrado")</f>
        <v>ROXANA PINTO FLORES</v>
      </c>
      <c r="D83" s="1">
        <f>IF(VLOOKUP(B83,BDREGISTROAPORTES2025[],5,FALSE)="165",0,"165")</f>
        <v>0</v>
      </c>
      <c r="E83" s="1">
        <f>IF(VLOOKUP(B83,BDREGISTROBTH2025[],5,FALSE)="100",0,"100")</f>
        <v>0</v>
      </c>
      <c r="F83" s="1">
        <f>VLOOKUP(B83,BDREGISTROASAMBLEA2025[],8,FALSE)</f>
        <v>0</v>
      </c>
      <c r="G83" s="1">
        <f>VLOOKUP(B83,BDREGISTROMINGA2025[],6,FALSE)</f>
        <v>0</v>
      </c>
      <c r="H83" s="1">
        <v>0</v>
      </c>
      <c r="I83" s="1">
        <v>0</v>
      </c>
      <c r="J83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84" spans="2:10" x14ac:dyDescent="0.3">
      <c r="B84" s="1">
        <f t="shared" si="1"/>
        <v>79</v>
      </c>
      <c r="C84" t="str">
        <f>IFERROR(VLOOKUP(BDOBLIGACIONES[[#This Row],[NROKARDEX]],BDPADRES[],8,FALSE),"Sin registrado")</f>
        <v>AGUSTINA MARTINEZ MILLARES</v>
      </c>
      <c r="D84" s="1">
        <f>IF(VLOOKUP(B84,BDREGISTROAPORTES2025[],5,FALSE)="165",0,"165")</f>
        <v>0</v>
      </c>
      <c r="E84" s="1" t="str">
        <f>IF(VLOOKUP(B84,BDREGISTROBTH2025[],5,FALSE)="100",0,"100")</f>
        <v>100</v>
      </c>
      <c r="F84" s="1">
        <f>VLOOKUP(B84,BDREGISTROASAMBLEA2025[],8,FALSE)</f>
        <v>0</v>
      </c>
      <c r="G84" s="1">
        <f>VLOOKUP(B84,BDREGISTROMINGA2025[],6,FALSE)</f>
        <v>0</v>
      </c>
      <c r="H84" s="1">
        <v>0</v>
      </c>
      <c r="I84" s="1">
        <v>0</v>
      </c>
      <c r="J84" s="1">
        <f>BDOBLIGACIONES[[#This Row],[ASAMBLEA]]+BDOBLIGACIONES[[#This Row],[MINGA]]+BDOBLIGACIONES[[#This Row],[DELEGADOS]]+BDOBLIGACIONES[[#This Row],[CURSO]]+BDOBLIGACIONES[[#This Row],[APORTE]]+BDOBLIGACIONES[[#This Row],[BTH]]</f>
        <v>100</v>
      </c>
    </row>
    <row r="85" spans="2:10" x14ac:dyDescent="0.3">
      <c r="B85" s="1">
        <f t="shared" si="1"/>
        <v>80</v>
      </c>
      <c r="C85" t="str">
        <f>IFERROR(VLOOKUP(BDOBLIGACIONES[[#This Row],[NROKARDEX]],BDPADRES[],8,FALSE),"Sin registrado")</f>
        <v>MIGUELINA GUERRERO RODA</v>
      </c>
      <c r="D85" s="1">
        <f>IF(VLOOKUP(B85,BDREGISTROAPORTES2025[],5,FALSE)="165",0,"165")</f>
        <v>0</v>
      </c>
      <c r="E85" s="1">
        <f>IF(VLOOKUP(B85,BDREGISTROBTH2025[],5,FALSE)="100",0,"100")</f>
        <v>0</v>
      </c>
      <c r="F85" s="1">
        <f>VLOOKUP(B85,BDREGISTROASAMBLEA2025[],8,FALSE)</f>
        <v>0</v>
      </c>
      <c r="G85" s="1">
        <f>VLOOKUP(B85,BDREGISTROMINGA2025[],6,FALSE)</f>
        <v>0</v>
      </c>
      <c r="H85" s="1">
        <v>0</v>
      </c>
      <c r="I85" s="1">
        <v>0</v>
      </c>
      <c r="J85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86" spans="2:10" x14ac:dyDescent="0.3">
      <c r="B86" s="1">
        <f t="shared" si="1"/>
        <v>81</v>
      </c>
      <c r="C86" t="str">
        <f>IFERROR(VLOOKUP(BDOBLIGACIONES[[#This Row],[NROKARDEX]],BDPADRES[],8,FALSE),"Sin registrado")</f>
        <v>CATALINA MAMANI OCHOA</v>
      </c>
      <c r="D86" s="1">
        <f>IF(VLOOKUP(B86,BDREGISTROAPORTES2025[],5,FALSE)="165",0,"165")</f>
        <v>0</v>
      </c>
      <c r="E86" s="1">
        <f>IF(VLOOKUP(B86,BDREGISTROBTH2025[],5,FALSE)="100",0,"100")</f>
        <v>0</v>
      </c>
      <c r="F86" s="1">
        <f>VLOOKUP(B86,BDREGISTROASAMBLEA2025[],8,FALSE)</f>
        <v>0</v>
      </c>
      <c r="G86" s="1">
        <f>VLOOKUP(B86,BDREGISTROMINGA2025[],6,FALSE)</f>
        <v>0</v>
      </c>
      <c r="H86" s="1">
        <v>0</v>
      </c>
      <c r="I86" s="1">
        <v>0</v>
      </c>
      <c r="J86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87" spans="2:10" x14ac:dyDescent="0.3">
      <c r="B87" s="1">
        <f t="shared" si="1"/>
        <v>82</v>
      </c>
      <c r="C87" t="str">
        <f>IFERROR(VLOOKUP(BDOBLIGACIONES[[#This Row],[NROKARDEX]],BDPADRES[],8,FALSE),"Sin registrado")</f>
        <v>MARTHA FIGUEROA GUZMAN</v>
      </c>
      <c r="D87" s="1">
        <f>IF(VLOOKUP(B87,BDREGISTROAPORTES2025[],5,FALSE)="165",0,"165")</f>
        <v>0</v>
      </c>
      <c r="E87" s="1">
        <f>IF(VLOOKUP(B87,BDREGISTROBTH2025[],5,FALSE)="100",0,"100")</f>
        <v>0</v>
      </c>
      <c r="F87" s="1">
        <f>VLOOKUP(B87,BDREGISTROASAMBLEA2025[],8,FALSE)</f>
        <v>0</v>
      </c>
      <c r="G87" s="1">
        <f>VLOOKUP(B87,BDREGISTROMINGA2025[],6,FALSE)</f>
        <v>0</v>
      </c>
      <c r="H87" s="1">
        <v>0</v>
      </c>
      <c r="I87" s="1">
        <v>0</v>
      </c>
      <c r="J87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88" spans="2:10" x14ac:dyDescent="0.3">
      <c r="B88" s="1">
        <f t="shared" si="1"/>
        <v>83</v>
      </c>
      <c r="C88" t="str">
        <f>IFERROR(VLOOKUP(BDOBLIGACIONES[[#This Row],[NROKARDEX]],BDPADRES[],8,FALSE),"Sin registrado")</f>
        <v>ROSMERY CAMARGO CARBALLO</v>
      </c>
      <c r="D88" s="1">
        <f>IF(VLOOKUP(B88,BDREGISTROAPORTES2025[],5,FALSE)="165",0,"165")</f>
        <v>0</v>
      </c>
      <c r="E88" s="1">
        <f>IF(VLOOKUP(B88,BDREGISTROBTH2025[],5,FALSE)="100",0,"100")</f>
        <v>0</v>
      </c>
      <c r="F88" s="1">
        <f>VLOOKUP(B88,BDREGISTROASAMBLEA2025[],8,FALSE)</f>
        <v>0</v>
      </c>
      <c r="G88" s="1">
        <f>VLOOKUP(B88,BDREGISTROMINGA2025[],6,FALSE)</f>
        <v>0</v>
      </c>
      <c r="H88" s="1">
        <v>0</v>
      </c>
      <c r="I88" s="1">
        <v>0</v>
      </c>
      <c r="J88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89" spans="2:10" x14ac:dyDescent="0.3">
      <c r="B89" s="1">
        <f t="shared" si="1"/>
        <v>84</v>
      </c>
      <c r="C89" t="str">
        <f>IFERROR(VLOOKUP(BDOBLIGACIONES[[#This Row],[NROKARDEX]],BDPADRES[],8,FALSE),"Sin registrado")</f>
        <v>ELIZABETH MERCADO LOPEZ</v>
      </c>
      <c r="D89" s="1">
        <f>IF(VLOOKUP(B89,BDREGISTROAPORTES2025[],5,FALSE)="165",0,"165")</f>
        <v>0</v>
      </c>
      <c r="E89" s="1">
        <f>IF(VLOOKUP(B89,BDREGISTROBTH2025[],5,FALSE)="100",0,"100")</f>
        <v>0</v>
      </c>
      <c r="F89" s="1">
        <f>VLOOKUP(B89,BDREGISTROASAMBLEA2025[],8,FALSE)</f>
        <v>0</v>
      </c>
      <c r="G89" s="1">
        <f>VLOOKUP(B89,BDREGISTROMINGA2025[],6,FALSE)</f>
        <v>0</v>
      </c>
      <c r="H89" s="1">
        <v>0</v>
      </c>
      <c r="I89" s="1">
        <v>0</v>
      </c>
      <c r="J89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90" spans="2:10" x14ac:dyDescent="0.3">
      <c r="B90" s="1">
        <f t="shared" si="1"/>
        <v>85</v>
      </c>
      <c r="C90" t="str">
        <f>IFERROR(VLOOKUP(BDOBLIGACIONES[[#This Row],[NROKARDEX]],BDPADRES[],8,FALSE),"Sin registrado")</f>
        <v>ARACELI LIMON AVALOS</v>
      </c>
      <c r="D90" s="1">
        <f>IF(VLOOKUP(B90,BDREGISTROAPORTES2025[],5,FALSE)="165",0,"165")</f>
        <v>0</v>
      </c>
      <c r="E90" s="1" t="str">
        <f>IF(VLOOKUP(B90,BDREGISTROBTH2025[],5,FALSE)="100",0,"100")</f>
        <v>100</v>
      </c>
      <c r="F90" s="1">
        <f>VLOOKUP(B90,BDREGISTROASAMBLEA2025[],8,FALSE)</f>
        <v>0</v>
      </c>
      <c r="G90" s="1">
        <f>VLOOKUP(B90,BDREGISTROMINGA2025[],6,FALSE)</f>
        <v>0</v>
      </c>
      <c r="H90" s="1">
        <v>0</v>
      </c>
      <c r="I90" s="1">
        <v>0</v>
      </c>
      <c r="J90" s="1">
        <f>BDOBLIGACIONES[[#This Row],[ASAMBLEA]]+BDOBLIGACIONES[[#This Row],[MINGA]]+BDOBLIGACIONES[[#This Row],[DELEGADOS]]+BDOBLIGACIONES[[#This Row],[CURSO]]+BDOBLIGACIONES[[#This Row],[APORTE]]+BDOBLIGACIONES[[#This Row],[BTH]]</f>
        <v>100</v>
      </c>
    </row>
    <row r="91" spans="2:10" x14ac:dyDescent="0.3">
      <c r="B91" s="1">
        <f t="shared" si="1"/>
        <v>86</v>
      </c>
      <c r="C91" t="str">
        <f>IFERROR(VLOOKUP(BDOBLIGACIONES[[#This Row],[NROKARDEX]],BDPADRES[],8,FALSE),"Sin registrado")</f>
        <v>VICENTA MOSCOSO ROMERO</v>
      </c>
      <c r="D91" s="1">
        <f>IF(VLOOKUP(B91,BDREGISTROAPORTES2025[],5,FALSE)="165",0,"165")</f>
        <v>0</v>
      </c>
      <c r="E91" s="1">
        <f>IF(VLOOKUP(B91,BDREGISTROBTH2025[],5,FALSE)="100",0,"100")</f>
        <v>0</v>
      </c>
      <c r="F91" s="1">
        <f>VLOOKUP(B91,BDREGISTROASAMBLEA2025[],8,FALSE)</f>
        <v>0</v>
      </c>
      <c r="G91" s="1">
        <f>VLOOKUP(B91,BDREGISTROMINGA2025[],6,FALSE)</f>
        <v>0</v>
      </c>
      <c r="H91" s="1">
        <v>0</v>
      </c>
      <c r="I91" s="1">
        <v>0</v>
      </c>
      <c r="J91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92" spans="2:10" x14ac:dyDescent="0.3">
      <c r="B92" s="1">
        <f t="shared" si="1"/>
        <v>87</v>
      </c>
      <c r="C92" t="str">
        <f>IFERROR(VLOOKUP(BDOBLIGACIONES[[#This Row],[NROKARDEX]],BDPADRES[],8,FALSE),"Sin registrado")</f>
        <v>FLOR MARIA MOJICA GARCIA</v>
      </c>
      <c r="D92" s="1">
        <f>IF(VLOOKUP(B92,BDREGISTROAPORTES2025[],5,FALSE)="165",0,"165")</f>
        <v>0</v>
      </c>
      <c r="E92" s="1">
        <f>IF(VLOOKUP(B92,BDREGISTROBTH2025[],5,FALSE)="100",0,"100")</f>
        <v>0</v>
      </c>
      <c r="F92" s="1">
        <f>VLOOKUP(B92,BDREGISTROASAMBLEA2025[],8,FALSE)</f>
        <v>0</v>
      </c>
      <c r="G92" s="1">
        <f>VLOOKUP(B92,BDREGISTROMINGA2025[],6,FALSE)</f>
        <v>0</v>
      </c>
      <c r="H92" s="1">
        <v>0</v>
      </c>
      <c r="I92" s="1">
        <v>0</v>
      </c>
      <c r="J92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93" spans="2:10" x14ac:dyDescent="0.3">
      <c r="B93" s="1">
        <f t="shared" si="1"/>
        <v>88</v>
      </c>
      <c r="C93" t="str">
        <f>IFERROR(VLOOKUP(BDOBLIGACIONES[[#This Row],[NROKARDEX]],BDPADRES[],8,FALSE),"Sin registrado")</f>
        <v>ROSXANA MOJIANO MOSCOSO</v>
      </c>
      <c r="D93" s="1">
        <f>IF(VLOOKUP(B93,BDREGISTROAPORTES2025[],5,FALSE)="165",0,"165")</f>
        <v>0</v>
      </c>
      <c r="E93" s="1">
        <f>IF(VLOOKUP(B93,BDREGISTROBTH2025[],5,FALSE)="100",0,"100")</f>
        <v>0</v>
      </c>
      <c r="F93" s="1">
        <f>VLOOKUP(B93,BDREGISTROASAMBLEA2025[],8,FALSE)</f>
        <v>0</v>
      </c>
      <c r="G93" s="1">
        <f>VLOOKUP(B93,BDREGISTROMINGA2025[],6,FALSE)</f>
        <v>0</v>
      </c>
      <c r="H93" s="1">
        <v>0</v>
      </c>
      <c r="I93" s="1">
        <v>0</v>
      </c>
      <c r="J93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94" spans="2:10" x14ac:dyDescent="0.3">
      <c r="B94" s="1">
        <f t="shared" si="1"/>
        <v>89</v>
      </c>
      <c r="C94" t="str">
        <f>IFERROR(VLOOKUP(BDOBLIGACIONES[[#This Row],[NROKARDEX]],BDPADRES[],8,FALSE),"Sin registrado")</f>
        <v>YENNY ROJAS CLAURE</v>
      </c>
      <c r="D94" s="1">
        <f>IF(VLOOKUP(B94,BDREGISTROAPORTES2025[],5,FALSE)="165",0,"165")</f>
        <v>0</v>
      </c>
      <c r="E94" s="1" t="str">
        <f>IF(VLOOKUP(B94,BDREGISTROBTH2025[],5,FALSE)="100",0,"100")</f>
        <v>100</v>
      </c>
      <c r="F94" s="1">
        <f>VLOOKUP(B94,BDREGISTROASAMBLEA2025[],8,FALSE)</f>
        <v>0</v>
      </c>
      <c r="G94" s="1">
        <f>VLOOKUP(B94,BDREGISTROMINGA2025[],6,FALSE)</f>
        <v>0</v>
      </c>
      <c r="H94" s="1">
        <v>0</v>
      </c>
      <c r="I94" s="1">
        <v>0</v>
      </c>
      <c r="J94" s="1">
        <f>BDOBLIGACIONES[[#This Row],[ASAMBLEA]]+BDOBLIGACIONES[[#This Row],[MINGA]]+BDOBLIGACIONES[[#This Row],[DELEGADOS]]+BDOBLIGACIONES[[#This Row],[CURSO]]+BDOBLIGACIONES[[#This Row],[APORTE]]+BDOBLIGACIONES[[#This Row],[BTH]]</f>
        <v>100</v>
      </c>
    </row>
    <row r="95" spans="2:10" x14ac:dyDescent="0.3">
      <c r="B95" s="1">
        <f t="shared" si="1"/>
        <v>90</v>
      </c>
      <c r="C95" t="str">
        <f>IFERROR(VLOOKUP(BDOBLIGACIONES[[#This Row],[NROKARDEX]],BDPADRES[],8,FALSE),"Sin registrado")</f>
        <v>SILVIA CARI CARI COLQUE</v>
      </c>
      <c r="D95" s="1">
        <f>IF(VLOOKUP(B95,BDREGISTROAPORTES2025[],5,FALSE)="165",0,"165")</f>
        <v>0</v>
      </c>
      <c r="E95" s="1" t="str">
        <f>IF(VLOOKUP(B95,BDREGISTROBTH2025[],5,FALSE)="100",0,"100")</f>
        <v>100</v>
      </c>
      <c r="F95" s="1">
        <f>VLOOKUP(B95,BDREGISTROASAMBLEA2025[],8,FALSE)</f>
        <v>0</v>
      </c>
      <c r="G95" s="1">
        <f>VLOOKUP(B95,BDREGISTROMINGA2025[],6,FALSE)</f>
        <v>0</v>
      </c>
      <c r="H95" s="1">
        <v>0</v>
      </c>
      <c r="I95" s="1">
        <v>0</v>
      </c>
      <c r="J95" s="1">
        <f>BDOBLIGACIONES[[#This Row],[ASAMBLEA]]+BDOBLIGACIONES[[#This Row],[MINGA]]+BDOBLIGACIONES[[#This Row],[DELEGADOS]]+BDOBLIGACIONES[[#This Row],[CURSO]]+BDOBLIGACIONES[[#This Row],[APORTE]]+BDOBLIGACIONES[[#This Row],[BTH]]</f>
        <v>100</v>
      </c>
    </row>
    <row r="96" spans="2:10" x14ac:dyDescent="0.3">
      <c r="B96" s="1">
        <f t="shared" si="1"/>
        <v>91</v>
      </c>
      <c r="C96" t="str">
        <f>IFERROR(VLOOKUP(BDOBLIGACIONES[[#This Row],[NROKARDEX]],BDPADRES[],8,FALSE),"Sin registrado")</f>
        <v>VERENICE DORADO MONTENEGRO</v>
      </c>
      <c r="D96" s="1">
        <f>IF(VLOOKUP(B96,BDREGISTROAPORTES2025[],5,FALSE)="165",0,"165")</f>
        <v>0</v>
      </c>
      <c r="E96" s="1">
        <f>IF(VLOOKUP(B96,BDREGISTROBTH2025[],5,FALSE)="100",0,"100")</f>
        <v>0</v>
      </c>
      <c r="F96" s="1">
        <f>VLOOKUP(B96,BDREGISTROASAMBLEA2025[],8,FALSE)</f>
        <v>0</v>
      </c>
      <c r="G96" s="1">
        <f>VLOOKUP(B96,BDREGISTROMINGA2025[],6,FALSE)</f>
        <v>0</v>
      </c>
      <c r="H96" s="1">
        <v>0</v>
      </c>
      <c r="I96" s="1">
        <v>0</v>
      </c>
      <c r="J96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97" spans="2:10" x14ac:dyDescent="0.3">
      <c r="B97" s="1">
        <f t="shared" si="1"/>
        <v>92</v>
      </c>
      <c r="C97" t="str">
        <f>IFERROR(VLOOKUP(BDOBLIGACIONES[[#This Row],[NROKARDEX]],BDPADRES[],8,FALSE),"Sin registrado")</f>
        <v>DANIELA APAZA MIRANDA</v>
      </c>
      <c r="D97" s="1">
        <f>IF(VLOOKUP(B97,BDREGISTROAPORTES2025[],5,FALSE)="165",0,"165")</f>
        <v>0</v>
      </c>
      <c r="E97" s="1">
        <f>IF(VLOOKUP(B97,BDREGISTROBTH2025[],5,FALSE)="100",0,"100")</f>
        <v>0</v>
      </c>
      <c r="F97" s="1">
        <f>VLOOKUP(B97,BDREGISTROASAMBLEA2025[],8,FALSE)</f>
        <v>0</v>
      </c>
      <c r="G97" s="1">
        <f>VLOOKUP(B97,BDREGISTROMINGA2025[],6,FALSE)</f>
        <v>0</v>
      </c>
      <c r="H97" s="1">
        <v>0</v>
      </c>
      <c r="I97" s="1">
        <v>0</v>
      </c>
      <c r="J97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98" spans="2:10" x14ac:dyDescent="0.3">
      <c r="B98" s="1">
        <f t="shared" si="1"/>
        <v>93</v>
      </c>
      <c r="C98" t="str">
        <f>IFERROR(VLOOKUP(BDOBLIGACIONES[[#This Row],[NROKARDEX]],BDPADRES[],8,FALSE),"Sin registrado")</f>
        <v>DORA TERAN NOMTENEGRO</v>
      </c>
      <c r="D98" s="1">
        <f>IF(VLOOKUP(B98,BDREGISTROAPORTES2025[],5,FALSE)="165",0,"165")</f>
        <v>0</v>
      </c>
      <c r="E98" s="1">
        <f>IF(VLOOKUP(B98,BDREGISTROBTH2025[],5,FALSE)="100",0,"100")</f>
        <v>0</v>
      </c>
      <c r="F98" s="1">
        <f>VLOOKUP(B98,BDREGISTROASAMBLEA2025[],8,FALSE)</f>
        <v>0</v>
      </c>
      <c r="G98" s="1">
        <f>VLOOKUP(B98,BDREGISTROMINGA2025[],6,FALSE)</f>
        <v>0</v>
      </c>
      <c r="H98" s="1">
        <v>0</v>
      </c>
      <c r="I98" s="1">
        <v>0</v>
      </c>
      <c r="J98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99" spans="2:10" x14ac:dyDescent="0.3">
      <c r="B99" s="1">
        <f t="shared" si="1"/>
        <v>94</v>
      </c>
      <c r="C99" s="8" t="str">
        <f>IFERROR(VLOOKUP(BDOBLIGACIONES[[#This Row],[NROKARDEX]],BDPADRES[],8,FALSE),"Sin registrado")</f>
        <v>Sin registrado</v>
      </c>
      <c r="D99" s="1" t="str">
        <f>IF(VLOOKUP(B99,BDREGISTROAPORTES2025[],5,FALSE)="165",0,"165")</f>
        <v>165</v>
      </c>
      <c r="E99" s="1" t="str">
        <f>IF(VLOOKUP(B99,BDREGISTROBTH2025[],5,FALSE)="100",0,"100")</f>
        <v>100</v>
      </c>
      <c r="F99" s="1">
        <f>VLOOKUP(B99,BDREGISTROASAMBLEA2025[],8,FALSE)</f>
        <v>0</v>
      </c>
      <c r="G99" s="1">
        <f>VLOOKUP(B99,BDREGISTROMINGA2025[],6,FALSE)</f>
        <v>0</v>
      </c>
      <c r="H99" s="1">
        <v>0</v>
      </c>
      <c r="I99" s="1">
        <v>0</v>
      </c>
      <c r="J99" s="1">
        <f>BDOBLIGACIONES[[#This Row],[ASAMBLEA]]+BDOBLIGACIONES[[#This Row],[MINGA]]+BDOBLIGACIONES[[#This Row],[DELEGADOS]]+BDOBLIGACIONES[[#This Row],[CURSO]]+BDOBLIGACIONES[[#This Row],[APORTE]]+BDOBLIGACIONES[[#This Row],[BTH]]</f>
        <v>265</v>
      </c>
    </row>
    <row r="100" spans="2:10" x14ac:dyDescent="0.3">
      <c r="B100" s="1">
        <f t="shared" si="1"/>
        <v>95</v>
      </c>
      <c r="C100" t="str">
        <f>IFERROR(VLOOKUP(BDOBLIGACIONES[[#This Row],[NROKARDEX]],BDPADRES[],8,FALSE),"Sin registrado")</f>
        <v>MARGARITA CHUMBE LOPEZ</v>
      </c>
      <c r="D100" s="1">
        <f>IF(VLOOKUP(B100,BDREGISTROAPORTES2025[],5,FALSE)="165",0,"165")</f>
        <v>0</v>
      </c>
      <c r="E100" s="1">
        <f>IF(VLOOKUP(B100,BDREGISTROBTH2025[],5,FALSE)="100",0,"100")</f>
        <v>0</v>
      </c>
      <c r="F100" s="1">
        <f>VLOOKUP(B100,BDREGISTROASAMBLEA2025[],8,FALSE)</f>
        <v>0</v>
      </c>
      <c r="G100" s="1">
        <f>VLOOKUP(B100,BDREGISTROMINGA2025[],6,FALSE)</f>
        <v>0</v>
      </c>
      <c r="H100" s="1">
        <v>0</v>
      </c>
      <c r="I100" s="1">
        <v>0</v>
      </c>
      <c r="J100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01" spans="2:10" x14ac:dyDescent="0.3">
      <c r="B101" s="1">
        <f t="shared" si="1"/>
        <v>96</v>
      </c>
      <c r="C101" t="str">
        <f>IFERROR(VLOOKUP(BDOBLIGACIONES[[#This Row],[NROKARDEX]],BDPADRES[],8,FALSE),"Sin registrado")</f>
        <v>AURORA URIONA VELASQUEZ</v>
      </c>
      <c r="D101" s="1">
        <f>IF(VLOOKUP(B101,BDREGISTROAPORTES2025[],5,FALSE)="165",0,"165")</f>
        <v>0</v>
      </c>
      <c r="E101" s="1">
        <f>IF(VLOOKUP(B101,BDREGISTROBTH2025[],5,FALSE)="100",0,"100")</f>
        <v>0</v>
      </c>
      <c r="F101" s="1">
        <f>VLOOKUP(B101,BDREGISTROASAMBLEA2025[],8,FALSE)</f>
        <v>0</v>
      </c>
      <c r="G101" s="1">
        <f>VLOOKUP(B101,BDREGISTROMINGA2025[],6,FALSE)</f>
        <v>0</v>
      </c>
      <c r="H101" s="1">
        <v>0</v>
      </c>
      <c r="I101" s="1">
        <v>0</v>
      </c>
      <c r="J101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02" spans="2:10" x14ac:dyDescent="0.3">
      <c r="B102" s="1">
        <f t="shared" si="1"/>
        <v>97</v>
      </c>
      <c r="C102" t="str">
        <f>IFERROR(VLOOKUP(BDOBLIGACIONES[[#This Row],[NROKARDEX]],BDPADRES[],8,FALSE),"Sin registrado")</f>
        <v>CELESTINA ARIMOZA CARBALLO</v>
      </c>
      <c r="D102" s="1">
        <f>IF(VLOOKUP(B102,BDREGISTROAPORTES2025[],5,FALSE)="165",0,"165")</f>
        <v>0</v>
      </c>
      <c r="E102" s="1">
        <f>IF(VLOOKUP(B102,BDREGISTROBTH2025[],5,FALSE)="100",0,"100")</f>
        <v>0</v>
      </c>
      <c r="F102" s="1">
        <f>VLOOKUP(B102,BDREGISTROASAMBLEA2025[],8,FALSE)</f>
        <v>0</v>
      </c>
      <c r="G102" s="1">
        <f>VLOOKUP(B102,BDREGISTROMINGA2025[],6,FALSE)</f>
        <v>0</v>
      </c>
      <c r="H102" s="1">
        <v>0</v>
      </c>
      <c r="I102" s="1">
        <v>0</v>
      </c>
      <c r="J102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03" spans="2:10" x14ac:dyDescent="0.3">
      <c r="B103" s="1">
        <f t="shared" si="1"/>
        <v>98</v>
      </c>
      <c r="C103" t="str">
        <f>IFERROR(VLOOKUP(BDOBLIGACIONES[[#This Row],[NROKARDEX]],BDPADRES[],8,FALSE),"Sin registrado")</f>
        <v>CARMEN GALARZA GALVIS</v>
      </c>
      <c r="D103" s="1">
        <f>IF(VLOOKUP(B103,BDREGISTROAPORTES2025[],5,FALSE)="165",0,"165")</f>
        <v>0</v>
      </c>
      <c r="E103" s="1">
        <f>IF(VLOOKUP(B103,BDREGISTROBTH2025[],5,FALSE)="100",0,"100")</f>
        <v>0</v>
      </c>
      <c r="F103" s="1">
        <f>VLOOKUP(B103,BDREGISTROASAMBLEA2025[],8,FALSE)</f>
        <v>0</v>
      </c>
      <c r="G103" s="1">
        <f>VLOOKUP(B103,BDREGISTROMINGA2025[],6,FALSE)</f>
        <v>0</v>
      </c>
      <c r="H103" s="1">
        <v>0</v>
      </c>
      <c r="I103" s="1">
        <v>0</v>
      </c>
      <c r="J103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04" spans="2:10" x14ac:dyDescent="0.3">
      <c r="B104" s="1">
        <f t="shared" si="1"/>
        <v>99</v>
      </c>
      <c r="C104" t="str">
        <f>IFERROR(VLOOKUP(BDOBLIGACIONES[[#This Row],[NROKARDEX]],BDPADRES[],8,FALSE),"Sin registrado")</f>
        <v>MARIA ELSA GARCIA CUCHALLO</v>
      </c>
      <c r="D104" s="1">
        <f>IF(VLOOKUP(B104,BDREGISTROAPORTES2025[],5,FALSE)="165",0,"165")</f>
        <v>0</v>
      </c>
      <c r="E104" s="1" t="str">
        <f>IF(VLOOKUP(B104,BDREGISTROBTH2025[],5,FALSE)="100",0,"100")</f>
        <v>100</v>
      </c>
      <c r="F104" s="1">
        <f>VLOOKUP(B104,BDREGISTROASAMBLEA2025[],8,FALSE)</f>
        <v>0</v>
      </c>
      <c r="G104" s="1">
        <f>VLOOKUP(B104,BDREGISTROMINGA2025[],6,FALSE)</f>
        <v>0</v>
      </c>
      <c r="H104" s="1">
        <v>0</v>
      </c>
      <c r="I104" s="1">
        <v>0</v>
      </c>
      <c r="J104" s="1">
        <f>BDOBLIGACIONES[[#This Row],[ASAMBLEA]]+BDOBLIGACIONES[[#This Row],[MINGA]]+BDOBLIGACIONES[[#This Row],[DELEGADOS]]+BDOBLIGACIONES[[#This Row],[CURSO]]+BDOBLIGACIONES[[#This Row],[APORTE]]+BDOBLIGACIONES[[#This Row],[BTH]]</f>
        <v>100</v>
      </c>
    </row>
    <row r="105" spans="2:10" x14ac:dyDescent="0.3">
      <c r="B105" s="1">
        <f t="shared" si="1"/>
        <v>100</v>
      </c>
      <c r="C105" t="str">
        <f>IFERROR(VLOOKUP(BDOBLIGACIONES[[#This Row],[NROKARDEX]],BDPADRES[],8,FALSE),"Sin registrado")</f>
        <v>LOURDES BALDERAS VEDIA</v>
      </c>
      <c r="D105" s="1">
        <f>IF(VLOOKUP(B105,BDREGISTROAPORTES2025[],5,FALSE)="165",0,"165")</f>
        <v>0</v>
      </c>
      <c r="E105" s="1">
        <f>IF(VLOOKUP(B105,BDREGISTROBTH2025[],5,FALSE)="100",0,"100")</f>
        <v>0</v>
      </c>
      <c r="F105" s="1">
        <f>VLOOKUP(B105,BDREGISTROASAMBLEA2025[],8,FALSE)</f>
        <v>0</v>
      </c>
      <c r="G105" s="1">
        <f>VLOOKUP(B105,BDREGISTROMINGA2025[],6,FALSE)</f>
        <v>0</v>
      </c>
      <c r="H105" s="1">
        <v>0</v>
      </c>
      <c r="I105" s="1">
        <v>0</v>
      </c>
      <c r="J105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06" spans="2:10" x14ac:dyDescent="0.3">
      <c r="B106" s="1">
        <f t="shared" si="1"/>
        <v>101</v>
      </c>
      <c r="C106" t="str">
        <f>IFERROR(VLOOKUP(BDOBLIGACIONES[[#This Row],[NROKARDEX]],BDPADRES[],8,FALSE),"Sin registrado")</f>
        <v>CLEOFE AZURDUY REVOLLO</v>
      </c>
      <c r="D106" s="1">
        <f>IF(VLOOKUP(B106,BDREGISTROAPORTES2025[],5,FALSE)="165",0,"165")</f>
        <v>0</v>
      </c>
      <c r="E106" s="1">
        <f>IF(VLOOKUP(B106,BDREGISTROBTH2025[],5,FALSE)="100",0,"100")</f>
        <v>0</v>
      </c>
      <c r="F106" s="1">
        <f>VLOOKUP(B106,BDREGISTROASAMBLEA2025[],8,FALSE)</f>
        <v>0</v>
      </c>
      <c r="G106" s="1">
        <f>VLOOKUP(B106,BDREGISTROMINGA2025[],6,FALSE)</f>
        <v>0</v>
      </c>
      <c r="H106" s="1">
        <v>0</v>
      </c>
      <c r="I106" s="1">
        <v>0</v>
      </c>
      <c r="J106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07" spans="2:10" x14ac:dyDescent="0.3">
      <c r="B107" s="1">
        <f t="shared" si="1"/>
        <v>102</v>
      </c>
      <c r="C107" t="str">
        <f>IFERROR(VLOOKUP(BDOBLIGACIONES[[#This Row],[NROKARDEX]],BDPADRES[],8,FALSE),"Sin registrado")</f>
        <v>LAURA CORCHADO BEJARANO</v>
      </c>
      <c r="D107" s="1">
        <f>IF(VLOOKUP(B107,BDREGISTROAPORTES2025[],5,FALSE)="165",0,"165")</f>
        <v>0</v>
      </c>
      <c r="E107" s="1">
        <f>IF(VLOOKUP(B107,BDREGISTROBTH2025[],5,FALSE)="100",0,"100")</f>
        <v>0</v>
      </c>
      <c r="F107" s="1">
        <f>VLOOKUP(B107,BDREGISTROASAMBLEA2025[],8,FALSE)</f>
        <v>0</v>
      </c>
      <c r="G107" s="1">
        <f>VLOOKUP(B107,BDREGISTROMINGA2025[],6,FALSE)</f>
        <v>0</v>
      </c>
      <c r="H107" s="1">
        <v>0</v>
      </c>
      <c r="I107" s="1">
        <v>0</v>
      </c>
      <c r="J107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08" spans="2:10" x14ac:dyDescent="0.3">
      <c r="B108" s="1">
        <f t="shared" si="1"/>
        <v>103</v>
      </c>
      <c r="C108" t="str">
        <f>IFERROR(VLOOKUP(BDOBLIGACIONES[[#This Row],[NROKARDEX]],BDPADRES[],8,FALSE),"Sin registrado")</f>
        <v>VERONICA CHAMBI PACO</v>
      </c>
      <c r="D108" s="1">
        <f>IF(VLOOKUP(B108,BDREGISTROAPORTES2025[],5,FALSE)="165",0,"165")</f>
        <v>0</v>
      </c>
      <c r="E108" s="1">
        <f>IF(VLOOKUP(B108,BDREGISTROBTH2025[],5,FALSE)="100",0,"100")</f>
        <v>0</v>
      </c>
      <c r="F108" s="1">
        <f>VLOOKUP(B108,BDREGISTROASAMBLEA2025[],8,FALSE)</f>
        <v>0</v>
      </c>
      <c r="G108" s="1">
        <f>VLOOKUP(B108,BDREGISTROMINGA2025[],6,FALSE)</f>
        <v>0</v>
      </c>
      <c r="H108" s="1">
        <v>0</v>
      </c>
      <c r="I108" s="1">
        <v>0</v>
      </c>
      <c r="J108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09" spans="2:10" x14ac:dyDescent="0.3">
      <c r="B109" s="1">
        <f t="shared" si="1"/>
        <v>104</v>
      </c>
      <c r="C109" t="str">
        <f>IFERROR(VLOOKUP(BDOBLIGACIONES[[#This Row],[NROKARDEX]],BDPADRES[],8,FALSE),"Sin registrado")</f>
        <v>LUCI ROCIO ROMERO AVILA</v>
      </c>
      <c r="D109" s="1">
        <f>IF(VLOOKUP(B109,BDREGISTROAPORTES2025[],5,FALSE)="165",0,"165")</f>
        <v>0</v>
      </c>
      <c r="E109" s="1">
        <f>IF(VLOOKUP(B109,BDREGISTROBTH2025[],5,FALSE)="100",0,"100")</f>
        <v>0</v>
      </c>
      <c r="F109" s="1">
        <f>VLOOKUP(B109,BDREGISTROASAMBLEA2025[],8,FALSE)</f>
        <v>0</v>
      </c>
      <c r="G109" s="1">
        <f>VLOOKUP(B109,BDREGISTROMINGA2025[],6,FALSE)</f>
        <v>0</v>
      </c>
      <c r="H109" s="1">
        <v>0</v>
      </c>
      <c r="I109" s="1">
        <v>0</v>
      </c>
      <c r="J109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10" spans="2:10" x14ac:dyDescent="0.3">
      <c r="B110" s="1">
        <f t="shared" si="1"/>
        <v>105</v>
      </c>
      <c r="C110" t="str">
        <f>IFERROR(VLOOKUP(BDOBLIGACIONES[[#This Row],[NROKARDEX]],BDPADRES[],8,FALSE),"Sin registrado")</f>
        <v>MARIBEL ROSARIO HERRERA REBOLLO</v>
      </c>
      <c r="D110" s="1">
        <f>IF(VLOOKUP(B110,BDREGISTROAPORTES2025[],5,FALSE)="165",0,"165")</f>
        <v>0</v>
      </c>
      <c r="E110" s="1">
        <f>IF(VLOOKUP(B110,BDREGISTROBTH2025[],5,FALSE)="100",0,"100")</f>
        <v>0</v>
      </c>
      <c r="F110" s="1">
        <f>VLOOKUP(B110,BDREGISTROASAMBLEA2025[],8,FALSE)</f>
        <v>0</v>
      </c>
      <c r="G110" s="1">
        <f>VLOOKUP(B110,BDREGISTROMINGA2025[],6,FALSE)</f>
        <v>0</v>
      </c>
      <c r="H110" s="1">
        <v>0</v>
      </c>
      <c r="I110" s="1">
        <v>0</v>
      </c>
      <c r="J110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11" spans="2:10" x14ac:dyDescent="0.3">
      <c r="B111" s="1">
        <f t="shared" si="1"/>
        <v>106</v>
      </c>
      <c r="C111" t="str">
        <f>IFERROR(VLOOKUP(BDOBLIGACIONES[[#This Row],[NROKARDEX]],BDPADRES[],8,FALSE),"Sin registrado")</f>
        <v>ANABEL RUTH CHIRINO FLORES</v>
      </c>
      <c r="D111" s="1">
        <f>IF(VLOOKUP(B111,BDREGISTROAPORTES2025[],5,FALSE)="165",0,"165")</f>
        <v>0</v>
      </c>
      <c r="E111" s="1">
        <f>IF(VLOOKUP(B111,BDREGISTROBTH2025[],5,FALSE)="100",0,"100")</f>
        <v>0</v>
      </c>
      <c r="F111" s="1">
        <f>VLOOKUP(B111,BDREGISTROASAMBLEA2025[],8,FALSE)</f>
        <v>0</v>
      </c>
      <c r="G111" s="1">
        <f>VLOOKUP(B111,BDREGISTROMINGA2025[],6,FALSE)</f>
        <v>0</v>
      </c>
      <c r="H111" s="1">
        <v>0</v>
      </c>
      <c r="I111" s="1">
        <v>0</v>
      </c>
      <c r="J111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12" spans="2:10" x14ac:dyDescent="0.3">
      <c r="B112" s="1">
        <f t="shared" si="1"/>
        <v>107</v>
      </c>
      <c r="C112" t="str">
        <f>IFERROR(VLOOKUP(BDOBLIGACIONES[[#This Row],[NROKARDEX]],BDPADRES[],8,FALSE),"Sin registrado")</f>
        <v>ELVIRA JUDITHY LUCANO UÑO</v>
      </c>
      <c r="D112" s="1">
        <f>IF(VLOOKUP(B112,BDREGISTROAPORTES2025[],5,FALSE)="165",0,"165")</f>
        <v>0</v>
      </c>
      <c r="E112" s="1">
        <f>IF(VLOOKUP(B112,BDREGISTROBTH2025[],5,FALSE)="100",0,"100")</f>
        <v>0</v>
      </c>
      <c r="F112" s="1">
        <f>VLOOKUP(B112,BDREGISTROASAMBLEA2025[],8,FALSE)</f>
        <v>0</v>
      </c>
      <c r="G112" s="1">
        <f>VLOOKUP(B112,BDREGISTROMINGA2025[],6,FALSE)</f>
        <v>0</v>
      </c>
      <c r="H112" s="1">
        <v>0</v>
      </c>
      <c r="I112" s="1">
        <v>0</v>
      </c>
      <c r="J112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13" spans="2:10" x14ac:dyDescent="0.3">
      <c r="B113" s="1">
        <f t="shared" si="1"/>
        <v>108</v>
      </c>
      <c r="C113" t="str">
        <f>IFERROR(VLOOKUP(BDOBLIGACIONES[[#This Row],[NROKARDEX]],BDPADRES[],8,FALSE),"Sin registrado")</f>
        <v>CLAUDIA VERONICA FLORES TASEO</v>
      </c>
      <c r="D113" s="1">
        <f>IF(VLOOKUP(B113,BDREGISTROAPORTES2025[],5,FALSE)="165",0,"165")</f>
        <v>0</v>
      </c>
      <c r="E113" s="1">
        <f>IF(VLOOKUP(B113,BDREGISTROBTH2025[],5,FALSE)="100",0,"100")</f>
        <v>0</v>
      </c>
      <c r="F113" s="1">
        <f>VLOOKUP(B113,BDREGISTROASAMBLEA2025[],8,FALSE)</f>
        <v>0</v>
      </c>
      <c r="G113" s="1">
        <f>VLOOKUP(B113,BDREGISTROMINGA2025[],6,FALSE)</f>
        <v>0</v>
      </c>
      <c r="H113" s="1">
        <v>0</v>
      </c>
      <c r="I113" s="1">
        <v>0</v>
      </c>
      <c r="J113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14" spans="2:10" x14ac:dyDescent="0.3">
      <c r="B114" s="1">
        <f t="shared" si="1"/>
        <v>109</v>
      </c>
      <c r="C114" t="str">
        <f>IFERROR(VLOOKUP(BDOBLIGACIONES[[#This Row],[NROKARDEX]],BDPADRES[],8,FALSE),"Sin registrado")</f>
        <v>ELVIRA MAMANI ANCASI</v>
      </c>
      <c r="D114" s="1">
        <f>IF(VLOOKUP(B114,BDREGISTROAPORTES2025[],5,FALSE)="165",0,"165")</f>
        <v>0</v>
      </c>
      <c r="E114" s="1">
        <f>IF(VLOOKUP(B114,BDREGISTROBTH2025[],5,FALSE)="100",0,"100")</f>
        <v>0</v>
      </c>
      <c r="F114" s="1">
        <f>VLOOKUP(B114,BDREGISTROASAMBLEA2025[],8,FALSE)</f>
        <v>0</v>
      </c>
      <c r="G114" s="1">
        <f>VLOOKUP(B114,BDREGISTROMINGA2025[],6,FALSE)</f>
        <v>0</v>
      </c>
      <c r="H114" s="1">
        <v>0</v>
      </c>
      <c r="I114" s="1">
        <v>0</v>
      </c>
      <c r="J114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15" spans="2:10" x14ac:dyDescent="0.3">
      <c r="B115" s="1">
        <f t="shared" si="1"/>
        <v>110</v>
      </c>
      <c r="C115" t="str">
        <f>IFERROR(VLOOKUP(BDOBLIGACIONES[[#This Row],[NROKARDEX]],BDPADRES[],8,FALSE),"Sin registrado")</f>
        <v>JOSSELIN ROSARIO CLAURE</v>
      </c>
      <c r="D115" s="1">
        <f>IF(VLOOKUP(B115,BDREGISTROAPORTES2025[],5,FALSE)="165",0,"165")</f>
        <v>0</v>
      </c>
      <c r="E115" s="1" t="str">
        <f>IF(VLOOKUP(B115,BDREGISTROBTH2025[],5,FALSE)="100",0,"100")</f>
        <v>100</v>
      </c>
      <c r="F115" s="1">
        <f>VLOOKUP(B115,BDREGISTROASAMBLEA2025[],8,FALSE)</f>
        <v>0</v>
      </c>
      <c r="G115" s="1">
        <f>VLOOKUP(B115,BDREGISTROMINGA2025[],6,FALSE)</f>
        <v>0</v>
      </c>
      <c r="H115" s="1">
        <v>0</v>
      </c>
      <c r="I115" s="1">
        <v>0</v>
      </c>
      <c r="J115" s="1">
        <f>BDOBLIGACIONES[[#This Row],[ASAMBLEA]]+BDOBLIGACIONES[[#This Row],[MINGA]]+BDOBLIGACIONES[[#This Row],[DELEGADOS]]+BDOBLIGACIONES[[#This Row],[CURSO]]+BDOBLIGACIONES[[#This Row],[APORTE]]+BDOBLIGACIONES[[#This Row],[BTH]]</f>
        <v>100</v>
      </c>
    </row>
    <row r="116" spans="2:10" x14ac:dyDescent="0.3">
      <c r="B116" s="1">
        <f t="shared" si="1"/>
        <v>111</v>
      </c>
      <c r="C116" t="str">
        <f>IFERROR(VLOOKUP(BDOBLIGACIONES[[#This Row],[NROKARDEX]],BDPADRES[],8,FALSE),"Sin registrado")</f>
        <v>MONICA PEÑA COPA</v>
      </c>
      <c r="D116" s="1">
        <f>IF(VLOOKUP(B116,BDREGISTROAPORTES2025[],5,FALSE)="165",0,"165")</f>
        <v>0</v>
      </c>
      <c r="E116" s="1">
        <f>IF(VLOOKUP(B116,BDREGISTROBTH2025[],5,FALSE)="100",0,"100")</f>
        <v>0</v>
      </c>
      <c r="F116" s="1">
        <f>VLOOKUP(B116,BDREGISTROASAMBLEA2025[],8,FALSE)</f>
        <v>0</v>
      </c>
      <c r="G116" s="1">
        <f>VLOOKUP(B116,BDREGISTROMINGA2025[],6,FALSE)</f>
        <v>0</v>
      </c>
      <c r="H116" s="1">
        <v>0</v>
      </c>
      <c r="I116" s="1">
        <v>0</v>
      </c>
      <c r="J116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17" spans="2:10" x14ac:dyDescent="0.3">
      <c r="B117" s="1">
        <f t="shared" si="1"/>
        <v>112</v>
      </c>
      <c r="C117" t="str">
        <f>IFERROR(VLOOKUP(BDOBLIGACIONES[[#This Row],[NROKARDEX]],BDPADRES[],8,FALSE),"Sin registrado")</f>
        <v>ESTELA OSINAGA CASTRO</v>
      </c>
      <c r="D117" s="1">
        <f>IF(VLOOKUP(B117,BDREGISTROAPORTES2025[],5,FALSE)="165",0,"165")</f>
        <v>0</v>
      </c>
      <c r="E117" s="1">
        <f>IF(VLOOKUP(B117,BDREGISTROBTH2025[],5,FALSE)="100",0,"100")</f>
        <v>0</v>
      </c>
      <c r="F117" s="1">
        <f>VLOOKUP(B117,BDREGISTROASAMBLEA2025[],8,FALSE)</f>
        <v>0</v>
      </c>
      <c r="G117" s="1">
        <f>VLOOKUP(B117,BDREGISTROMINGA2025[],6,FALSE)</f>
        <v>0</v>
      </c>
      <c r="H117" s="1">
        <v>0</v>
      </c>
      <c r="I117" s="1">
        <v>0</v>
      </c>
      <c r="J117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18" spans="2:10" x14ac:dyDescent="0.3">
      <c r="B118" s="1">
        <f t="shared" si="1"/>
        <v>113</v>
      </c>
      <c r="C118" t="str">
        <f>IFERROR(VLOOKUP(BDOBLIGACIONES[[#This Row],[NROKARDEX]],BDPADRES[],8,FALSE),"Sin registrado")</f>
        <v>FELIPA ACHACOLLO COLQUE</v>
      </c>
      <c r="D118" s="1">
        <f>IF(VLOOKUP(B118,BDREGISTROAPORTES2025[],5,FALSE)="165",0,"165")</f>
        <v>0</v>
      </c>
      <c r="E118" s="1">
        <f>IF(VLOOKUP(B118,BDREGISTROBTH2025[],5,FALSE)="100",0,"100")</f>
        <v>0</v>
      </c>
      <c r="F118" s="1">
        <f>VLOOKUP(B118,BDREGISTROASAMBLEA2025[],8,FALSE)</f>
        <v>0</v>
      </c>
      <c r="G118" s="1">
        <f>VLOOKUP(B118,BDREGISTROMINGA2025[],6,FALSE)</f>
        <v>0</v>
      </c>
      <c r="H118" s="1">
        <v>0</v>
      </c>
      <c r="I118" s="1">
        <v>0</v>
      </c>
      <c r="J118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19" spans="2:10" x14ac:dyDescent="0.3">
      <c r="B119" s="1">
        <f t="shared" si="1"/>
        <v>114</v>
      </c>
      <c r="C119" t="str">
        <f>IFERROR(VLOOKUP(BDOBLIGACIONES[[#This Row],[NROKARDEX]],BDPADRES[],8,FALSE),"Sin registrado")</f>
        <v>GUADALUPE MENECES URIONA</v>
      </c>
      <c r="D119" s="1">
        <f>IF(VLOOKUP(B119,BDREGISTROAPORTES2025[],5,FALSE)="165",0,"165")</f>
        <v>0</v>
      </c>
      <c r="E119" s="1">
        <f>IF(VLOOKUP(B119,BDREGISTROBTH2025[],5,FALSE)="100",0,"100")</f>
        <v>0</v>
      </c>
      <c r="F119" s="1">
        <f>VLOOKUP(B119,BDREGISTROASAMBLEA2025[],8,FALSE)</f>
        <v>0</v>
      </c>
      <c r="G119" s="1">
        <f>VLOOKUP(B119,BDREGISTROMINGA2025[],6,FALSE)</f>
        <v>0</v>
      </c>
      <c r="H119" s="1">
        <v>0</v>
      </c>
      <c r="I119" s="1">
        <v>0</v>
      </c>
      <c r="J119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20" spans="2:10" x14ac:dyDescent="0.3">
      <c r="B120" s="1">
        <f t="shared" si="1"/>
        <v>115</v>
      </c>
      <c r="C120" t="str">
        <f>IFERROR(VLOOKUP(BDOBLIGACIONES[[#This Row],[NROKARDEX]],BDPADRES[],8,FALSE),"Sin registrado")</f>
        <v>SIRLE YAQUELIN VARGAS RODRIGUEZ</v>
      </c>
      <c r="D120" s="1">
        <f>IF(VLOOKUP(B120,BDREGISTROAPORTES2025[],5,FALSE)="165",0,"165")</f>
        <v>0</v>
      </c>
      <c r="E120" s="1">
        <f>IF(VLOOKUP(B120,BDREGISTROBTH2025[],5,FALSE)="100",0,"100")</f>
        <v>0</v>
      </c>
      <c r="F120" s="1">
        <f>VLOOKUP(B120,BDREGISTROASAMBLEA2025[],8,FALSE)</f>
        <v>0</v>
      </c>
      <c r="G120" s="1">
        <f>VLOOKUP(B120,BDREGISTROMINGA2025[],6,FALSE)</f>
        <v>0</v>
      </c>
      <c r="H120" s="1">
        <v>0</v>
      </c>
      <c r="I120" s="1">
        <v>0</v>
      </c>
      <c r="J120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21" spans="2:10" x14ac:dyDescent="0.3">
      <c r="B121" s="1">
        <f t="shared" si="1"/>
        <v>116</v>
      </c>
      <c r="C121" t="str">
        <f>IFERROR(VLOOKUP(BDOBLIGACIONES[[#This Row],[NROKARDEX]],BDPADRES[],8,FALSE),"Sin registrado")</f>
        <v>JUSTINA CUELLAR AVILA</v>
      </c>
      <c r="D121" s="1">
        <f>IF(VLOOKUP(B121,BDREGISTROAPORTES2025[],5,FALSE)="165",0,"165")</f>
        <v>0</v>
      </c>
      <c r="E121" s="1">
        <f>IF(VLOOKUP(B121,BDREGISTROBTH2025[],5,FALSE)="100",0,"100")</f>
        <v>0</v>
      </c>
      <c r="F121" s="1">
        <f>VLOOKUP(B121,BDREGISTROASAMBLEA2025[],8,FALSE)</f>
        <v>0</v>
      </c>
      <c r="G121" s="1">
        <f>VLOOKUP(B121,BDREGISTROMINGA2025[],6,FALSE)</f>
        <v>0</v>
      </c>
      <c r="H121" s="1">
        <v>0</v>
      </c>
      <c r="I121" s="1">
        <v>0</v>
      </c>
      <c r="J121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22" spans="2:10" x14ac:dyDescent="0.3">
      <c r="B122" s="1">
        <f t="shared" si="1"/>
        <v>117</v>
      </c>
      <c r="C122" t="str">
        <f>IFERROR(VLOOKUP(BDOBLIGACIONES[[#This Row],[NROKARDEX]],BDPADRES[],8,FALSE),"Sin registrado")</f>
        <v>ANGELICA MARQUEZ ACHO</v>
      </c>
      <c r="D122" s="1">
        <f>IF(VLOOKUP(B122,BDREGISTROAPORTES2025[],5,FALSE)="165",0,"165")</f>
        <v>0</v>
      </c>
      <c r="E122" s="1">
        <f>IF(VLOOKUP(B122,BDREGISTROBTH2025[],5,FALSE)="100",0,"100")</f>
        <v>0</v>
      </c>
      <c r="F122" s="1">
        <f>VLOOKUP(B122,BDREGISTROASAMBLEA2025[],8,FALSE)</f>
        <v>0</v>
      </c>
      <c r="G122" s="1">
        <f>VLOOKUP(B122,BDREGISTROMINGA2025[],6,FALSE)</f>
        <v>0</v>
      </c>
      <c r="H122" s="1">
        <v>0</v>
      </c>
      <c r="I122" s="1">
        <v>0</v>
      </c>
      <c r="J122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23" spans="2:10" x14ac:dyDescent="0.3">
      <c r="B123" s="1">
        <f t="shared" si="1"/>
        <v>118</v>
      </c>
      <c r="C123" t="str">
        <f>IFERROR(VLOOKUP(BDOBLIGACIONES[[#This Row],[NROKARDEX]],BDPADRES[],8,FALSE),"Sin registrado")</f>
        <v>MERCEDES ROCHA SANGUINO</v>
      </c>
      <c r="D123" s="1">
        <f>IF(VLOOKUP(B123,BDREGISTROAPORTES2025[],5,FALSE)="165",0,"165")</f>
        <v>0</v>
      </c>
      <c r="E123" s="1" t="str">
        <f>IF(VLOOKUP(B123,BDREGISTROBTH2025[],5,FALSE)="100",0,"100")</f>
        <v>100</v>
      </c>
      <c r="F123" s="1">
        <f>VLOOKUP(B123,BDREGISTROASAMBLEA2025[],8,FALSE)</f>
        <v>0</v>
      </c>
      <c r="G123" s="1">
        <f>VLOOKUP(B123,BDREGISTROMINGA2025[],6,FALSE)</f>
        <v>0</v>
      </c>
      <c r="H123" s="1">
        <v>0</v>
      </c>
      <c r="I123" s="1">
        <v>0</v>
      </c>
      <c r="J123" s="1">
        <f>BDOBLIGACIONES[[#This Row],[ASAMBLEA]]+BDOBLIGACIONES[[#This Row],[MINGA]]+BDOBLIGACIONES[[#This Row],[DELEGADOS]]+BDOBLIGACIONES[[#This Row],[CURSO]]+BDOBLIGACIONES[[#This Row],[APORTE]]+BDOBLIGACIONES[[#This Row],[BTH]]</f>
        <v>100</v>
      </c>
    </row>
    <row r="124" spans="2:10" x14ac:dyDescent="0.3">
      <c r="B124" s="1">
        <f t="shared" si="1"/>
        <v>119</v>
      </c>
      <c r="C124" t="str">
        <f>IFERROR(VLOOKUP(BDOBLIGACIONES[[#This Row],[NROKARDEX]],BDPADRES[],8,FALSE),"Sin registrado")</f>
        <v>LIDIA GARCIA</v>
      </c>
      <c r="D124" s="1">
        <f>IF(VLOOKUP(B124,BDREGISTROAPORTES2025[],5,FALSE)="165",0,"165")</f>
        <v>0</v>
      </c>
      <c r="E124" s="1">
        <f>IF(VLOOKUP(B124,BDREGISTROBTH2025[],5,FALSE)="100",0,"100")</f>
        <v>0</v>
      </c>
      <c r="F124" s="1">
        <f>VLOOKUP(B124,BDREGISTROASAMBLEA2025[],8,FALSE)</f>
        <v>0</v>
      </c>
      <c r="G124" s="1">
        <f>VLOOKUP(B124,BDREGISTROMINGA2025[],6,FALSE)</f>
        <v>0</v>
      </c>
      <c r="H124" s="1">
        <v>0</v>
      </c>
      <c r="I124" s="1">
        <v>0</v>
      </c>
      <c r="J124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25" spans="2:10" x14ac:dyDescent="0.3">
      <c r="B125" s="1">
        <f t="shared" si="1"/>
        <v>120</v>
      </c>
      <c r="C125" t="str">
        <f>IFERROR(VLOOKUP(BDOBLIGACIONES[[#This Row],[NROKARDEX]],BDPADRES[],8,FALSE),"Sin registrado")</f>
        <v>ELVA CLAROS ORELLANA</v>
      </c>
      <c r="D125" s="1">
        <f>IF(VLOOKUP(B125,BDREGISTROAPORTES2025[],5,FALSE)="165",0,"165")</f>
        <v>0</v>
      </c>
      <c r="E125" s="1">
        <f>IF(VLOOKUP(B125,BDREGISTROBTH2025[],5,FALSE)="100",0,"100")</f>
        <v>0</v>
      </c>
      <c r="F125" s="1">
        <f>VLOOKUP(B125,BDREGISTROASAMBLEA2025[],8,FALSE)</f>
        <v>0</v>
      </c>
      <c r="G125" s="1">
        <f>VLOOKUP(B125,BDREGISTROMINGA2025[],6,FALSE)</f>
        <v>0</v>
      </c>
      <c r="H125" s="1">
        <v>0</v>
      </c>
      <c r="I125" s="1">
        <v>0</v>
      </c>
      <c r="J125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26" spans="2:10" x14ac:dyDescent="0.3">
      <c r="B126" s="1">
        <f t="shared" si="1"/>
        <v>121</v>
      </c>
      <c r="C126" t="str">
        <f>IFERROR(VLOOKUP(BDOBLIGACIONES[[#This Row],[NROKARDEX]],BDPADRES[],8,FALSE),"Sin registrado")</f>
        <v>MARIA JESUS BAIGORIA HURTADO</v>
      </c>
      <c r="D126" s="1">
        <f>IF(VLOOKUP(B126,BDREGISTROAPORTES2025[],5,FALSE)="165",0,"165")</f>
        <v>0</v>
      </c>
      <c r="E126" s="1" t="s">
        <v>3166</v>
      </c>
      <c r="F126" s="1">
        <f>VLOOKUP(B126,BDREGISTROASAMBLEA2025[],8,FALSE)</f>
        <v>0</v>
      </c>
      <c r="G126" s="1">
        <f>VLOOKUP(B126,BDREGISTROMINGA2025[],6,FALSE)</f>
        <v>0</v>
      </c>
      <c r="H126" s="1">
        <v>0</v>
      </c>
      <c r="I126" s="1">
        <v>0</v>
      </c>
      <c r="J126" s="1" t="e">
        <f>BDOBLIGACIONES[[#This Row],[ASAMBLEA]]+BDOBLIGACIONES[[#This Row],[MINGA]]+BDOBLIGACIONES[[#This Row],[DELEGADOS]]+BDOBLIGACIONES[[#This Row],[CURSO]]+BDOBLIGACIONES[[#This Row],[APORTE]]+BDOBLIGACIONES[[#This Row],[BTH]]</f>
        <v>#VALUE!</v>
      </c>
    </row>
    <row r="127" spans="2:10" x14ac:dyDescent="0.3">
      <c r="B127" s="1">
        <f t="shared" si="1"/>
        <v>122</v>
      </c>
      <c r="C127" t="str">
        <f>IFERROR(VLOOKUP(BDOBLIGACIONES[[#This Row],[NROKARDEX]],BDPADRES[],8,FALSE),"Sin registrado")</f>
        <v>ILDA PIZARRO COPA</v>
      </c>
      <c r="D127" s="1">
        <f>IF(VLOOKUP(B127,BDREGISTROAPORTES2025[],5,FALSE)="165",0,"165")</f>
        <v>0</v>
      </c>
      <c r="E127" s="1">
        <f>IF(VLOOKUP(B127,BDREGISTROBTH2025[],5,FALSE)="100",0,"100")</f>
        <v>0</v>
      </c>
      <c r="F127" s="1">
        <f>VLOOKUP(B127,BDREGISTROASAMBLEA2025[],8,FALSE)</f>
        <v>0</v>
      </c>
      <c r="G127" s="1">
        <f>VLOOKUP(B127,BDREGISTROMINGA2025[],6,FALSE)</f>
        <v>0</v>
      </c>
      <c r="H127" s="1">
        <v>0</v>
      </c>
      <c r="I127" s="1">
        <v>0</v>
      </c>
      <c r="J127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28" spans="2:10" x14ac:dyDescent="0.3">
      <c r="B128" s="1">
        <f t="shared" si="1"/>
        <v>123</v>
      </c>
      <c r="C128" t="str">
        <f>IFERROR(VLOOKUP(BDOBLIGACIONES[[#This Row],[NROKARDEX]],BDPADRES[],8,FALSE),"Sin registrado")</f>
        <v>NERIA  CUBA ROMERO</v>
      </c>
      <c r="D128" s="1">
        <f>IF(VLOOKUP(B128,BDREGISTROAPORTES2025[],5,FALSE)="165",0,"165")</f>
        <v>0</v>
      </c>
      <c r="E128" s="1">
        <f>IF(VLOOKUP(B128,BDREGISTROBTH2025[],5,FALSE)="100",0,"100")</f>
        <v>0</v>
      </c>
      <c r="F128" s="1">
        <f>VLOOKUP(B128,BDREGISTROASAMBLEA2025[],8,FALSE)</f>
        <v>0</v>
      </c>
      <c r="G128" s="1">
        <f>VLOOKUP(B128,BDREGISTROMINGA2025[],6,FALSE)</f>
        <v>0</v>
      </c>
      <c r="H128" s="1">
        <v>0</v>
      </c>
      <c r="I128" s="1">
        <v>0</v>
      </c>
      <c r="J128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29" spans="2:10" x14ac:dyDescent="0.3">
      <c r="B129" s="1">
        <f t="shared" si="1"/>
        <v>124</v>
      </c>
      <c r="C129" t="str">
        <f>IFERROR(VLOOKUP(BDOBLIGACIONES[[#This Row],[NROKARDEX]],BDPADRES[],8,FALSE),"Sin registrado")</f>
        <v>MARIA ISABEL CARABALLO FLORES</v>
      </c>
      <c r="D129" s="1">
        <f>IF(VLOOKUP(B129,BDREGISTROAPORTES2025[],5,FALSE)="165",0,"165")</f>
        <v>0</v>
      </c>
      <c r="E129" s="1" t="str">
        <f>IF(VLOOKUP(B129,BDREGISTROBTH2025[],5,FALSE)="100",0,"100")</f>
        <v>100</v>
      </c>
      <c r="F129" s="1">
        <f>VLOOKUP(B129,BDREGISTROASAMBLEA2025[],8,FALSE)</f>
        <v>0</v>
      </c>
      <c r="G129" s="1">
        <f>VLOOKUP(B129,BDREGISTROMINGA2025[],6,FALSE)</f>
        <v>0</v>
      </c>
      <c r="H129" s="1">
        <v>0</v>
      </c>
      <c r="I129" s="1">
        <v>0</v>
      </c>
      <c r="J129" s="1">
        <f>BDOBLIGACIONES[[#This Row],[ASAMBLEA]]+BDOBLIGACIONES[[#This Row],[MINGA]]+BDOBLIGACIONES[[#This Row],[DELEGADOS]]+BDOBLIGACIONES[[#This Row],[CURSO]]+BDOBLIGACIONES[[#This Row],[APORTE]]+BDOBLIGACIONES[[#This Row],[BTH]]</f>
        <v>100</v>
      </c>
    </row>
    <row r="130" spans="2:10" x14ac:dyDescent="0.3">
      <c r="B130" s="1">
        <f t="shared" si="1"/>
        <v>125</v>
      </c>
      <c r="C130" t="str">
        <f>IFERROR(VLOOKUP(BDOBLIGACIONES[[#This Row],[NROKARDEX]],BDPADRES[],8,FALSE),"Sin registrado")</f>
        <v>JACQUELIN LILIAN FIGUEROA SARDINAS</v>
      </c>
      <c r="D130" s="1">
        <f>IF(VLOOKUP(B130,BDREGISTROAPORTES2025[],5,FALSE)="165",0,"165")</f>
        <v>0</v>
      </c>
      <c r="E130" s="1">
        <f>IF(VLOOKUP(B130,BDREGISTROBTH2025[],5,FALSE)="100",0,"100")</f>
        <v>0</v>
      </c>
      <c r="F130" s="1">
        <f>VLOOKUP(B130,BDREGISTROASAMBLEA2025[],8,FALSE)</f>
        <v>0</v>
      </c>
      <c r="G130" s="1">
        <f>VLOOKUP(B130,BDREGISTROMINGA2025[],6,FALSE)</f>
        <v>0</v>
      </c>
      <c r="H130" s="1">
        <v>0</v>
      </c>
      <c r="I130" s="1">
        <v>0</v>
      </c>
      <c r="J130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31" spans="2:10" x14ac:dyDescent="0.3">
      <c r="B131" s="1">
        <f t="shared" si="1"/>
        <v>126</v>
      </c>
      <c r="C131" t="str">
        <f>IFERROR(VLOOKUP(BDOBLIGACIONES[[#This Row],[NROKARDEX]],BDPADRES[],8,FALSE),"Sin registrado")</f>
        <v>MARICELA FLORES GALVEZ</v>
      </c>
      <c r="D131" s="1">
        <f>IF(VLOOKUP(B131,BDREGISTROAPORTES2025[],5,FALSE)="165",0,"165")</f>
        <v>0</v>
      </c>
      <c r="E131" s="1">
        <f>IF(VLOOKUP(B131,BDREGISTROBTH2025[],5,FALSE)="100",0,"100")</f>
        <v>0</v>
      </c>
      <c r="F131" s="1">
        <f>VLOOKUP(B131,BDREGISTROASAMBLEA2025[],8,FALSE)</f>
        <v>0</v>
      </c>
      <c r="G131" s="1">
        <f>VLOOKUP(B131,BDREGISTROMINGA2025[],6,FALSE)</f>
        <v>0</v>
      </c>
      <c r="H131" s="1">
        <v>0</v>
      </c>
      <c r="I131" s="1">
        <v>0</v>
      </c>
      <c r="J131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32" spans="2:10" x14ac:dyDescent="0.3">
      <c r="B132" s="1">
        <f t="shared" si="1"/>
        <v>127</v>
      </c>
      <c r="C132" t="str">
        <f>IFERROR(VLOOKUP(BDOBLIGACIONES[[#This Row],[NROKARDEX]],BDPADRES[],8,FALSE),"Sin registrado")</f>
        <v>YESSICA  PAOLA SILVESTRE CHOQUE</v>
      </c>
      <c r="D132" s="1">
        <f>IF(VLOOKUP(B132,BDREGISTROAPORTES2025[],5,FALSE)="165",0,"165")</f>
        <v>0</v>
      </c>
      <c r="E132" s="1">
        <f>IF(VLOOKUP(B132,BDREGISTROBTH2025[],5,FALSE)="100",0,"100")</f>
        <v>0</v>
      </c>
      <c r="F132" s="1">
        <f>VLOOKUP(B132,BDREGISTROASAMBLEA2025[],8,FALSE)</f>
        <v>0</v>
      </c>
      <c r="G132" s="1">
        <f>VLOOKUP(B132,BDREGISTROMINGA2025[],6,FALSE)</f>
        <v>0</v>
      </c>
      <c r="H132" s="1">
        <v>0</v>
      </c>
      <c r="I132" s="1">
        <v>0</v>
      </c>
      <c r="J132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33" spans="2:10" x14ac:dyDescent="0.3">
      <c r="B133" s="1">
        <f t="shared" si="1"/>
        <v>128</v>
      </c>
      <c r="C133" t="str">
        <f>IFERROR(VLOOKUP(BDOBLIGACIONES[[#This Row],[NROKARDEX]],BDPADRES[],8,FALSE),"Sin registrado")</f>
        <v>ANGELICA CABRERA VEIZAGA</v>
      </c>
      <c r="D133" s="1">
        <f>IF(VLOOKUP(B133,BDREGISTROAPORTES2025[],5,FALSE)="165",0,"165")</f>
        <v>0</v>
      </c>
      <c r="E133" s="1">
        <f>IF(VLOOKUP(B133,BDREGISTROBTH2025[],5,FALSE)="100",0,"100")</f>
        <v>0</v>
      </c>
      <c r="F133" s="1">
        <f>VLOOKUP(B133,BDREGISTROASAMBLEA2025[],8,FALSE)</f>
        <v>0</v>
      </c>
      <c r="G133" s="1">
        <f>VLOOKUP(B133,BDREGISTROMINGA2025[],6,FALSE)</f>
        <v>0</v>
      </c>
      <c r="H133" s="1">
        <v>0</v>
      </c>
      <c r="I133" s="1">
        <v>0</v>
      </c>
      <c r="J133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34" spans="2:10" x14ac:dyDescent="0.3">
      <c r="B134" s="1">
        <f t="shared" si="1"/>
        <v>129</v>
      </c>
      <c r="C134" t="str">
        <f>IFERROR(VLOOKUP(BDOBLIGACIONES[[#This Row],[NROKARDEX]],BDPADRES[],8,FALSE),"Sin registrado")</f>
        <v>MIREYA MARTINEZ VARGAS</v>
      </c>
      <c r="D134" s="1">
        <f>IF(VLOOKUP(B134,BDREGISTROAPORTES2025[],5,FALSE)="165",0,"165")</f>
        <v>0</v>
      </c>
      <c r="E134" s="1">
        <f>IF(VLOOKUP(B134,BDREGISTROBTH2025[],5,FALSE)="100",0,"100")</f>
        <v>0</v>
      </c>
      <c r="F134" s="1">
        <f>VLOOKUP(B134,BDREGISTROASAMBLEA2025[],8,FALSE)</f>
        <v>0</v>
      </c>
      <c r="G134" s="1">
        <f>VLOOKUP(B134,BDREGISTROMINGA2025[],6,FALSE)</f>
        <v>0</v>
      </c>
      <c r="H134" s="1">
        <v>0</v>
      </c>
      <c r="I134" s="1">
        <v>0</v>
      </c>
      <c r="J134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35" spans="2:10" x14ac:dyDescent="0.3">
      <c r="B135" s="1">
        <f t="shared" si="1"/>
        <v>130</v>
      </c>
      <c r="C135" t="str">
        <f>IFERROR(VLOOKUP(BDOBLIGACIONES[[#This Row],[NROKARDEX]],BDPADRES[],8,FALSE),"Sin registrado")</f>
        <v>REYNA ESPINOZA LLANOS</v>
      </c>
      <c r="D135" s="1">
        <f>IF(VLOOKUP(B135,BDREGISTROAPORTES2025[],5,FALSE)="165",0,"165")</f>
        <v>0</v>
      </c>
      <c r="E135" s="1">
        <f>IF(VLOOKUP(B135,BDREGISTROBTH2025[],5,FALSE)="100",0,"100")</f>
        <v>0</v>
      </c>
      <c r="F135" s="1">
        <f>VLOOKUP(B135,BDREGISTROASAMBLEA2025[],8,FALSE)</f>
        <v>0</v>
      </c>
      <c r="G135" s="1">
        <f>VLOOKUP(B135,BDREGISTROMINGA2025[],6,FALSE)</f>
        <v>0</v>
      </c>
      <c r="H135" s="1">
        <v>0</v>
      </c>
      <c r="I135" s="1">
        <v>0</v>
      </c>
      <c r="J135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36" spans="2:10" x14ac:dyDescent="0.3">
      <c r="B136" s="1">
        <f t="shared" si="1"/>
        <v>131</v>
      </c>
      <c r="C136" t="str">
        <f>IFERROR(VLOOKUP(BDOBLIGACIONES[[#This Row],[NROKARDEX]],BDPADRES[],8,FALSE),"Sin registrado")</f>
        <v>SANTUSA LLANOS VELASQUEZ</v>
      </c>
      <c r="D136" s="1">
        <f>IF(VLOOKUP(B136,BDREGISTROAPORTES2025[],5,FALSE)="165",0,"165")</f>
        <v>0</v>
      </c>
      <c r="E136" s="1">
        <f>IF(VLOOKUP(B136,BDREGISTROBTH2025[],5,FALSE)="100",0,"100")</f>
        <v>0</v>
      </c>
      <c r="F136" s="1">
        <f>VLOOKUP(B136,BDREGISTROASAMBLEA2025[],8,FALSE)</f>
        <v>0</v>
      </c>
      <c r="G136" s="1">
        <f>VLOOKUP(B136,BDREGISTROMINGA2025[],6,FALSE)</f>
        <v>0</v>
      </c>
      <c r="H136" s="1">
        <v>0</v>
      </c>
      <c r="I136" s="1">
        <v>0</v>
      </c>
      <c r="J136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37" spans="2:10" x14ac:dyDescent="0.3">
      <c r="B137" s="1">
        <f t="shared" ref="B137:B200" si="2">ROW(A132)</f>
        <v>132</v>
      </c>
      <c r="C137" t="str">
        <f>IFERROR(VLOOKUP(BDOBLIGACIONES[[#This Row],[NROKARDEX]],BDPADRES[],8,FALSE),"Sin registrado")</f>
        <v>LISETH  VEQUI MAMANI</v>
      </c>
      <c r="D137" s="1">
        <f>IF(VLOOKUP(B137,BDREGISTROAPORTES2025[],5,FALSE)="165",0,"165")</f>
        <v>0</v>
      </c>
      <c r="E137" s="1">
        <f>IF(VLOOKUP(B137,BDREGISTROBTH2025[],5,FALSE)="100",0,"100")</f>
        <v>0</v>
      </c>
      <c r="F137" s="1">
        <f>VLOOKUP(B137,BDREGISTROASAMBLEA2025[],8,FALSE)</f>
        <v>0</v>
      </c>
      <c r="G137" s="1">
        <f>VLOOKUP(B137,BDREGISTROMINGA2025[],6,FALSE)</f>
        <v>0</v>
      </c>
      <c r="H137" s="1">
        <v>0</v>
      </c>
      <c r="I137" s="1">
        <v>0</v>
      </c>
      <c r="J137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38" spans="2:10" x14ac:dyDescent="0.3">
      <c r="B138" s="1">
        <f t="shared" si="2"/>
        <v>133</v>
      </c>
      <c r="C138" t="str">
        <f>IFERROR(VLOOKUP(BDOBLIGACIONES[[#This Row],[NROKARDEX]],BDPADRES[],8,FALSE),"Sin registrado")</f>
        <v>HELEN JAEL MONTAÑO CUELLAR</v>
      </c>
      <c r="D138" s="1">
        <f>IF(VLOOKUP(B138,BDREGISTROAPORTES2025[],5,FALSE)="165",0,"165")</f>
        <v>0</v>
      </c>
      <c r="E138" s="1">
        <f>IF(VLOOKUP(B138,BDREGISTROBTH2025[],5,FALSE)="100",0,"100")</f>
        <v>0</v>
      </c>
      <c r="F138" s="1">
        <f>VLOOKUP(B138,BDREGISTROASAMBLEA2025[],8,FALSE)</f>
        <v>0</v>
      </c>
      <c r="G138" s="1">
        <f>VLOOKUP(B138,BDREGISTROMINGA2025[],6,FALSE)</f>
        <v>0</v>
      </c>
      <c r="H138" s="1">
        <v>0</v>
      </c>
      <c r="I138" s="1">
        <v>0</v>
      </c>
      <c r="J138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39" spans="2:10" x14ac:dyDescent="0.3">
      <c r="B139" s="1">
        <f t="shared" si="2"/>
        <v>134</v>
      </c>
      <c r="C139" t="str">
        <f>IFERROR(VLOOKUP(BDOBLIGACIONES[[#This Row],[NROKARDEX]],BDPADRES[],8,FALSE),"Sin registrado")</f>
        <v>ESTHER MAMANI GIRA</v>
      </c>
      <c r="D139" s="1">
        <f>IF(VLOOKUP(B139,BDREGISTROAPORTES2025[],5,FALSE)="165",0,"165")</f>
        <v>0</v>
      </c>
      <c r="E139" s="1">
        <f>IF(VLOOKUP(B139,BDREGISTROBTH2025[],5,FALSE)="100",0,"100")</f>
        <v>0</v>
      </c>
      <c r="F139" s="1">
        <f>VLOOKUP(B139,BDREGISTROASAMBLEA2025[],8,FALSE)</f>
        <v>0</v>
      </c>
      <c r="G139" s="1">
        <f>VLOOKUP(B139,BDREGISTROMINGA2025[],6,FALSE)</f>
        <v>0</v>
      </c>
      <c r="H139" s="1">
        <v>0</v>
      </c>
      <c r="I139" s="1">
        <v>0</v>
      </c>
      <c r="J139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40" spans="2:10" x14ac:dyDescent="0.3">
      <c r="B140" s="1">
        <f t="shared" si="2"/>
        <v>135</v>
      </c>
      <c r="C140" t="str">
        <f>IFERROR(VLOOKUP(BDOBLIGACIONES[[#This Row],[NROKARDEX]],BDPADRES[],8,FALSE),"Sin registrado")</f>
        <v>MARIBEL AGUADO ROJAS</v>
      </c>
      <c r="D140" s="1">
        <f>IF(VLOOKUP(B140,BDREGISTROAPORTES2025[],5,FALSE)="165",0,"165")</f>
        <v>0</v>
      </c>
      <c r="E140" s="1">
        <f>IF(VLOOKUP(B140,BDREGISTROBTH2025[],5,FALSE)="100",0,"100")</f>
        <v>0</v>
      </c>
      <c r="F140" s="1">
        <f>VLOOKUP(B140,BDREGISTROASAMBLEA2025[],8,FALSE)</f>
        <v>0</v>
      </c>
      <c r="G140" s="1">
        <f>VLOOKUP(B140,BDREGISTROMINGA2025[],6,FALSE)</f>
        <v>0</v>
      </c>
      <c r="H140" s="1">
        <v>0</v>
      </c>
      <c r="I140" s="1">
        <v>0</v>
      </c>
      <c r="J140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41" spans="2:10" x14ac:dyDescent="0.3">
      <c r="B141" s="1">
        <f t="shared" si="2"/>
        <v>136</v>
      </c>
      <c r="C141" t="str">
        <f>IFERROR(VLOOKUP(BDOBLIGACIONES[[#This Row],[NROKARDEX]],BDPADRES[],8,FALSE),"Sin registrado")</f>
        <v>YINA YILCANA CASTRO BANEGAS</v>
      </c>
      <c r="D141" s="1">
        <f>IF(VLOOKUP(B141,BDREGISTROAPORTES2025[],5,FALSE)="165",0,"165")</f>
        <v>0</v>
      </c>
      <c r="E141" s="1">
        <f>IF(VLOOKUP(B141,BDREGISTROBTH2025[],5,FALSE)="100",0,"100")</f>
        <v>0</v>
      </c>
      <c r="F141" s="1">
        <f>VLOOKUP(B141,BDREGISTROASAMBLEA2025[],8,FALSE)</f>
        <v>0</v>
      </c>
      <c r="G141" s="1">
        <f>VLOOKUP(B141,BDREGISTROMINGA2025[],6,FALSE)</f>
        <v>0</v>
      </c>
      <c r="H141" s="1">
        <v>0</v>
      </c>
      <c r="I141" s="1">
        <v>0</v>
      </c>
      <c r="J141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42" spans="2:10" x14ac:dyDescent="0.3">
      <c r="B142" s="1">
        <f t="shared" si="2"/>
        <v>137</v>
      </c>
      <c r="C142" t="str">
        <f>IFERROR(VLOOKUP(BDOBLIGACIONES[[#This Row],[NROKARDEX]],BDPADRES[],8,FALSE),"Sin registrado")</f>
        <v>MARIA ISABEL VELASQUEZ MORALES</v>
      </c>
      <c r="D142" s="1">
        <f>IF(VLOOKUP(B142,BDREGISTROAPORTES2025[],5,FALSE)="165",0,"165")</f>
        <v>0</v>
      </c>
      <c r="E142" s="1">
        <f>IF(VLOOKUP(B142,BDREGISTROBTH2025[],5,FALSE)="100",0,"100")</f>
        <v>0</v>
      </c>
      <c r="F142" s="1">
        <f>VLOOKUP(B142,BDREGISTROASAMBLEA2025[],8,FALSE)</f>
        <v>0</v>
      </c>
      <c r="G142" s="1">
        <f>VLOOKUP(B142,BDREGISTROMINGA2025[],6,FALSE)</f>
        <v>0</v>
      </c>
      <c r="H142" s="1">
        <v>0</v>
      </c>
      <c r="I142" s="1">
        <v>0</v>
      </c>
      <c r="J142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43" spans="2:10" x14ac:dyDescent="0.3">
      <c r="B143" s="1">
        <f t="shared" si="2"/>
        <v>138</v>
      </c>
      <c r="C143" t="str">
        <f>IFERROR(VLOOKUP(BDOBLIGACIONES[[#This Row],[NROKARDEX]],BDPADRES[],8,FALSE),"Sin registrado")</f>
        <v>MARY LUZ LEIVA MARTINEZ</v>
      </c>
      <c r="D143" s="1">
        <f>IF(VLOOKUP(B143,BDREGISTROAPORTES2025[],5,FALSE)="165",0,"165")</f>
        <v>0</v>
      </c>
      <c r="E143" s="1">
        <f>IF(VLOOKUP(B143,BDREGISTROBTH2025[],5,FALSE)="100",0,"100")</f>
        <v>0</v>
      </c>
      <c r="F143" s="1">
        <f>VLOOKUP(B143,BDREGISTROASAMBLEA2025[],8,FALSE)</f>
        <v>0</v>
      </c>
      <c r="G143" s="1">
        <f>VLOOKUP(B143,BDREGISTROMINGA2025[],6,FALSE)</f>
        <v>0</v>
      </c>
      <c r="H143" s="1">
        <v>0</v>
      </c>
      <c r="I143" s="1">
        <v>0</v>
      </c>
      <c r="J143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44" spans="2:10" x14ac:dyDescent="0.3">
      <c r="B144" s="1">
        <f t="shared" si="2"/>
        <v>139</v>
      </c>
      <c r="C144" t="str">
        <f>IFERROR(VLOOKUP(BDOBLIGACIONES[[#This Row],[NROKARDEX]],BDPADRES[],8,FALSE),"Sin registrado")</f>
        <v>JUANA CONDORI PATZI</v>
      </c>
      <c r="D144" s="1">
        <f>IF(VLOOKUP(B144,BDREGISTROAPORTES2025[],5,FALSE)="165",0,"165")</f>
        <v>0</v>
      </c>
      <c r="E144" s="1">
        <f>IF(VLOOKUP(B144,BDREGISTROBTH2025[],5,FALSE)="100",0,"100")</f>
        <v>0</v>
      </c>
      <c r="F144" s="1">
        <f>VLOOKUP(B144,BDREGISTROASAMBLEA2025[],8,FALSE)</f>
        <v>0</v>
      </c>
      <c r="G144" s="1">
        <f>VLOOKUP(B144,BDREGISTROMINGA2025[],6,FALSE)</f>
        <v>0</v>
      </c>
      <c r="H144" s="1">
        <v>0</v>
      </c>
      <c r="I144" s="1">
        <v>0</v>
      </c>
      <c r="J144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45" spans="2:10" x14ac:dyDescent="0.3">
      <c r="B145" s="1">
        <f t="shared" si="2"/>
        <v>140</v>
      </c>
      <c r="C145" t="str">
        <f>IFERROR(VLOOKUP(BDOBLIGACIONES[[#This Row],[NROKARDEX]],BDPADRES[],8,FALSE),"Sin registrado")</f>
        <v>FIORELA PADILLA MONTAÑO</v>
      </c>
      <c r="D145" s="1">
        <f>IF(VLOOKUP(B145,BDREGISTROAPORTES2025[],5,FALSE)="165",0,"165")</f>
        <v>0</v>
      </c>
      <c r="E145" s="1">
        <f>IF(VLOOKUP(B145,BDREGISTROBTH2025[],5,FALSE)="100",0,"100")</f>
        <v>0</v>
      </c>
      <c r="F145" s="1">
        <f>VLOOKUP(B145,BDREGISTROASAMBLEA2025[],8,FALSE)</f>
        <v>0</v>
      </c>
      <c r="G145" s="1">
        <f>VLOOKUP(B145,BDREGISTROMINGA2025[],6,FALSE)</f>
        <v>0</v>
      </c>
      <c r="H145" s="1">
        <v>0</v>
      </c>
      <c r="I145" s="1">
        <v>0</v>
      </c>
      <c r="J145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46" spans="2:10" x14ac:dyDescent="0.3">
      <c r="B146" s="1">
        <f t="shared" si="2"/>
        <v>141</v>
      </c>
      <c r="C146" t="str">
        <f>IFERROR(VLOOKUP(BDOBLIGACIONES[[#This Row],[NROKARDEX]],BDPADRES[],8,FALSE),"Sin registrado")</f>
        <v>MIRTA JACINTA ASILLO MAMANI</v>
      </c>
      <c r="D146" s="1">
        <f>IF(VLOOKUP(B146,BDREGISTROAPORTES2025[],5,FALSE)="165",0,"165")</f>
        <v>0</v>
      </c>
      <c r="E146" s="1" t="str">
        <f>IF(VLOOKUP(B146,BDREGISTROBTH2025[],5,FALSE)="100",0,"100")</f>
        <v>100</v>
      </c>
      <c r="F146" s="1">
        <f>VLOOKUP(B146,BDREGISTROASAMBLEA2025[],8,FALSE)</f>
        <v>0</v>
      </c>
      <c r="G146" s="1">
        <f>VLOOKUP(B146,BDREGISTROMINGA2025[],6,FALSE)</f>
        <v>0</v>
      </c>
      <c r="H146" s="1">
        <v>0</v>
      </c>
      <c r="I146" s="1">
        <v>0</v>
      </c>
      <c r="J146" s="1">
        <f>BDOBLIGACIONES[[#This Row],[ASAMBLEA]]+BDOBLIGACIONES[[#This Row],[MINGA]]+BDOBLIGACIONES[[#This Row],[DELEGADOS]]+BDOBLIGACIONES[[#This Row],[CURSO]]+BDOBLIGACIONES[[#This Row],[APORTE]]+BDOBLIGACIONES[[#This Row],[BTH]]</f>
        <v>100</v>
      </c>
    </row>
    <row r="147" spans="2:10" x14ac:dyDescent="0.3">
      <c r="B147" s="1">
        <f t="shared" si="2"/>
        <v>142</v>
      </c>
      <c r="C147" t="str">
        <f>IFERROR(VLOOKUP(BDOBLIGACIONES[[#This Row],[NROKARDEX]],BDPADRES[],8,FALSE),"Sin registrado")</f>
        <v>MARIA ESTEFANI QUIROZ GONZALES</v>
      </c>
      <c r="D147" s="1">
        <f>IF(VLOOKUP(B147,BDREGISTROAPORTES2025[],5,FALSE)="165",0,"165")</f>
        <v>0</v>
      </c>
      <c r="E147" s="1">
        <f>IF(VLOOKUP(B147,BDREGISTROBTH2025[],5,FALSE)="100",0,"100")</f>
        <v>0</v>
      </c>
      <c r="F147" s="1">
        <f>VLOOKUP(B147,BDREGISTROASAMBLEA2025[],8,FALSE)</f>
        <v>0</v>
      </c>
      <c r="G147" s="1">
        <f>VLOOKUP(B147,BDREGISTROMINGA2025[],6,FALSE)</f>
        <v>0</v>
      </c>
      <c r="H147" s="1">
        <v>0</v>
      </c>
      <c r="I147" s="1">
        <v>0</v>
      </c>
      <c r="J147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48" spans="2:10" x14ac:dyDescent="0.3">
      <c r="B148" s="1">
        <f t="shared" si="2"/>
        <v>143</v>
      </c>
      <c r="C148" t="str">
        <f>IFERROR(VLOOKUP(BDOBLIGACIONES[[#This Row],[NROKARDEX]],BDPADRES[],8,FALSE),"Sin registrado")</f>
        <v>FAUSTA CONDORI YARHUI</v>
      </c>
      <c r="D148" s="1">
        <f>IF(VLOOKUP(B148,BDREGISTROAPORTES2025[],5,FALSE)="165",0,"165")</f>
        <v>0</v>
      </c>
      <c r="E148" s="1">
        <f>IF(VLOOKUP(B148,BDREGISTROBTH2025[],5,FALSE)="100",0,"100")</f>
        <v>0</v>
      </c>
      <c r="F148" s="1">
        <f>VLOOKUP(B148,BDREGISTROASAMBLEA2025[],8,FALSE)</f>
        <v>0</v>
      </c>
      <c r="G148" s="1">
        <f>VLOOKUP(B148,BDREGISTROMINGA2025[],6,FALSE)</f>
        <v>0</v>
      </c>
      <c r="H148" s="1">
        <v>0</v>
      </c>
      <c r="I148" s="1">
        <v>0</v>
      </c>
      <c r="J148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49" spans="2:10" x14ac:dyDescent="0.3">
      <c r="B149" s="1">
        <f t="shared" si="2"/>
        <v>144</v>
      </c>
      <c r="C149" t="str">
        <f>IFERROR(VLOOKUP(BDOBLIGACIONES[[#This Row],[NROKARDEX]],BDPADRES[],8,FALSE),"Sin registrado")</f>
        <v>SENAIDA MARTINEZ CHOQUE</v>
      </c>
      <c r="D149" s="1">
        <f>IF(VLOOKUP(B149,BDREGISTROAPORTES2025[],5,FALSE)="165",0,"165")</f>
        <v>0</v>
      </c>
      <c r="E149" s="1">
        <f>IF(VLOOKUP(B149,BDREGISTROBTH2025[],5,FALSE)="100",0,"100")</f>
        <v>0</v>
      </c>
      <c r="F149" s="1">
        <f>VLOOKUP(B149,BDREGISTROASAMBLEA2025[],8,FALSE)</f>
        <v>0</v>
      </c>
      <c r="G149" s="1">
        <f>VLOOKUP(B149,BDREGISTROMINGA2025[],6,FALSE)</f>
        <v>0</v>
      </c>
      <c r="H149" s="1">
        <v>0</v>
      </c>
      <c r="I149" s="1">
        <v>0</v>
      </c>
      <c r="J149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50" spans="2:10" x14ac:dyDescent="0.3">
      <c r="B150" s="1">
        <f t="shared" si="2"/>
        <v>145</v>
      </c>
      <c r="C150" t="str">
        <f>IFERROR(VLOOKUP(BDOBLIGACIONES[[#This Row],[NROKARDEX]],BDPADRES[],8,FALSE),"Sin registrado")</f>
        <v>ESTHER MORON YEPEZ</v>
      </c>
      <c r="D150" s="1">
        <f>IF(VLOOKUP(B150,BDREGISTROAPORTES2025[],5,FALSE)="165",0,"165")</f>
        <v>0</v>
      </c>
      <c r="E150" s="1">
        <f>IF(VLOOKUP(B150,BDREGISTROBTH2025[],5,FALSE)="100",0,"100")</f>
        <v>0</v>
      </c>
      <c r="F150" s="1">
        <f>VLOOKUP(B150,BDREGISTROASAMBLEA2025[],8,FALSE)</f>
        <v>0</v>
      </c>
      <c r="G150" s="1">
        <f>VLOOKUP(B150,BDREGISTROMINGA2025[],6,FALSE)</f>
        <v>0</v>
      </c>
      <c r="H150" s="1">
        <v>0</v>
      </c>
      <c r="I150" s="1">
        <v>0</v>
      </c>
      <c r="J150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51" spans="2:10" x14ac:dyDescent="0.3">
      <c r="B151" s="1">
        <f t="shared" si="2"/>
        <v>146</v>
      </c>
      <c r="C151" t="str">
        <f>IFERROR(VLOOKUP(BDOBLIGACIONES[[#This Row],[NROKARDEX]],BDPADRES[],8,FALSE),"Sin registrado")</f>
        <v>LAURA OLLISCO SALAZAR</v>
      </c>
      <c r="D151" s="1">
        <f>IF(VLOOKUP(B151,BDREGISTROAPORTES2025[],5,FALSE)="165",0,"165")</f>
        <v>0</v>
      </c>
      <c r="E151" s="1">
        <f>IF(VLOOKUP(B151,BDREGISTROBTH2025[],5,FALSE)="100",0,"100")</f>
        <v>0</v>
      </c>
      <c r="F151" s="1">
        <f>VLOOKUP(B151,BDREGISTROASAMBLEA2025[],8,FALSE)</f>
        <v>0</v>
      </c>
      <c r="G151" s="1">
        <f>VLOOKUP(B151,BDREGISTROMINGA2025[],6,FALSE)</f>
        <v>0</v>
      </c>
      <c r="H151" s="1">
        <v>0</v>
      </c>
      <c r="I151" s="1">
        <v>0</v>
      </c>
      <c r="J151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52" spans="2:10" x14ac:dyDescent="0.3">
      <c r="B152" s="1">
        <f t="shared" si="2"/>
        <v>147</v>
      </c>
      <c r="C152" t="str">
        <f>IFERROR(VLOOKUP(BDOBLIGACIONES[[#This Row],[NROKARDEX]],BDPADRES[],8,FALSE),"Sin registrado")</f>
        <v>RAQUEL FERNANDEZ CESPEDES</v>
      </c>
      <c r="D152" s="1">
        <f>IF(VLOOKUP(B152,BDREGISTROAPORTES2025[],5,FALSE)="165",0,"165")</f>
        <v>0</v>
      </c>
      <c r="E152" s="1">
        <f>IF(VLOOKUP(B152,BDREGISTROBTH2025[],5,FALSE)="100",0,"100")</f>
        <v>0</v>
      </c>
      <c r="F152" s="1">
        <f>VLOOKUP(B152,BDREGISTROASAMBLEA2025[],8,FALSE)</f>
        <v>0</v>
      </c>
      <c r="G152" s="1">
        <f>VLOOKUP(B152,BDREGISTROMINGA2025[],6,FALSE)</f>
        <v>0</v>
      </c>
      <c r="H152" s="1">
        <v>0</v>
      </c>
      <c r="I152" s="1">
        <v>0</v>
      </c>
      <c r="J152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53" spans="2:10" x14ac:dyDescent="0.3">
      <c r="B153" s="1">
        <f t="shared" si="2"/>
        <v>148</v>
      </c>
      <c r="C153" t="str">
        <f>IFERROR(VLOOKUP(BDOBLIGACIONES[[#This Row],[NROKARDEX]],BDPADRES[],8,FALSE),"Sin registrado")</f>
        <v>MARGARITA SARDAN ROMERO</v>
      </c>
      <c r="D153" s="1">
        <f>IF(VLOOKUP(B153,BDREGISTROAPORTES2025[],5,FALSE)="165",0,"165")</f>
        <v>0</v>
      </c>
      <c r="E153" s="1">
        <f>IF(VLOOKUP(B153,BDREGISTROBTH2025[],5,FALSE)="100",0,"100")</f>
        <v>0</v>
      </c>
      <c r="F153" s="1">
        <f>VLOOKUP(B153,BDREGISTROASAMBLEA2025[],8,FALSE)</f>
        <v>0</v>
      </c>
      <c r="G153" s="1">
        <f>VLOOKUP(B153,BDREGISTROMINGA2025[],6,FALSE)</f>
        <v>0</v>
      </c>
      <c r="H153" s="1">
        <v>0</v>
      </c>
      <c r="I153" s="1">
        <v>0</v>
      </c>
      <c r="J153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54" spans="2:10" x14ac:dyDescent="0.3">
      <c r="B154" s="1">
        <f t="shared" si="2"/>
        <v>149</v>
      </c>
      <c r="C154" t="str">
        <f>IFERROR(VLOOKUP(BDOBLIGACIONES[[#This Row],[NROKARDEX]],BDPADRES[],8,FALSE),"Sin registrado")</f>
        <v>KATHERINE TERCEROS LINO</v>
      </c>
      <c r="D154" s="1">
        <f>IF(VLOOKUP(B154,BDREGISTROAPORTES2025[],5,FALSE)="165",0,"165")</f>
        <v>0</v>
      </c>
      <c r="E154" s="1">
        <f>IF(VLOOKUP(B154,BDREGISTROBTH2025[],5,FALSE)="100",0,"100")</f>
        <v>0</v>
      </c>
      <c r="F154" s="1">
        <f>VLOOKUP(B154,BDREGISTROASAMBLEA2025[],8,FALSE)</f>
        <v>0</v>
      </c>
      <c r="G154" s="1">
        <f>VLOOKUP(B154,BDREGISTROMINGA2025[],6,FALSE)</f>
        <v>0</v>
      </c>
      <c r="H154" s="1">
        <v>0</v>
      </c>
      <c r="I154" s="1">
        <v>0</v>
      </c>
      <c r="J154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55" spans="2:10" x14ac:dyDescent="0.3">
      <c r="B155" s="1">
        <f t="shared" si="2"/>
        <v>150</v>
      </c>
      <c r="C155" t="str">
        <f>IFERROR(VLOOKUP(BDOBLIGACIONES[[#This Row],[NROKARDEX]],BDPADRES[],8,FALSE),"Sin registrado")</f>
        <v>NELVY QUISPE LOPEZ</v>
      </c>
      <c r="D155" s="1">
        <f>IF(VLOOKUP(B155,BDREGISTROAPORTES2025[],5,FALSE)="165",0,"165")</f>
        <v>0</v>
      </c>
      <c r="E155" s="1">
        <f>IF(VLOOKUP(B155,BDREGISTROBTH2025[],5,FALSE)="100",0,"100")</f>
        <v>0</v>
      </c>
      <c r="F155" s="1">
        <f>VLOOKUP(B155,BDREGISTROASAMBLEA2025[],8,FALSE)</f>
        <v>0</v>
      </c>
      <c r="G155" s="1">
        <f>VLOOKUP(B155,BDREGISTROMINGA2025[],6,FALSE)</f>
        <v>0</v>
      </c>
      <c r="H155" s="1">
        <v>0</v>
      </c>
      <c r="I155" s="1">
        <v>0</v>
      </c>
      <c r="J155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56" spans="2:10" x14ac:dyDescent="0.3">
      <c r="B156" s="1">
        <f t="shared" si="2"/>
        <v>151</v>
      </c>
      <c r="C156" t="str">
        <f>IFERROR(VLOOKUP(BDOBLIGACIONES[[#This Row],[NROKARDEX]],BDPADRES[],8,FALSE),"Sin registrado")</f>
        <v>SAIDA MENDOZA FLORES</v>
      </c>
      <c r="D156" s="1">
        <f>IF(VLOOKUP(B156,BDREGISTROAPORTES2025[],5,FALSE)="165",0,"165")</f>
        <v>0</v>
      </c>
      <c r="E156" s="1">
        <f>IF(VLOOKUP(B156,BDREGISTROBTH2025[],5,FALSE)="100",0,"100")</f>
        <v>0</v>
      </c>
      <c r="F156" s="1">
        <f>VLOOKUP(B156,BDREGISTROASAMBLEA2025[],8,FALSE)</f>
        <v>0</v>
      </c>
      <c r="G156" s="1">
        <f>VLOOKUP(B156,BDREGISTROMINGA2025[],6,FALSE)</f>
        <v>0</v>
      </c>
      <c r="H156" s="1">
        <v>0</v>
      </c>
      <c r="I156" s="1">
        <v>0</v>
      </c>
      <c r="J156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57" spans="2:10" x14ac:dyDescent="0.3">
      <c r="B157" s="1">
        <f t="shared" si="2"/>
        <v>152</v>
      </c>
      <c r="C157" t="str">
        <f>IFERROR(VLOOKUP(BDOBLIGACIONES[[#This Row],[NROKARDEX]],BDPADRES[],8,FALSE),"Sin registrado")</f>
        <v>MARTINA BARJA CACERES</v>
      </c>
      <c r="D157" s="1">
        <f>IF(VLOOKUP(B157,BDREGISTROAPORTES2025[],5,FALSE)="165",0,"165")</f>
        <v>0</v>
      </c>
      <c r="E157" s="1">
        <f>IF(VLOOKUP(B157,BDREGISTROBTH2025[],5,FALSE)="100",0,"100")</f>
        <v>0</v>
      </c>
      <c r="F157" s="1">
        <f>VLOOKUP(B157,BDREGISTROASAMBLEA2025[],8,FALSE)</f>
        <v>0</v>
      </c>
      <c r="G157" s="1">
        <f>VLOOKUP(B157,BDREGISTROMINGA2025[],6,FALSE)</f>
        <v>0</v>
      </c>
      <c r="H157" s="1">
        <v>0</v>
      </c>
      <c r="I157" s="1">
        <v>0</v>
      </c>
      <c r="J157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58" spans="2:10" x14ac:dyDescent="0.3">
      <c r="B158" s="1">
        <f t="shared" si="2"/>
        <v>153</v>
      </c>
      <c r="C158" t="str">
        <f>IFERROR(VLOOKUP(BDOBLIGACIONES[[#This Row],[NROKARDEX]],BDPADRES[],8,FALSE),"Sin registrado")</f>
        <v>ELENA JUDITH AGUADO TORREZ</v>
      </c>
      <c r="D158" s="1">
        <f>IF(VLOOKUP(B158,BDREGISTROAPORTES2025[],5,FALSE)="165",0,"165")</f>
        <v>0</v>
      </c>
      <c r="E158" s="1">
        <f>IF(VLOOKUP(B158,BDREGISTROBTH2025[],5,FALSE)="100",0,"100")</f>
        <v>0</v>
      </c>
      <c r="F158" s="1">
        <f>VLOOKUP(B158,BDREGISTROASAMBLEA2025[],8,FALSE)</f>
        <v>0</v>
      </c>
      <c r="G158" s="1">
        <f>VLOOKUP(B158,BDREGISTROMINGA2025[],6,FALSE)</f>
        <v>0</v>
      </c>
      <c r="H158" s="1">
        <v>0</v>
      </c>
      <c r="I158" s="1">
        <v>0</v>
      </c>
      <c r="J158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59" spans="2:10" x14ac:dyDescent="0.3">
      <c r="B159" s="1">
        <f t="shared" si="2"/>
        <v>154</v>
      </c>
      <c r="C159" t="str">
        <f>IFERROR(VLOOKUP(BDOBLIGACIONES[[#This Row],[NROKARDEX]],BDPADRES[],8,FALSE),"Sin registrado")</f>
        <v>SEVERA RIVADENEIRA CRUZ</v>
      </c>
      <c r="D159" s="1">
        <f>IF(VLOOKUP(B159,BDREGISTROAPORTES2025[],5,FALSE)="165",0,"165")</f>
        <v>0</v>
      </c>
      <c r="E159" s="1">
        <f>IF(VLOOKUP(B159,BDREGISTROBTH2025[],5,FALSE)="100",0,"100")</f>
        <v>0</v>
      </c>
      <c r="F159" s="1">
        <f>VLOOKUP(B159,BDREGISTROASAMBLEA2025[],8,FALSE)</f>
        <v>0</v>
      </c>
      <c r="G159" s="1">
        <f>VLOOKUP(B159,BDREGISTROMINGA2025[],6,FALSE)</f>
        <v>0</v>
      </c>
      <c r="H159" s="1">
        <v>0</v>
      </c>
      <c r="I159" s="1">
        <v>0</v>
      </c>
      <c r="J159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60" spans="2:10" x14ac:dyDescent="0.3">
      <c r="B160" s="1">
        <f t="shared" si="2"/>
        <v>155</v>
      </c>
      <c r="C160" t="str">
        <f>IFERROR(VLOOKUP(BDOBLIGACIONES[[#This Row],[NROKARDEX]],BDPADRES[],8,FALSE),"Sin registrado")</f>
        <v>ABIGAIL DURAN FLORES</v>
      </c>
      <c r="D160" s="1">
        <f>IF(VLOOKUP(B160,BDREGISTROAPORTES2025[],5,FALSE)="165",0,"165")</f>
        <v>0</v>
      </c>
      <c r="E160" s="1">
        <f>IF(VLOOKUP(B160,BDREGISTROBTH2025[],5,FALSE)="100",0,"100")</f>
        <v>0</v>
      </c>
      <c r="F160" s="1">
        <f>VLOOKUP(B160,BDREGISTROASAMBLEA2025[],8,FALSE)</f>
        <v>0</v>
      </c>
      <c r="G160" s="1">
        <f>VLOOKUP(B160,BDREGISTROMINGA2025[],6,FALSE)</f>
        <v>0</v>
      </c>
      <c r="H160" s="1">
        <v>0</v>
      </c>
      <c r="I160" s="1">
        <v>0</v>
      </c>
      <c r="J160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61" spans="2:10" x14ac:dyDescent="0.3">
      <c r="B161" s="1">
        <f t="shared" si="2"/>
        <v>156</v>
      </c>
      <c r="C161" t="str">
        <f>IFERROR(VLOOKUP(BDOBLIGACIONES[[#This Row],[NROKARDEX]],BDPADRES[],8,FALSE),"Sin registrado")</f>
        <v>GRACIELA ORELLANA RISUEÑO</v>
      </c>
      <c r="D161" s="1">
        <f>IF(VLOOKUP(B161,BDREGISTROAPORTES2025[],5,FALSE)="165",0,"165")</f>
        <v>0</v>
      </c>
      <c r="E161" s="1">
        <f>IF(VLOOKUP(B161,BDREGISTROBTH2025[],5,FALSE)="100",0,"100")</f>
        <v>0</v>
      </c>
      <c r="F161" s="1">
        <f>VLOOKUP(B161,BDREGISTROASAMBLEA2025[],8,FALSE)</f>
        <v>0</v>
      </c>
      <c r="G161" s="1">
        <f>VLOOKUP(B161,BDREGISTROMINGA2025[],6,FALSE)</f>
        <v>0</v>
      </c>
      <c r="H161" s="1">
        <v>0</v>
      </c>
      <c r="I161" s="1">
        <v>0</v>
      </c>
      <c r="J161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62" spans="2:10" x14ac:dyDescent="0.3">
      <c r="B162" s="1">
        <f t="shared" si="2"/>
        <v>157</v>
      </c>
      <c r="C162" t="str">
        <f>IFERROR(VLOOKUP(BDOBLIGACIONES[[#This Row],[NROKARDEX]],BDPADRES[],8,FALSE),"Sin registrado")</f>
        <v>ELBA ROJAS MORALES</v>
      </c>
      <c r="D162" s="1">
        <f>IF(VLOOKUP(B162,BDREGISTROAPORTES2025[],5,FALSE)="165",0,"165")</f>
        <v>0</v>
      </c>
      <c r="E162" s="1">
        <f>IF(VLOOKUP(B162,BDREGISTROBTH2025[],5,FALSE)="100",0,"100")</f>
        <v>0</v>
      </c>
      <c r="F162" s="1">
        <f>VLOOKUP(B162,BDREGISTROASAMBLEA2025[],8,FALSE)</f>
        <v>0</v>
      </c>
      <c r="G162" s="1">
        <f>VLOOKUP(B162,BDREGISTROMINGA2025[],6,FALSE)</f>
        <v>0</v>
      </c>
      <c r="H162" s="1">
        <v>0</v>
      </c>
      <c r="I162" s="1">
        <v>0</v>
      </c>
      <c r="J162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63" spans="2:10" x14ac:dyDescent="0.3">
      <c r="B163" s="1">
        <f t="shared" si="2"/>
        <v>158</v>
      </c>
      <c r="C163" s="8" t="str">
        <f>IFERROR(VLOOKUP(BDOBLIGACIONES[[#This Row],[NROKARDEX]],BDPADRES[],8,FALSE),"Sin registrado")</f>
        <v>Sin registrado</v>
      </c>
      <c r="D163" s="1" t="str">
        <f>IF(VLOOKUP(B163,BDREGISTROAPORTES2025[],5,FALSE)="165",0,"165")</f>
        <v>165</v>
      </c>
      <c r="E163" s="1" t="str">
        <f>IF(VLOOKUP(B163,BDREGISTROBTH2025[],5,FALSE)="100",0,"100")</f>
        <v>100</v>
      </c>
      <c r="F163" s="1">
        <f>VLOOKUP(B163,BDREGISTROASAMBLEA2025[],8,FALSE)</f>
        <v>0</v>
      </c>
      <c r="G163" s="1">
        <f>VLOOKUP(B163,BDREGISTROMINGA2025[],6,FALSE)</f>
        <v>0</v>
      </c>
      <c r="H163" s="1">
        <v>0</v>
      </c>
      <c r="I163" s="1">
        <v>0</v>
      </c>
      <c r="J163" s="1">
        <f>BDOBLIGACIONES[[#This Row],[ASAMBLEA]]+BDOBLIGACIONES[[#This Row],[MINGA]]+BDOBLIGACIONES[[#This Row],[DELEGADOS]]+BDOBLIGACIONES[[#This Row],[CURSO]]+BDOBLIGACIONES[[#This Row],[APORTE]]+BDOBLIGACIONES[[#This Row],[BTH]]</f>
        <v>265</v>
      </c>
    </row>
    <row r="164" spans="2:10" x14ac:dyDescent="0.3">
      <c r="B164" s="1">
        <f t="shared" si="2"/>
        <v>159</v>
      </c>
      <c r="C164" t="str">
        <f>IFERROR(VLOOKUP(BDOBLIGACIONES[[#This Row],[NROKARDEX]],BDPADRES[],8,FALSE),"Sin registrado")</f>
        <v>CLARITA SLEN ALVAREZ ROJAS</v>
      </c>
      <c r="D164" s="1">
        <f>IF(VLOOKUP(B164,BDREGISTROAPORTES2025[],5,FALSE)="165",0,"165")</f>
        <v>0</v>
      </c>
      <c r="E164" s="1">
        <f>IF(VLOOKUP(B164,BDREGISTROBTH2025[],5,FALSE)="100",0,"100")</f>
        <v>0</v>
      </c>
      <c r="F164" s="1">
        <f>VLOOKUP(B164,BDREGISTROASAMBLEA2025[],8,FALSE)</f>
        <v>0</v>
      </c>
      <c r="G164" s="1">
        <f>VLOOKUP(B164,BDREGISTROMINGA2025[],6,FALSE)</f>
        <v>0</v>
      </c>
      <c r="H164" s="1">
        <v>0</v>
      </c>
      <c r="I164" s="1">
        <v>0</v>
      </c>
      <c r="J164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65" spans="2:10" x14ac:dyDescent="0.3">
      <c r="B165" s="1">
        <f t="shared" si="2"/>
        <v>160</v>
      </c>
      <c r="C165" t="str">
        <f>IFERROR(VLOOKUP(BDOBLIGACIONES[[#This Row],[NROKARDEX]],BDPADRES[],8,FALSE),"Sin registrado")</f>
        <v>ANA EVELIN ESPINOZA FARREL</v>
      </c>
      <c r="D165" s="1">
        <f>IF(VLOOKUP(B165,BDREGISTROAPORTES2025[],5,FALSE)="165",0,"165")</f>
        <v>0</v>
      </c>
      <c r="E165" s="1">
        <f>IF(VLOOKUP(B165,BDREGISTROBTH2025[],5,FALSE)="100",0,"100")</f>
        <v>0</v>
      </c>
      <c r="F165" s="1">
        <f>VLOOKUP(B165,BDREGISTROASAMBLEA2025[],8,FALSE)</f>
        <v>0</v>
      </c>
      <c r="G165" s="1">
        <f>VLOOKUP(B165,BDREGISTROMINGA2025[],6,FALSE)</f>
        <v>0</v>
      </c>
      <c r="H165" s="1">
        <v>0</v>
      </c>
      <c r="I165" s="1">
        <v>0</v>
      </c>
      <c r="J165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66" spans="2:10" x14ac:dyDescent="0.3">
      <c r="B166" s="1">
        <f t="shared" si="2"/>
        <v>161</v>
      </c>
      <c r="C166" t="str">
        <f>IFERROR(VLOOKUP(BDOBLIGACIONES[[#This Row],[NROKARDEX]],BDPADRES[],8,FALSE),"Sin registrado")</f>
        <v>LUANA WILMA ZAMBRANA ARANHA</v>
      </c>
      <c r="D166" s="1">
        <f>IF(VLOOKUP(B166,BDREGISTROAPORTES2025[],5,FALSE)="165",0,"165")</f>
        <v>0</v>
      </c>
      <c r="E166" s="1">
        <f>IF(VLOOKUP(B166,BDREGISTROBTH2025[],5,FALSE)="100",0,"100")</f>
        <v>0</v>
      </c>
      <c r="F166" s="1">
        <f>VLOOKUP(B166,BDREGISTROASAMBLEA2025[],8,FALSE)</f>
        <v>0</v>
      </c>
      <c r="G166" s="1">
        <f>VLOOKUP(B166,BDREGISTROMINGA2025[],6,FALSE)</f>
        <v>0</v>
      </c>
      <c r="H166" s="1">
        <v>0</v>
      </c>
      <c r="I166" s="1">
        <v>0</v>
      </c>
      <c r="J166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67" spans="2:10" x14ac:dyDescent="0.3">
      <c r="B167" s="1">
        <f t="shared" si="2"/>
        <v>162</v>
      </c>
      <c r="C167" t="str">
        <f>IFERROR(VLOOKUP(BDOBLIGACIONES[[#This Row],[NROKARDEX]],BDPADRES[],8,FALSE),"Sin registrado")</f>
        <v>MIRIAM  CUETO SORUCO</v>
      </c>
      <c r="D167" s="1">
        <f>IF(VLOOKUP(B167,BDREGISTROAPORTES2025[],5,FALSE)="165",0,"165")</f>
        <v>0</v>
      </c>
      <c r="E167" s="1">
        <f>IF(VLOOKUP(B167,BDREGISTROBTH2025[],5,FALSE)="100",0,"100")</f>
        <v>0</v>
      </c>
      <c r="F167" s="1">
        <f>VLOOKUP(B167,BDREGISTROASAMBLEA2025[],8,FALSE)</f>
        <v>0</v>
      </c>
      <c r="G167" s="1">
        <f>VLOOKUP(B167,BDREGISTROMINGA2025[],6,FALSE)</f>
        <v>0</v>
      </c>
      <c r="H167" s="1">
        <v>0</v>
      </c>
      <c r="I167" s="1">
        <v>0</v>
      </c>
      <c r="J167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68" spans="2:10" x14ac:dyDescent="0.3">
      <c r="B168" s="1">
        <f t="shared" si="2"/>
        <v>163</v>
      </c>
      <c r="C168" t="str">
        <f>IFERROR(VLOOKUP(BDOBLIGACIONES[[#This Row],[NROKARDEX]],BDPADRES[],8,FALSE),"Sin registrado")</f>
        <v>ROSA LENNY ZAPATA RODRIGUEZ</v>
      </c>
      <c r="D168" s="1">
        <f>IF(VLOOKUP(B168,BDREGISTROAPORTES2025[],5,FALSE)="165",0,"165")</f>
        <v>0</v>
      </c>
      <c r="E168" s="1" t="str">
        <f>IF(VLOOKUP(B168,BDREGISTROBTH2025[],5,FALSE)="100",0,"100")</f>
        <v>100</v>
      </c>
      <c r="F168" s="1">
        <f>VLOOKUP(B168,BDREGISTROASAMBLEA2025[],8,FALSE)</f>
        <v>0</v>
      </c>
      <c r="G168" s="1">
        <f>VLOOKUP(B168,BDREGISTROMINGA2025[],6,FALSE)</f>
        <v>0</v>
      </c>
      <c r="H168" s="1">
        <v>0</v>
      </c>
      <c r="I168" s="1">
        <v>0</v>
      </c>
      <c r="J168" s="1">
        <f>BDOBLIGACIONES[[#This Row],[ASAMBLEA]]+BDOBLIGACIONES[[#This Row],[MINGA]]+BDOBLIGACIONES[[#This Row],[DELEGADOS]]+BDOBLIGACIONES[[#This Row],[CURSO]]+BDOBLIGACIONES[[#This Row],[APORTE]]+BDOBLIGACIONES[[#This Row],[BTH]]</f>
        <v>100</v>
      </c>
    </row>
    <row r="169" spans="2:10" x14ac:dyDescent="0.3">
      <c r="B169" s="1">
        <f t="shared" si="2"/>
        <v>164</v>
      </c>
      <c r="C169" t="str">
        <f>IFERROR(VLOOKUP(BDOBLIGACIONES[[#This Row],[NROKARDEX]],BDPADRES[],8,FALSE),"Sin registrado")</f>
        <v>MARITZA PEREYRA CABRERA</v>
      </c>
      <c r="D169" s="1">
        <f>IF(VLOOKUP(B169,BDREGISTROAPORTES2025[],5,FALSE)="165",0,"165")</f>
        <v>0</v>
      </c>
      <c r="E169" s="1">
        <f>IF(VLOOKUP(B169,BDREGISTROBTH2025[],5,FALSE)="100",0,"100")</f>
        <v>0</v>
      </c>
      <c r="F169" s="1">
        <f>VLOOKUP(B169,BDREGISTROASAMBLEA2025[],8,FALSE)</f>
        <v>0</v>
      </c>
      <c r="G169" s="1">
        <f>VLOOKUP(B169,BDREGISTROMINGA2025[],6,FALSE)</f>
        <v>0</v>
      </c>
      <c r="H169" s="1">
        <v>0</v>
      </c>
      <c r="I169" s="1">
        <v>0</v>
      </c>
      <c r="J169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70" spans="2:10" x14ac:dyDescent="0.3">
      <c r="B170" s="1">
        <f t="shared" si="2"/>
        <v>165</v>
      </c>
      <c r="C170" t="str">
        <f>IFERROR(VLOOKUP(BDOBLIGACIONES[[#This Row],[NROKARDEX]],BDPADRES[],8,FALSE),"Sin registrado")</f>
        <v>NOHEMI GUZMAN GUZMAN</v>
      </c>
      <c r="D170" s="1">
        <f>IF(VLOOKUP(B170,BDREGISTROAPORTES2025[],5,FALSE)="165",0,"165")</f>
        <v>0</v>
      </c>
      <c r="E170" s="1">
        <f>IF(VLOOKUP(B170,BDREGISTROBTH2025[],5,FALSE)="100",0,"100")</f>
        <v>0</v>
      </c>
      <c r="F170" s="1">
        <f>VLOOKUP(B170,BDREGISTROASAMBLEA2025[],8,FALSE)</f>
        <v>0</v>
      </c>
      <c r="G170" s="1">
        <f>VLOOKUP(B170,BDREGISTROMINGA2025[],6,FALSE)</f>
        <v>0</v>
      </c>
      <c r="H170" s="1">
        <v>0</v>
      </c>
      <c r="I170" s="1">
        <v>0</v>
      </c>
      <c r="J170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71" spans="2:10" x14ac:dyDescent="0.3">
      <c r="B171" s="1">
        <f t="shared" si="2"/>
        <v>166</v>
      </c>
      <c r="C171" t="str">
        <f>IFERROR(VLOOKUP(BDOBLIGACIONES[[#This Row],[NROKARDEX]],BDPADRES[],8,FALSE),"Sin registrado")</f>
        <v>PAULINA SANDOVAL GONZALES</v>
      </c>
      <c r="D171" s="1">
        <f>IF(VLOOKUP(B171,BDREGISTROAPORTES2025[],5,FALSE)="165",0,"165")</f>
        <v>0</v>
      </c>
      <c r="E171" s="1">
        <f>IF(VLOOKUP(B171,BDREGISTROBTH2025[],5,FALSE)="100",0,"100")</f>
        <v>0</v>
      </c>
      <c r="F171" s="1">
        <f>VLOOKUP(B171,BDREGISTROASAMBLEA2025[],8,FALSE)</f>
        <v>0</v>
      </c>
      <c r="G171" s="1">
        <f>VLOOKUP(B171,BDREGISTROMINGA2025[],6,FALSE)</f>
        <v>0</v>
      </c>
      <c r="H171" s="1">
        <v>0</v>
      </c>
      <c r="I171" s="1">
        <v>0</v>
      </c>
      <c r="J171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72" spans="2:10" x14ac:dyDescent="0.3">
      <c r="B172" s="1">
        <f t="shared" si="2"/>
        <v>167</v>
      </c>
      <c r="C172" t="str">
        <f>IFERROR(VLOOKUP(BDOBLIGACIONES[[#This Row],[NROKARDEX]],BDPADRES[],8,FALSE),"Sin registrado")</f>
        <v>FRANCISCA  CRUZ ARAUZ</v>
      </c>
      <c r="D172" s="1">
        <f>IF(VLOOKUP(B172,BDREGISTROAPORTES2025[],5,FALSE)="165",0,"165")</f>
        <v>0</v>
      </c>
      <c r="E172" s="1">
        <f>IF(VLOOKUP(B172,BDREGISTROBTH2025[],5,FALSE)="100",0,"100")</f>
        <v>0</v>
      </c>
      <c r="F172" s="1">
        <f>VLOOKUP(B172,BDREGISTROASAMBLEA2025[],8,FALSE)</f>
        <v>0</v>
      </c>
      <c r="G172" s="1">
        <f>VLOOKUP(B172,BDREGISTROMINGA2025[],6,FALSE)</f>
        <v>0</v>
      </c>
      <c r="H172" s="1">
        <v>0</v>
      </c>
      <c r="I172" s="1">
        <v>0</v>
      </c>
      <c r="J172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73" spans="2:10" x14ac:dyDescent="0.3">
      <c r="B173" s="1">
        <f t="shared" si="2"/>
        <v>168</v>
      </c>
      <c r="C173" t="str">
        <f>IFERROR(VLOOKUP(BDOBLIGACIONES[[#This Row],[NROKARDEX]],BDPADRES[],8,FALSE),"Sin registrado")</f>
        <v>LEANDRA JOSE ROJAS</v>
      </c>
      <c r="D173" s="1">
        <f>IF(VLOOKUP(B173,BDREGISTROAPORTES2025[],5,FALSE)="165",0,"165")</f>
        <v>0</v>
      </c>
      <c r="E173" s="1">
        <f>IF(VLOOKUP(B173,BDREGISTROBTH2025[],5,FALSE)="100",0,"100")</f>
        <v>0</v>
      </c>
      <c r="F173" s="1">
        <f>VLOOKUP(B173,BDREGISTROASAMBLEA2025[],8,FALSE)</f>
        <v>0</v>
      </c>
      <c r="G173" s="1">
        <f>VLOOKUP(B173,BDREGISTROMINGA2025[],6,FALSE)</f>
        <v>0</v>
      </c>
      <c r="H173" s="1">
        <v>0</v>
      </c>
      <c r="I173" s="1">
        <v>0</v>
      </c>
      <c r="J173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74" spans="2:10" x14ac:dyDescent="0.3">
      <c r="B174" s="1">
        <f t="shared" si="2"/>
        <v>169</v>
      </c>
      <c r="C174" t="str">
        <f>IFERROR(VLOOKUP(BDOBLIGACIONES[[#This Row],[NROKARDEX]],BDPADRES[],8,FALSE),"Sin registrado")</f>
        <v>DIANA RAPU NOZA</v>
      </c>
      <c r="D174" s="1">
        <f>IF(VLOOKUP(B174,BDREGISTROAPORTES2025[],5,FALSE)="165",0,"165")</f>
        <v>0</v>
      </c>
      <c r="E174" s="1">
        <f>IF(VLOOKUP(B174,BDREGISTROBTH2025[],5,FALSE)="100",0,"100")</f>
        <v>0</v>
      </c>
      <c r="F174" s="1">
        <f>VLOOKUP(B174,BDREGISTROASAMBLEA2025[],8,FALSE)</f>
        <v>0</v>
      </c>
      <c r="G174" s="1">
        <f>VLOOKUP(B174,BDREGISTROMINGA2025[],6,FALSE)</f>
        <v>0</v>
      </c>
      <c r="H174" s="1">
        <v>0</v>
      </c>
      <c r="I174" s="1">
        <v>0</v>
      </c>
      <c r="J174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75" spans="2:10" x14ac:dyDescent="0.3">
      <c r="B175" s="1">
        <f t="shared" si="2"/>
        <v>170</v>
      </c>
      <c r="C175" t="str">
        <f>IFERROR(VLOOKUP(BDOBLIGACIONES[[#This Row],[NROKARDEX]],BDPADRES[],8,FALSE),"Sin registrado")</f>
        <v>BENITA TECO MORON</v>
      </c>
      <c r="D175" s="1">
        <f>IF(VLOOKUP(B175,BDREGISTROAPORTES2025[],5,FALSE)="165",0,"165")</f>
        <v>0</v>
      </c>
      <c r="E175" s="1">
        <f>IF(VLOOKUP(B175,BDREGISTROBTH2025[],5,FALSE)="100",0,"100")</f>
        <v>0</v>
      </c>
      <c r="F175" s="1">
        <f>VLOOKUP(B175,BDREGISTROASAMBLEA2025[],8,FALSE)</f>
        <v>0</v>
      </c>
      <c r="G175" s="1">
        <f>VLOOKUP(B175,BDREGISTROMINGA2025[],6,FALSE)</f>
        <v>0</v>
      </c>
      <c r="H175" s="1">
        <v>0</v>
      </c>
      <c r="I175" s="1">
        <v>0</v>
      </c>
      <c r="J175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76" spans="2:10" x14ac:dyDescent="0.3">
      <c r="B176" s="1">
        <f t="shared" si="2"/>
        <v>171</v>
      </c>
      <c r="C176" t="str">
        <f>IFERROR(VLOOKUP(BDOBLIGACIONES[[#This Row],[NROKARDEX]],BDPADRES[],8,FALSE),"Sin registrado")</f>
        <v>MARIELA PEREZ MANCILLA</v>
      </c>
      <c r="D176" s="1">
        <f>IF(VLOOKUP(B176,BDREGISTROAPORTES2025[],5,FALSE)="165",0,"165")</f>
        <v>0</v>
      </c>
      <c r="E176" s="1">
        <f>IF(VLOOKUP(B176,BDREGISTROBTH2025[],5,FALSE)="100",0,"100")</f>
        <v>0</v>
      </c>
      <c r="F176" s="1">
        <f>VLOOKUP(B176,BDREGISTROASAMBLEA2025[],8,FALSE)</f>
        <v>0</v>
      </c>
      <c r="G176" s="1">
        <f>VLOOKUP(B176,BDREGISTROMINGA2025[],6,FALSE)</f>
        <v>0</v>
      </c>
      <c r="H176" s="1">
        <v>0</v>
      </c>
      <c r="I176" s="1">
        <v>0</v>
      </c>
      <c r="J176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77" spans="2:10" x14ac:dyDescent="0.3">
      <c r="B177" s="1">
        <f t="shared" si="2"/>
        <v>172</v>
      </c>
      <c r="C177" t="str">
        <f>IFERROR(VLOOKUP(BDOBLIGACIONES[[#This Row],[NROKARDEX]],BDPADRES[],8,FALSE),"Sin registrado")</f>
        <v>VICTORIA FLORES MENDOZA</v>
      </c>
      <c r="D177" s="1">
        <f>IF(VLOOKUP(B177,BDREGISTROAPORTES2025[],5,FALSE)="165",0,"165")</f>
        <v>0</v>
      </c>
      <c r="E177" s="1">
        <f>IF(VLOOKUP(B177,BDREGISTROBTH2025[],5,FALSE)="100",0,"100")</f>
        <v>0</v>
      </c>
      <c r="F177" s="1">
        <f>VLOOKUP(B177,BDREGISTROASAMBLEA2025[],8,FALSE)</f>
        <v>0</v>
      </c>
      <c r="G177" s="1">
        <f>VLOOKUP(B177,BDREGISTROMINGA2025[],6,FALSE)</f>
        <v>0</v>
      </c>
      <c r="H177" s="1">
        <v>0</v>
      </c>
      <c r="I177" s="1">
        <v>0</v>
      </c>
      <c r="J177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78" spans="2:10" x14ac:dyDescent="0.3">
      <c r="B178" s="1">
        <f t="shared" si="2"/>
        <v>173</v>
      </c>
      <c r="C178" t="str">
        <f>IFERROR(VLOOKUP(BDOBLIGACIONES[[#This Row],[NROKARDEX]],BDPADRES[],8,FALSE),"Sin registrado")</f>
        <v>CLAUDIA JHANET CARRISALES GUTIERRES</v>
      </c>
      <c r="D178" s="1">
        <f>IF(VLOOKUP(B178,BDREGISTROAPORTES2025[],5,FALSE)="165",0,"165")</f>
        <v>0</v>
      </c>
      <c r="E178" s="1">
        <f>IF(VLOOKUP(B178,BDREGISTROBTH2025[],5,FALSE)="100",0,"100")</f>
        <v>0</v>
      </c>
      <c r="F178" s="1">
        <f>VLOOKUP(B178,BDREGISTROASAMBLEA2025[],8,FALSE)</f>
        <v>0</v>
      </c>
      <c r="G178" s="1">
        <f>VLOOKUP(B178,BDREGISTROMINGA2025[],6,FALSE)</f>
        <v>0</v>
      </c>
      <c r="H178" s="1">
        <v>0</v>
      </c>
      <c r="I178" s="1">
        <v>0</v>
      </c>
      <c r="J178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79" spans="2:10" x14ac:dyDescent="0.3">
      <c r="B179" s="1">
        <f t="shared" si="2"/>
        <v>174</v>
      </c>
      <c r="C179" t="str">
        <f>IFERROR(VLOOKUP(BDOBLIGACIONES[[#This Row],[NROKARDEX]],BDPADRES[],8,FALSE),"Sin registrado")</f>
        <v>YOSELIN MERCADO GONZALES</v>
      </c>
      <c r="D179" s="1">
        <f>IF(VLOOKUP(B179,BDREGISTROAPORTES2025[],5,FALSE)="165",0,"165")</f>
        <v>0</v>
      </c>
      <c r="E179" s="1" t="str">
        <f>IF(VLOOKUP(B179,BDREGISTROBTH2025[],5,FALSE)="100",0,"100")</f>
        <v>100</v>
      </c>
      <c r="F179" s="1">
        <f>VLOOKUP(B179,BDREGISTROASAMBLEA2025[],8,FALSE)</f>
        <v>0</v>
      </c>
      <c r="G179" s="1">
        <f>VLOOKUP(B179,BDREGISTROMINGA2025[],6,FALSE)</f>
        <v>0</v>
      </c>
      <c r="H179" s="1">
        <v>0</v>
      </c>
      <c r="I179" s="1">
        <v>0</v>
      </c>
      <c r="J179" s="1">
        <f>BDOBLIGACIONES[[#This Row],[ASAMBLEA]]+BDOBLIGACIONES[[#This Row],[MINGA]]+BDOBLIGACIONES[[#This Row],[DELEGADOS]]+BDOBLIGACIONES[[#This Row],[CURSO]]+BDOBLIGACIONES[[#This Row],[APORTE]]+BDOBLIGACIONES[[#This Row],[BTH]]</f>
        <v>100</v>
      </c>
    </row>
    <row r="180" spans="2:10" x14ac:dyDescent="0.3">
      <c r="B180" s="1">
        <f t="shared" si="2"/>
        <v>175</v>
      </c>
      <c r="C180" t="str">
        <f>IFERROR(VLOOKUP(BDOBLIGACIONES[[#This Row],[NROKARDEX]],BDPADRES[],8,FALSE),"Sin registrado")</f>
        <v>ELISABED MAMANI ANCASI</v>
      </c>
      <c r="D180" s="1">
        <f>IF(VLOOKUP(B180,BDREGISTROAPORTES2025[],5,FALSE)="165",0,"165")</f>
        <v>0</v>
      </c>
      <c r="E180" s="1">
        <f>IF(VLOOKUP(B180,BDREGISTROBTH2025[],5,FALSE)="100",0,"100")</f>
        <v>0</v>
      </c>
      <c r="F180" s="1">
        <f>VLOOKUP(B180,BDREGISTROASAMBLEA2025[],8,FALSE)</f>
        <v>0</v>
      </c>
      <c r="G180" s="1">
        <f>VLOOKUP(B180,BDREGISTROMINGA2025[],6,FALSE)</f>
        <v>0</v>
      </c>
      <c r="H180" s="1">
        <v>0</v>
      </c>
      <c r="I180" s="1">
        <v>0</v>
      </c>
      <c r="J180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81" spans="2:10" x14ac:dyDescent="0.3">
      <c r="B181" s="1">
        <f t="shared" si="2"/>
        <v>176</v>
      </c>
      <c r="C181" t="str">
        <f>IFERROR(VLOOKUP(BDOBLIGACIONES[[#This Row],[NROKARDEX]],BDPADRES[],8,FALSE),"Sin registrado")</f>
        <v>ELIZABETH AVILA ORTUÑO</v>
      </c>
      <c r="D181" s="1">
        <f>IF(VLOOKUP(B181,BDREGISTROAPORTES2025[],5,FALSE)="165",0,"165")</f>
        <v>0</v>
      </c>
      <c r="E181" s="1">
        <f>IF(VLOOKUP(B181,BDREGISTROBTH2025[],5,FALSE)="100",0,"100")</f>
        <v>0</v>
      </c>
      <c r="F181" s="1">
        <f>VLOOKUP(B181,BDREGISTROASAMBLEA2025[],8,FALSE)</f>
        <v>0</v>
      </c>
      <c r="G181" s="1">
        <f>VLOOKUP(B181,BDREGISTROMINGA2025[],6,FALSE)</f>
        <v>0</v>
      </c>
      <c r="H181" s="1">
        <v>0</v>
      </c>
      <c r="I181" s="1">
        <v>0</v>
      </c>
      <c r="J181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82" spans="2:10" x14ac:dyDescent="0.3">
      <c r="B182" s="1">
        <f t="shared" si="2"/>
        <v>177</v>
      </c>
      <c r="C182" t="str">
        <f>IFERROR(VLOOKUP(BDOBLIGACIONES[[#This Row],[NROKARDEX]],BDPADRES[],8,FALSE),"Sin registrado")</f>
        <v>CARLA PATRICIA LLANOS ESCOBAR</v>
      </c>
      <c r="D182" s="1">
        <f>IF(VLOOKUP(B182,BDREGISTROAPORTES2025[],5,FALSE)="165",0,"165")</f>
        <v>0</v>
      </c>
      <c r="E182" s="1">
        <f>IF(VLOOKUP(B182,BDREGISTROBTH2025[],5,FALSE)="100",0,"100")</f>
        <v>0</v>
      </c>
      <c r="F182" s="1">
        <f>VLOOKUP(B182,BDREGISTROASAMBLEA2025[],8,FALSE)</f>
        <v>0</v>
      </c>
      <c r="G182" s="1">
        <f>VLOOKUP(B182,BDREGISTROMINGA2025[],6,FALSE)</f>
        <v>0</v>
      </c>
      <c r="H182" s="1">
        <v>0</v>
      </c>
      <c r="I182" s="1">
        <v>0</v>
      </c>
      <c r="J182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83" spans="2:10" x14ac:dyDescent="0.3">
      <c r="B183" s="1">
        <f t="shared" si="2"/>
        <v>178</v>
      </c>
      <c r="C183" t="str">
        <f>IFERROR(VLOOKUP(BDOBLIGACIONES[[#This Row],[NROKARDEX]],BDPADRES[],8,FALSE),"Sin registrado")</f>
        <v>JULIETA MOLLO CONDORI</v>
      </c>
      <c r="D183" s="1">
        <f>IF(VLOOKUP(B183,BDREGISTROAPORTES2025[],5,FALSE)="165",0,"165")</f>
        <v>0</v>
      </c>
      <c r="E183" s="1">
        <f>IF(VLOOKUP(B183,BDREGISTROBTH2025[],5,FALSE)="100",0,"100")</f>
        <v>0</v>
      </c>
      <c r="F183" s="1">
        <f>VLOOKUP(B183,BDREGISTROASAMBLEA2025[],8,FALSE)</f>
        <v>0</v>
      </c>
      <c r="G183" s="1">
        <f>VLOOKUP(B183,BDREGISTROMINGA2025[],6,FALSE)</f>
        <v>0</v>
      </c>
      <c r="H183" s="1">
        <v>0</v>
      </c>
      <c r="I183" s="1">
        <v>0</v>
      </c>
      <c r="J183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84" spans="2:10" x14ac:dyDescent="0.3">
      <c r="B184" s="1">
        <f t="shared" si="2"/>
        <v>179</v>
      </c>
      <c r="C184" t="str">
        <f>IFERROR(VLOOKUP(BDOBLIGACIONES[[#This Row],[NROKARDEX]],BDPADRES[],8,FALSE),"Sin registrado")</f>
        <v>ELEONORA MAMANI RODRIGUEZ</v>
      </c>
      <c r="D184" s="1">
        <f>IF(VLOOKUP(B184,BDREGISTROAPORTES2025[],5,FALSE)="165",0,"165")</f>
        <v>0</v>
      </c>
      <c r="E184" s="1">
        <f>IF(VLOOKUP(B184,BDREGISTROBTH2025[],5,FALSE)="100",0,"100")</f>
        <v>0</v>
      </c>
      <c r="F184" s="1">
        <f>VLOOKUP(B184,BDREGISTROASAMBLEA2025[],8,FALSE)</f>
        <v>0</v>
      </c>
      <c r="G184" s="1">
        <f>VLOOKUP(B184,BDREGISTROMINGA2025[],6,FALSE)</f>
        <v>0</v>
      </c>
      <c r="H184" s="1">
        <v>0</v>
      </c>
      <c r="I184" s="1">
        <v>0</v>
      </c>
      <c r="J184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85" spans="2:10" x14ac:dyDescent="0.3">
      <c r="B185" s="1">
        <f t="shared" si="2"/>
        <v>180</v>
      </c>
      <c r="C185" t="str">
        <f>IFERROR(VLOOKUP(BDOBLIGACIONES[[#This Row],[NROKARDEX]],BDPADRES[],8,FALSE),"Sin registrado")</f>
        <v>FILOMENA RODRIGUEZ MORALES</v>
      </c>
      <c r="D185" s="1">
        <f>IF(VLOOKUP(B185,BDREGISTROAPORTES2025[],5,FALSE)="165",0,"165")</f>
        <v>0</v>
      </c>
      <c r="E185" s="1">
        <f>IF(VLOOKUP(B185,BDREGISTROBTH2025[],5,FALSE)="100",0,"100")</f>
        <v>0</v>
      </c>
      <c r="F185" s="1">
        <f>VLOOKUP(B185,BDREGISTROASAMBLEA2025[],8,FALSE)</f>
        <v>0</v>
      </c>
      <c r="G185" s="1">
        <f>VLOOKUP(B185,BDREGISTROMINGA2025[],6,FALSE)</f>
        <v>0</v>
      </c>
      <c r="H185" s="1">
        <v>0</v>
      </c>
      <c r="I185" s="1">
        <v>0</v>
      </c>
      <c r="J185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86" spans="2:10" x14ac:dyDescent="0.3">
      <c r="B186" s="1">
        <f t="shared" si="2"/>
        <v>181</v>
      </c>
      <c r="C186" t="str">
        <f>IFERROR(VLOOKUP(BDOBLIGACIONES[[#This Row],[NROKARDEX]],BDPADRES[],8,FALSE),"Sin registrado")</f>
        <v>YAQUELIN CHAVEZ AYAVIRI</v>
      </c>
      <c r="D186" s="1">
        <f>IF(VLOOKUP(B186,BDREGISTROAPORTES2025[],5,FALSE)="165",0,"165")</f>
        <v>0</v>
      </c>
      <c r="E186" s="1">
        <f>IF(VLOOKUP(B186,BDREGISTROBTH2025[],5,FALSE)="100",0,"100")</f>
        <v>0</v>
      </c>
      <c r="F186" s="1">
        <f>VLOOKUP(B186,BDREGISTROASAMBLEA2025[],8,FALSE)</f>
        <v>0</v>
      </c>
      <c r="G186" s="1">
        <f>VLOOKUP(B186,BDREGISTROMINGA2025[],6,FALSE)</f>
        <v>0</v>
      </c>
      <c r="H186" s="1">
        <v>0</v>
      </c>
      <c r="I186" s="1">
        <v>0</v>
      </c>
      <c r="J186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87" spans="2:10" x14ac:dyDescent="0.3">
      <c r="B187" s="1">
        <f t="shared" si="2"/>
        <v>182</v>
      </c>
      <c r="C187" t="str">
        <f>IFERROR(VLOOKUP(BDOBLIGACIONES[[#This Row],[NROKARDEX]],BDPADRES[],8,FALSE),"Sin registrado")</f>
        <v>FRANCISCA  HERRERA ANDRADE</v>
      </c>
      <c r="D187" s="1">
        <f>IF(VLOOKUP(B187,BDREGISTROAPORTES2025[],5,FALSE)="165",0,"165")</f>
        <v>0</v>
      </c>
      <c r="E187" s="1">
        <f>IF(VLOOKUP(B187,BDREGISTROBTH2025[],5,FALSE)="100",0,"100")</f>
        <v>0</v>
      </c>
      <c r="F187" s="1">
        <f>VLOOKUP(B187,BDREGISTROASAMBLEA2025[],8,FALSE)</f>
        <v>0</v>
      </c>
      <c r="G187" s="1">
        <f>VLOOKUP(B187,BDREGISTROMINGA2025[],6,FALSE)</f>
        <v>0</v>
      </c>
      <c r="H187" s="1">
        <v>0</v>
      </c>
      <c r="I187" s="1">
        <v>0</v>
      </c>
      <c r="J187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88" spans="2:10" x14ac:dyDescent="0.3">
      <c r="B188" s="1">
        <f t="shared" si="2"/>
        <v>183</v>
      </c>
      <c r="C188" t="str">
        <f>IFERROR(VLOOKUP(BDOBLIGACIONES[[#This Row],[NROKARDEX]],BDPADRES[],8,FALSE),"Sin registrado")</f>
        <v>JULIA  ACARAPI PORCEL</v>
      </c>
      <c r="D188" s="1">
        <f>IF(VLOOKUP(B188,BDREGISTROAPORTES2025[],5,FALSE)="165",0,"165")</f>
        <v>0</v>
      </c>
      <c r="E188" s="1">
        <f>IF(VLOOKUP(B188,BDREGISTROBTH2025[],5,FALSE)="100",0,"100")</f>
        <v>0</v>
      </c>
      <c r="F188" s="1">
        <f>VLOOKUP(B188,BDREGISTROASAMBLEA2025[],8,FALSE)</f>
        <v>0</v>
      </c>
      <c r="G188" s="1">
        <f>VLOOKUP(B188,BDREGISTROMINGA2025[],6,FALSE)</f>
        <v>0</v>
      </c>
      <c r="H188" s="1">
        <v>0</v>
      </c>
      <c r="I188" s="1">
        <v>0</v>
      </c>
      <c r="J188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89" spans="2:10" x14ac:dyDescent="0.3">
      <c r="B189" s="1">
        <f t="shared" si="2"/>
        <v>184</v>
      </c>
      <c r="C189" t="str">
        <f>IFERROR(VLOOKUP(BDOBLIGACIONES[[#This Row],[NROKARDEX]],BDPADRES[],8,FALSE),"Sin registrado")</f>
        <v>REYNA CARRIAZO BALLESTEROS</v>
      </c>
      <c r="D189" s="1">
        <f>IF(VLOOKUP(B189,BDREGISTROAPORTES2025[],5,FALSE)="165",0,"165")</f>
        <v>0</v>
      </c>
      <c r="E189" s="1" t="str">
        <f>IF(VLOOKUP(B189,BDREGISTROBTH2025[],5,FALSE)="100",0,"100")</f>
        <v>100</v>
      </c>
      <c r="F189" s="1">
        <f>VLOOKUP(B189,BDREGISTROASAMBLEA2025[],8,FALSE)</f>
        <v>0</v>
      </c>
      <c r="G189" s="1">
        <f>VLOOKUP(B189,BDREGISTROMINGA2025[],6,FALSE)</f>
        <v>0</v>
      </c>
      <c r="H189" s="1">
        <v>0</v>
      </c>
      <c r="I189" s="1">
        <v>0</v>
      </c>
      <c r="J189" s="1">
        <f>BDOBLIGACIONES[[#This Row],[ASAMBLEA]]+BDOBLIGACIONES[[#This Row],[MINGA]]+BDOBLIGACIONES[[#This Row],[DELEGADOS]]+BDOBLIGACIONES[[#This Row],[CURSO]]+BDOBLIGACIONES[[#This Row],[APORTE]]+BDOBLIGACIONES[[#This Row],[BTH]]</f>
        <v>100</v>
      </c>
    </row>
    <row r="190" spans="2:10" x14ac:dyDescent="0.3">
      <c r="B190" s="1">
        <f t="shared" si="2"/>
        <v>185</v>
      </c>
      <c r="C190" t="str">
        <f>IFERROR(VLOOKUP(BDOBLIGACIONES[[#This Row],[NROKARDEX]],BDPADRES[],8,FALSE),"Sin registrado")</f>
        <v>MIRTHA RUEDA LOPEZ</v>
      </c>
      <c r="D190" s="1">
        <f>IF(VLOOKUP(B190,BDREGISTROAPORTES2025[],5,FALSE)="165",0,"165")</f>
        <v>0</v>
      </c>
      <c r="E190" s="1">
        <f>IF(VLOOKUP(B190,BDREGISTROBTH2025[],5,FALSE)="100",0,"100")</f>
        <v>0</v>
      </c>
      <c r="F190" s="1">
        <f>VLOOKUP(B190,BDREGISTROASAMBLEA2025[],8,FALSE)</f>
        <v>0</v>
      </c>
      <c r="G190" s="1">
        <f>VLOOKUP(B190,BDREGISTROMINGA2025[],6,FALSE)</f>
        <v>0</v>
      </c>
      <c r="H190" s="1">
        <v>0</v>
      </c>
      <c r="I190" s="1">
        <v>0</v>
      </c>
      <c r="J190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91" spans="2:10" x14ac:dyDescent="0.3">
      <c r="B191" s="1">
        <f t="shared" si="2"/>
        <v>186</v>
      </c>
      <c r="C191" t="str">
        <f>IFERROR(VLOOKUP(BDOBLIGACIONES[[#This Row],[NROKARDEX]],BDPADRES[],8,FALSE),"Sin registrado")</f>
        <v>MARTHA RODRIGUEZ SILES</v>
      </c>
      <c r="D191" s="1">
        <f>IF(VLOOKUP(B191,BDREGISTROAPORTES2025[],5,FALSE)="165",0,"165")</f>
        <v>0</v>
      </c>
      <c r="E191" s="1">
        <f>IF(VLOOKUP(B191,BDREGISTROBTH2025[],5,FALSE)="100",0,"100")</f>
        <v>0</v>
      </c>
      <c r="F191" s="1">
        <f>VLOOKUP(B191,BDREGISTROASAMBLEA2025[],8,FALSE)</f>
        <v>0</v>
      </c>
      <c r="G191" s="1">
        <f>VLOOKUP(B191,BDREGISTROMINGA2025[],6,FALSE)</f>
        <v>0</v>
      </c>
      <c r="H191" s="1">
        <v>0</v>
      </c>
      <c r="I191" s="1">
        <v>0</v>
      </c>
      <c r="J191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92" spans="2:10" x14ac:dyDescent="0.3">
      <c r="B192" s="1">
        <f t="shared" si="2"/>
        <v>187</v>
      </c>
      <c r="C192" t="str">
        <f>IFERROR(VLOOKUP(BDOBLIGACIONES[[#This Row],[NROKARDEX]],BDPADRES[],8,FALSE),"Sin registrado")</f>
        <v>AURORA SOLIZ QUIROZ</v>
      </c>
      <c r="D192" s="1">
        <f>IF(VLOOKUP(B192,BDREGISTROAPORTES2025[],5,FALSE)="165",0,"165")</f>
        <v>0</v>
      </c>
      <c r="E192" s="1">
        <f>IF(VLOOKUP(B192,BDREGISTROBTH2025[],5,FALSE)="100",0,"100")</f>
        <v>0</v>
      </c>
      <c r="F192" s="1">
        <f>VLOOKUP(B192,BDREGISTROASAMBLEA2025[],8,FALSE)</f>
        <v>0</v>
      </c>
      <c r="G192" s="1">
        <f>VLOOKUP(B192,BDREGISTROMINGA2025[],6,FALSE)</f>
        <v>0</v>
      </c>
      <c r="H192" s="1">
        <v>0</v>
      </c>
      <c r="I192" s="1">
        <v>0</v>
      </c>
      <c r="J192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93" spans="2:10" x14ac:dyDescent="0.3">
      <c r="B193" s="1">
        <f t="shared" si="2"/>
        <v>188</v>
      </c>
      <c r="C193" t="str">
        <f>IFERROR(VLOOKUP(BDOBLIGACIONES[[#This Row],[NROKARDEX]],BDPADRES[],8,FALSE),"Sin registrado")</f>
        <v>DEYSI YPURANI CARICARI</v>
      </c>
      <c r="D193" s="1">
        <f>IF(VLOOKUP(B193,BDREGISTROAPORTES2025[],5,FALSE)="165",0,"165")</f>
        <v>0</v>
      </c>
      <c r="E193" s="1">
        <f>IF(VLOOKUP(B193,BDREGISTROBTH2025[],5,FALSE)="100",0,"100")</f>
        <v>0</v>
      </c>
      <c r="F193" s="1">
        <f>VLOOKUP(B193,BDREGISTROASAMBLEA2025[],8,FALSE)</f>
        <v>0</v>
      </c>
      <c r="G193" s="1">
        <f>VLOOKUP(B193,BDREGISTROMINGA2025[],6,FALSE)</f>
        <v>0</v>
      </c>
      <c r="H193" s="1">
        <v>0</v>
      </c>
      <c r="I193" s="1">
        <v>0</v>
      </c>
      <c r="J193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94" spans="2:10" x14ac:dyDescent="0.3">
      <c r="B194" s="1">
        <f t="shared" si="2"/>
        <v>189</v>
      </c>
      <c r="C194" t="str">
        <f>IFERROR(VLOOKUP(BDOBLIGACIONES[[#This Row],[NROKARDEX]],BDPADRES[],8,FALSE),"Sin registrado")</f>
        <v>ERLINDA PACO DURAN</v>
      </c>
      <c r="D194" s="1">
        <f>IF(VLOOKUP(B194,BDREGISTROAPORTES2025[],5,FALSE)="165",0,"165")</f>
        <v>0</v>
      </c>
      <c r="E194" s="1">
        <f>IF(VLOOKUP(B194,BDREGISTROBTH2025[],5,FALSE)="100",0,"100")</f>
        <v>0</v>
      </c>
      <c r="F194" s="1">
        <f>VLOOKUP(B194,BDREGISTROASAMBLEA2025[],8,FALSE)</f>
        <v>0</v>
      </c>
      <c r="G194" s="1">
        <f>VLOOKUP(B194,BDREGISTROMINGA2025[],6,FALSE)</f>
        <v>0</v>
      </c>
      <c r="H194" s="1">
        <v>0</v>
      </c>
      <c r="I194" s="1">
        <v>0</v>
      </c>
      <c r="J194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95" spans="2:10" x14ac:dyDescent="0.3">
      <c r="B195" s="1">
        <f t="shared" si="2"/>
        <v>190</v>
      </c>
      <c r="C195" t="str">
        <f>IFERROR(VLOOKUP(BDOBLIGACIONES[[#This Row],[NROKARDEX]],BDPADRES[],8,FALSE),"Sin registrado")</f>
        <v>YOBANA GUTIERREZ VACA</v>
      </c>
      <c r="D195" s="1">
        <f>IF(VLOOKUP(B195,BDREGISTROAPORTES2025[],5,FALSE)="165",0,"165")</f>
        <v>0</v>
      </c>
      <c r="E195" s="1">
        <f>IF(VLOOKUP(B195,BDREGISTROBTH2025[],5,FALSE)="100",0,"100")</f>
        <v>0</v>
      </c>
      <c r="F195" s="1">
        <f>VLOOKUP(B195,BDREGISTROASAMBLEA2025[],8,FALSE)</f>
        <v>0</v>
      </c>
      <c r="G195" s="1">
        <f>VLOOKUP(B195,BDREGISTROMINGA2025[],6,FALSE)</f>
        <v>0</v>
      </c>
      <c r="H195" s="1">
        <v>0</v>
      </c>
      <c r="I195" s="1">
        <v>0</v>
      </c>
      <c r="J195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96" spans="2:10" x14ac:dyDescent="0.3">
      <c r="B196" s="1">
        <f t="shared" si="2"/>
        <v>191</v>
      </c>
      <c r="C196" t="str">
        <f>IFERROR(VLOOKUP(BDOBLIGACIONES[[#This Row],[NROKARDEX]],BDPADRES[],8,FALSE),"Sin registrado")</f>
        <v>VERONICA CHOQUE LLANOS</v>
      </c>
      <c r="D196" s="1">
        <f>IF(VLOOKUP(B196,BDREGISTROAPORTES2025[],5,FALSE)="165",0,"165")</f>
        <v>0</v>
      </c>
      <c r="E196" s="1">
        <f>IF(VLOOKUP(B196,BDREGISTROBTH2025[],5,FALSE)="100",0,"100")</f>
        <v>0</v>
      </c>
      <c r="F196" s="1">
        <f>VLOOKUP(B196,BDREGISTROASAMBLEA2025[],8,FALSE)</f>
        <v>0</v>
      </c>
      <c r="G196" s="1">
        <f>VLOOKUP(B196,BDREGISTROMINGA2025[],6,FALSE)</f>
        <v>0</v>
      </c>
      <c r="H196" s="1">
        <v>0</v>
      </c>
      <c r="I196" s="1">
        <v>0</v>
      </c>
      <c r="J196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97" spans="2:10" x14ac:dyDescent="0.3">
      <c r="B197" s="1">
        <f t="shared" si="2"/>
        <v>192</v>
      </c>
      <c r="C197" t="str">
        <f>IFERROR(VLOOKUP(BDOBLIGACIONES[[#This Row],[NROKARDEX]],BDPADRES[],8,FALSE),"Sin registrado")</f>
        <v>SONIA CUEBAS VILLAGOMES</v>
      </c>
      <c r="D197" s="1">
        <f>IF(VLOOKUP(B197,BDREGISTROAPORTES2025[],5,FALSE)="165",0,"165")</f>
        <v>0</v>
      </c>
      <c r="E197" s="1">
        <f>IF(VLOOKUP(B197,BDREGISTROBTH2025[],5,FALSE)="100",0,"100")</f>
        <v>0</v>
      </c>
      <c r="F197" s="1">
        <f>VLOOKUP(B197,BDREGISTROASAMBLEA2025[],8,FALSE)</f>
        <v>0</v>
      </c>
      <c r="G197" s="1">
        <f>VLOOKUP(B197,BDREGISTROMINGA2025[],6,FALSE)</f>
        <v>0</v>
      </c>
      <c r="H197" s="1">
        <v>0</v>
      </c>
      <c r="I197" s="1">
        <v>0</v>
      </c>
      <c r="J197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98" spans="2:10" x14ac:dyDescent="0.3">
      <c r="B198" s="1">
        <f t="shared" si="2"/>
        <v>193</v>
      </c>
      <c r="C198" t="str">
        <f>IFERROR(VLOOKUP(BDOBLIGACIONES[[#This Row],[NROKARDEX]],BDPADRES[],8,FALSE),"Sin registrado")</f>
        <v>YUELY FERNANDEZ OSINAGA</v>
      </c>
      <c r="D198" s="1">
        <f>IF(VLOOKUP(B198,BDREGISTROAPORTES2025[],5,FALSE)="165",0,"165")</f>
        <v>0</v>
      </c>
      <c r="E198" s="1">
        <f>IF(VLOOKUP(B198,BDREGISTROBTH2025[],5,FALSE)="100",0,"100")</f>
        <v>0</v>
      </c>
      <c r="F198" s="1">
        <f>VLOOKUP(B198,BDREGISTROASAMBLEA2025[],8,FALSE)</f>
        <v>0</v>
      </c>
      <c r="G198" s="1">
        <f>VLOOKUP(B198,BDREGISTROMINGA2025[],6,FALSE)</f>
        <v>0</v>
      </c>
      <c r="H198" s="1">
        <v>0</v>
      </c>
      <c r="I198" s="1">
        <v>0</v>
      </c>
      <c r="J198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199" spans="2:10" x14ac:dyDescent="0.3">
      <c r="B199" s="1">
        <f t="shared" si="2"/>
        <v>194</v>
      </c>
      <c r="C199" t="str">
        <f>IFERROR(VLOOKUP(BDOBLIGACIONES[[#This Row],[NROKARDEX]],BDPADRES[],8,FALSE),"Sin registrado")</f>
        <v>JACINTA RAMOS REINA</v>
      </c>
      <c r="D199" s="1">
        <f>IF(VLOOKUP(B199,BDREGISTROAPORTES2025[],5,FALSE)="165",0,"165")</f>
        <v>0</v>
      </c>
      <c r="E199" s="1">
        <f>IF(VLOOKUP(B199,BDREGISTROBTH2025[],5,FALSE)="100",0,"100")</f>
        <v>0</v>
      </c>
      <c r="F199" s="1">
        <f>VLOOKUP(B199,BDREGISTROASAMBLEA2025[],8,FALSE)</f>
        <v>0</v>
      </c>
      <c r="G199" s="1">
        <f>VLOOKUP(B199,BDREGISTROMINGA2025[],6,FALSE)</f>
        <v>0</v>
      </c>
      <c r="H199" s="1">
        <v>0</v>
      </c>
      <c r="I199" s="1">
        <v>0</v>
      </c>
      <c r="J199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00" spans="2:10" x14ac:dyDescent="0.3">
      <c r="B200" s="1">
        <f t="shared" si="2"/>
        <v>195</v>
      </c>
      <c r="C200" t="str">
        <f>IFERROR(VLOOKUP(BDOBLIGACIONES[[#This Row],[NROKARDEX]],BDPADRES[],8,FALSE),"Sin registrado")</f>
        <v>JUANA EDITH SALAZAR</v>
      </c>
      <c r="D200" s="1">
        <f>IF(VLOOKUP(B200,BDREGISTROAPORTES2025[],5,FALSE)="165",0,"165")</f>
        <v>0</v>
      </c>
      <c r="E200" s="1">
        <f>IF(VLOOKUP(B200,BDREGISTROBTH2025[],5,FALSE)="100",0,"100")</f>
        <v>0</v>
      </c>
      <c r="F200" s="1">
        <f>VLOOKUP(B200,BDREGISTROASAMBLEA2025[],8,FALSE)</f>
        <v>0</v>
      </c>
      <c r="G200" s="1">
        <f>VLOOKUP(B200,BDREGISTROMINGA2025[],6,FALSE)</f>
        <v>0</v>
      </c>
      <c r="H200" s="1">
        <v>0</v>
      </c>
      <c r="I200" s="1">
        <v>0</v>
      </c>
      <c r="J200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01" spans="2:10" x14ac:dyDescent="0.3">
      <c r="B201" s="1">
        <f t="shared" ref="B201:B264" si="3">ROW(A196)</f>
        <v>196</v>
      </c>
      <c r="C201" t="str">
        <f>IFERROR(VLOOKUP(BDOBLIGACIONES[[#This Row],[NROKARDEX]],BDPADRES[],8,FALSE),"Sin registrado")</f>
        <v>MARIA ESTHER MAMANI ORELLANA</v>
      </c>
      <c r="D201" s="1">
        <f>IF(VLOOKUP(B201,BDREGISTROAPORTES2025[],5,FALSE)="165",0,"165")</f>
        <v>0</v>
      </c>
      <c r="E201" s="1">
        <f>IF(VLOOKUP(B201,BDREGISTROBTH2025[],5,FALSE)="100",0,"100")</f>
        <v>0</v>
      </c>
      <c r="F201" s="1">
        <f>VLOOKUP(B201,BDREGISTROASAMBLEA2025[],8,FALSE)</f>
        <v>0</v>
      </c>
      <c r="G201" s="1">
        <f>VLOOKUP(B201,BDREGISTROMINGA2025[],6,FALSE)</f>
        <v>0</v>
      </c>
      <c r="H201" s="1">
        <v>0</v>
      </c>
      <c r="I201" s="1">
        <v>0</v>
      </c>
      <c r="J201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02" spans="2:10" x14ac:dyDescent="0.3">
      <c r="B202" s="1">
        <f t="shared" si="3"/>
        <v>197</v>
      </c>
      <c r="C202" t="str">
        <f>IFERROR(VLOOKUP(BDOBLIGACIONES[[#This Row],[NROKARDEX]],BDPADRES[],8,FALSE),"Sin registrado")</f>
        <v>VERONICA FLORES ABREGO</v>
      </c>
      <c r="D202" s="1">
        <f>IF(VLOOKUP(B202,BDREGISTROAPORTES2025[],5,FALSE)="165",0,"165")</f>
        <v>0</v>
      </c>
      <c r="E202" s="1">
        <f>IF(VLOOKUP(B202,BDREGISTROBTH2025[],5,FALSE)="100",0,"100")</f>
        <v>0</v>
      </c>
      <c r="F202" s="1">
        <f>VLOOKUP(B202,BDREGISTROASAMBLEA2025[],8,FALSE)</f>
        <v>0</v>
      </c>
      <c r="G202" s="1">
        <f>VLOOKUP(B202,BDREGISTROMINGA2025[],6,FALSE)</f>
        <v>0</v>
      </c>
      <c r="H202" s="1">
        <v>0</v>
      </c>
      <c r="I202" s="1">
        <v>0</v>
      </c>
      <c r="J202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03" spans="2:10" x14ac:dyDescent="0.3">
      <c r="B203" s="1">
        <f t="shared" si="3"/>
        <v>198</v>
      </c>
      <c r="C203" t="str">
        <f>IFERROR(VLOOKUP(BDOBLIGACIONES[[#This Row],[NROKARDEX]],BDPADRES[],8,FALSE),"Sin registrado")</f>
        <v>JUDITH VEIZAGA PINTO</v>
      </c>
      <c r="D203" s="1">
        <f>IF(VLOOKUP(B203,BDREGISTROAPORTES2025[],5,FALSE)="165",0,"165")</f>
        <v>0</v>
      </c>
      <c r="E203" s="1">
        <f>IF(VLOOKUP(B203,BDREGISTROBTH2025[],5,FALSE)="100",0,"100")</f>
        <v>0</v>
      </c>
      <c r="F203" s="1">
        <f>VLOOKUP(B203,BDREGISTROASAMBLEA2025[],8,FALSE)</f>
        <v>0</v>
      </c>
      <c r="G203" s="1">
        <f>VLOOKUP(B203,BDREGISTROMINGA2025[],6,FALSE)</f>
        <v>0</v>
      </c>
      <c r="H203" s="1">
        <v>0</v>
      </c>
      <c r="I203" s="1">
        <v>0</v>
      </c>
      <c r="J203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04" spans="2:10" x14ac:dyDescent="0.3">
      <c r="B204" s="1">
        <f t="shared" si="3"/>
        <v>199</v>
      </c>
      <c r="C204" t="str">
        <f>IFERROR(VLOOKUP(BDOBLIGACIONES[[#This Row],[NROKARDEX]],BDPADRES[],8,FALSE),"Sin registrado")</f>
        <v>LUISA ROJAS SEVERICHE</v>
      </c>
      <c r="D204" s="1">
        <f>IF(VLOOKUP(B204,BDREGISTROAPORTES2025[],5,FALSE)="165",0,"165")</f>
        <v>0</v>
      </c>
      <c r="E204" s="1" t="str">
        <f>IF(VLOOKUP(B204,BDREGISTROBTH2025[],5,FALSE)="100",0,"100")</f>
        <v>100</v>
      </c>
      <c r="F204" s="1">
        <f>VLOOKUP(B204,BDREGISTROASAMBLEA2025[],8,FALSE)</f>
        <v>0</v>
      </c>
      <c r="G204" s="1">
        <f>VLOOKUP(B204,BDREGISTROMINGA2025[],6,FALSE)</f>
        <v>0</v>
      </c>
      <c r="H204" s="1">
        <v>0</v>
      </c>
      <c r="I204" s="1">
        <v>0</v>
      </c>
      <c r="J204" s="1">
        <f>BDOBLIGACIONES[[#This Row],[ASAMBLEA]]+BDOBLIGACIONES[[#This Row],[MINGA]]+BDOBLIGACIONES[[#This Row],[DELEGADOS]]+BDOBLIGACIONES[[#This Row],[CURSO]]+BDOBLIGACIONES[[#This Row],[APORTE]]+BDOBLIGACIONES[[#This Row],[BTH]]</f>
        <v>100</v>
      </c>
    </row>
    <row r="205" spans="2:10" x14ac:dyDescent="0.3">
      <c r="B205" s="1">
        <f t="shared" si="3"/>
        <v>200</v>
      </c>
      <c r="C205" t="str">
        <f>IFERROR(VLOOKUP(BDOBLIGACIONES[[#This Row],[NROKARDEX]],BDPADRES[],8,FALSE),"Sin registrado")</f>
        <v>YOSELIN ARAMAYO SANCHEZ</v>
      </c>
      <c r="D205" s="1">
        <f>IF(VLOOKUP(B205,BDREGISTROAPORTES2025[],5,FALSE)="165",0,"165")</f>
        <v>0</v>
      </c>
      <c r="E205" s="1">
        <f>IF(VLOOKUP(B205,BDREGISTROBTH2025[],5,FALSE)="100",0,"100")</f>
        <v>0</v>
      </c>
      <c r="F205" s="1">
        <f>VLOOKUP(B205,BDREGISTROASAMBLEA2025[],8,FALSE)</f>
        <v>0</v>
      </c>
      <c r="G205" s="1">
        <f>VLOOKUP(B205,BDREGISTROMINGA2025[],6,FALSE)</f>
        <v>0</v>
      </c>
      <c r="H205" s="1">
        <v>0</v>
      </c>
      <c r="I205" s="1">
        <v>0</v>
      </c>
      <c r="J205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06" spans="2:10" x14ac:dyDescent="0.3">
      <c r="B206" s="1">
        <f t="shared" si="3"/>
        <v>201</v>
      </c>
      <c r="C206" t="str">
        <f>IFERROR(VLOOKUP(BDOBLIGACIONES[[#This Row],[NROKARDEX]],BDPADRES[],8,FALSE),"Sin registrado")</f>
        <v>LUCIA TORRICO VILLARRUEL</v>
      </c>
      <c r="D206" s="1">
        <f>IF(VLOOKUP(B206,BDREGISTROAPORTES2025[],5,FALSE)="165",0,"165")</f>
        <v>0</v>
      </c>
      <c r="E206" s="1">
        <f>IF(VLOOKUP(B206,BDREGISTROBTH2025[],5,FALSE)="100",0,"100")</f>
        <v>0</v>
      </c>
      <c r="F206" s="1">
        <f>VLOOKUP(B206,BDREGISTROASAMBLEA2025[],8,FALSE)</f>
        <v>0</v>
      </c>
      <c r="G206" s="1">
        <f>VLOOKUP(B206,BDREGISTROMINGA2025[],6,FALSE)</f>
        <v>0</v>
      </c>
      <c r="H206" s="1">
        <v>0</v>
      </c>
      <c r="I206" s="1">
        <v>0</v>
      </c>
      <c r="J206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07" spans="2:10" x14ac:dyDescent="0.3">
      <c r="B207" s="1">
        <f t="shared" si="3"/>
        <v>202</v>
      </c>
      <c r="C207" t="str">
        <f>IFERROR(VLOOKUP(BDOBLIGACIONES[[#This Row],[NROKARDEX]],BDPADRES[],8,FALSE),"Sin registrado")</f>
        <v>DELIA   VIZA CHOQUE</v>
      </c>
      <c r="D207" s="1">
        <f>IF(VLOOKUP(B207,BDREGISTROAPORTES2025[],5,FALSE)="165",0,"165")</f>
        <v>0</v>
      </c>
      <c r="E207" s="1">
        <f>IF(VLOOKUP(B207,BDREGISTROBTH2025[],5,FALSE)="100",0,"100")</f>
        <v>0</v>
      </c>
      <c r="F207" s="1">
        <f>VLOOKUP(B207,BDREGISTROASAMBLEA2025[],8,FALSE)</f>
        <v>0</v>
      </c>
      <c r="G207" s="1">
        <f>VLOOKUP(B207,BDREGISTROMINGA2025[],6,FALSE)</f>
        <v>0</v>
      </c>
      <c r="H207" s="1">
        <v>0</v>
      </c>
      <c r="I207" s="1">
        <v>0</v>
      </c>
      <c r="J207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08" spans="2:10" x14ac:dyDescent="0.3">
      <c r="B208" s="1">
        <f t="shared" si="3"/>
        <v>203</v>
      </c>
      <c r="C208" t="str">
        <f>IFERROR(VLOOKUP(BDOBLIGACIONES[[#This Row],[NROKARDEX]],BDPADRES[],8,FALSE),"Sin registrado")</f>
        <v>LIDIA SARDAN ROMERO</v>
      </c>
      <c r="D208" s="1">
        <f>IF(VLOOKUP(B208,BDREGISTROAPORTES2025[],5,FALSE)="165",0,"165")</f>
        <v>0</v>
      </c>
      <c r="E208" s="1">
        <f>IF(VLOOKUP(B208,BDREGISTROBTH2025[],5,FALSE)="100",0,"100")</f>
        <v>0</v>
      </c>
      <c r="F208" s="1">
        <f>VLOOKUP(B208,BDREGISTROASAMBLEA2025[],8,FALSE)</f>
        <v>0</v>
      </c>
      <c r="G208" s="1">
        <f>VLOOKUP(B208,BDREGISTROMINGA2025[],6,FALSE)</f>
        <v>0</v>
      </c>
      <c r="H208" s="1">
        <v>0</v>
      </c>
      <c r="I208" s="1">
        <v>0</v>
      </c>
      <c r="J208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09" spans="2:10" x14ac:dyDescent="0.3">
      <c r="B209" s="1">
        <f t="shared" si="3"/>
        <v>204</v>
      </c>
      <c r="C209" t="str">
        <f>IFERROR(VLOOKUP(BDOBLIGACIONES[[#This Row],[NROKARDEX]],BDPADRES[],8,FALSE),"Sin registrado")</f>
        <v>MARIOLY  GIRON RIBERA</v>
      </c>
      <c r="D209" s="1">
        <f>IF(VLOOKUP(B209,BDREGISTROAPORTES2025[],5,FALSE)="165",0,"165")</f>
        <v>0</v>
      </c>
      <c r="E209" s="1">
        <f>IF(VLOOKUP(B209,BDREGISTROBTH2025[],5,FALSE)="100",0,"100")</f>
        <v>0</v>
      </c>
      <c r="F209" s="1">
        <f>VLOOKUP(B209,BDREGISTROASAMBLEA2025[],8,FALSE)</f>
        <v>0</v>
      </c>
      <c r="G209" s="1">
        <f>VLOOKUP(B209,BDREGISTROMINGA2025[],6,FALSE)</f>
        <v>0</v>
      </c>
      <c r="H209" s="1">
        <v>0</v>
      </c>
      <c r="I209" s="1">
        <v>0</v>
      </c>
      <c r="J209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10" spans="2:10" x14ac:dyDescent="0.3">
      <c r="B210" s="1">
        <f t="shared" si="3"/>
        <v>205</v>
      </c>
      <c r="C210" s="8" t="str">
        <f>IFERROR(VLOOKUP(BDOBLIGACIONES[[#This Row],[NROKARDEX]],BDPADRES[],8,FALSE),"Sin registrado")</f>
        <v>Sin registrado</v>
      </c>
      <c r="D210" s="1" t="str">
        <f>IF(VLOOKUP(B210,BDREGISTROAPORTES2025[],5,FALSE)="165",0,"165")</f>
        <v>165</v>
      </c>
      <c r="E210" s="1" t="str">
        <f>IF(VLOOKUP(B210,BDREGISTROBTH2025[],5,FALSE)="100",0,"100")</f>
        <v>100</v>
      </c>
      <c r="F210" s="1">
        <f>VLOOKUP(B210,BDREGISTROASAMBLEA2025[],8,FALSE)</f>
        <v>0</v>
      </c>
      <c r="G210" s="1">
        <f>VLOOKUP(B210,BDREGISTROMINGA2025[],6,FALSE)</f>
        <v>0</v>
      </c>
      <c r="H210" s="1">
        <v>0</v>
      </c>
      <c r="I210" s="1">
        <v>0</v>
      </c>
      <c r="J210" s="1">
        <f>BDOBLIGACIONES[[#This Row],[ASAMBLEA]]+BDOBLIGACIONES[[#This Row],[MINGA]]+BDOBLIGACIONES[[#This Row],[DELEGADOS]]+BDOBLIGACIONES[[#This Row],[CURSO]]+BDOBLIGACIONES[[#This Row],[APORTE]]+BDOBLIGACIONES[[#This Row],[BTH]]</f>
        <v>265</v>
      </c>
    </row>
    <row r="211" spans="2:10" x14ac:dyDescent="0.3">
      <c r="B211" s="1">
        <f t="shared" si="3"/>
        <v>206</v>
      </c>
      <c r="C211" t="str">
        <f>IFERROR(VLOOKUP(BDOBLIGACIONES[[#This Row],[NROKARDEX]],BDPADRES[],8,FALSE),"Sin registrado")</f>
        <v>JUAQUINA FLORES CRUZ</v>
      </c>
      <c r="D211" s="1">
        <f>IF(VLOOKUP(B211,BDREGISTROAPORTES2025[],5,FALSE)="165",0,"165")</f>
        <v>0</v>
      </c>
      <c r="E211" s="1">
        <f>IF(VLOOKUP(B211,BDREGISTROBTH2025[],5,FALSE)="100",0,"100")</f>
        <v>0</v>
      </c>
      <c r="F211" s="1">
        <f>VLOOKUP(B211,BDREGISTROASAMBLEA2025[],8,FALSE)</f>
        <v>0</v>
      </c>
      <c r="G211" s="1">
        <f>VLOOKUP(B211,BDREGISTROMINGA2025[],6,FALSE)</f>
        <v>0</v>
      </c>
      <c r="H211" s="1">
        <v>0</v>
      </c>
      <c r="I211" s="1">
        <v>0</v>
      </c>
      <c r="J211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12" spans="2:10" x14ac:dyDescent="0.3">
      <c r="B212" s="1">
        <f t="shared" si="3"/>
        <v>207</v>
      </c>
      <c r="C212" t="str">
        <f>IFERROR(VLOOKUP(BDOBLIGACIONES[[#This Row],[NROKARDEX]],BDPADRES[],8,FALSE),"Sin registrado")</f>
        <v>ELVIRA ORIAS CESPEDES</v>
      </c>
      <c r="D212" s="1">
        <f>IF(VLOOKUP(B212,BDREGISTROAPORTES2025[],5,FALSE)="165",0,"165")</f>
        <v>0</v>
      </c>
      <c r="E212" s="1">
        <f>IF(VLOOKUP(B212,BDREGISTROBTH2025[],5,FALSE)="100",0,"100")</f>
        <v>0</v>
      </c>
      <c r="F212" s="1">
        <f>VLOOKUP(B212,BDREGISTROASAMBLEA2025[],8,FALSE)</f>
        <v>0</v>
      </c>
      <c r="G212" s="1">
        <f>VLOOKUP(B212,BDREGISTROMINGA2025[],6,FALSE)</f>
        <v>0</v>
      </c>
      <c r="H212" s="1">
        <v>0</v>
      </c>
      <c r="I212" s="1">
        <v>0</v>
      </c>
      <c r="J212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13" spans="2:10" x14ac:dyDescent="0.3">
      <c r="B213" s="1">
        <f t="shared" si="3"/>
        <v>208</v>
      </c>
      <c r="C213" t="str">
        <f>IFERROR(VLOOKUP(BDOBLIGACIONES[[#This Row],[NROKARDEX]],BDPADRES[],8,FALSE),"Sin registrado")</f>
        <v>MARTHA BARRIENTOS CARABALLO</v>
      </c>
      <c r="D213" s="1">
        <f>IF(VLOOKUP(B213,BDREGISTROAPORTES2025[],5,FALSE)="165",0,"165")</f>
        <v>0</v>
      </c>
      <c r="E213" s="1">
        <f>IF(VLOOKUP(B213,BDREGISTROBTH2025[],5,FALSE)="100",0,"100")</f>
        <v>0</v>
      </c>
      <c r="F213" s="1">
        <f>VLOOKUP(B213,BDREGISTROASAMBLEA2025[],8,FALSE)</f>
        <v>0</v>
      </c>
      <c r="G213" s="1">
        <f>VLOOKUP(B213,BDREGISTROMINGA2025[],6,FALSE)</f>
        <v>0</v>
      </c>
      <c r="H213" s="1">
        <v>0</v>
      </c>
      <c r="I213" s="1">
        <v>0</v>
      </c>
      <c r="J213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14" spans="2:10" x14ac:dyDescent="0.3">
      <c r="B214" s="1">
        <f t="shared" si="3"/>
        <v>209</v>
      </c>
      <c r="C214" t="str">
        <f>IFERROR(VLOOKUP(BDOBLIGACIONES[[#This Row],[NROKARDEX]],BDPADRES[],8,FALSE),"Sin registrado")</f>
        <v>MARIBEL DAZA VEDIA</v>
      </c>
      <c r="D214" s="1">
        <f>IF(VLOOKUP(B214,BDREGISTROAPORTES2025[],5,FALSE)="165",0,"165")</f>
        <v>0</v>
      </c>
      <c r="E214" s="1">
        <f>IF(VLOOKUP(B214,BDREGISTROBTH2025[],5,FALSE)="100",0,"100")</f>
        <v>0</v>
      </c>
      <c r="F214" s="1">
        <f>VLOOKUP(B214,BDREGISTROASAMBLEA2025[],8,FALSE)</f>
        <v>0</v>
      </c>
      <c r="G214" s="1">
        <f>VLOOKUP(B214,BDREGISTROMINGA2025[],6,FALSE)</f>
        <v>0</v>
      </c>
      <c r="H214" s="1">
        <v>0</v>
      </c>
      <c r="I214" s="1">
        <v>0</v>
      </c>
      <c r="J214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15" spans="2:10" x14ac:dyDescent="0.3">
      <c r="B215" s="1">
        <f t="shared" si="3"/>
        <v>210</v>
      </c>
      <c r="C215" t="str">
        <f>IFERROR(VLOOKUP(BDOBLIGACIONES[[#This Row],[NROKARDEX]],BDPADRES[],8,FALSE),"Sin registrado")</f>
        <v>DOLY FERNANDEZ GOMEZ</v>
      </c>
      <c r="D215" s="1">
        <f>IF(VLOOKUP(B215,BDREGISTROAPORTES2025[],5,FALSE)="165",0,"165")</f>
        <v>0</v>
      </c>
      <c r="E215" s="1">
        <f>IF(VLOOKUP(B215,BDREGISTROBTH2025[],5,FALSE)="100",0,"100")</f>
        <v>0</v>
      </c>
      <c r="F215" s="1">
        <f>VLOOKUP(B215,BDREGISTROASAMBLEA2025[],8,FALSE)</f>
        <v>0</v>
      </c>
      <c r="G215" s="1">
        <f>VLOOKUP(B215,BDREGISTROMINGA2025[],6,FALSE)</f>
        <v>0</v>
      </c>
      <c r="H215" s="1">
        <v>0</v>
      </c>
      <c r="I215" s="1">
        <v>0</v>
      </c>
      <c r="J215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16" spans="2:10" x14ac:dyDescent="0.3">
      <c r="B216" s="1">
        <f t="shared" si="3"/>
        <v>211</v>
      </c>
      <c r="C216" t="str">
        <f>IFERROR(VLOOKUP(BDOBLIGACIONES[[#This Row],[NROKARDEX]],BDPADRES[],8,FALSE),"Sin registrado")</f>
        <v>HORTENCIA  LEAÑOS VERGARA</v>
      </c>
      <c r="D216" s="1">
        <f>IF(VLOOKUP(B216,BDREGISTROAPORTES2025[],5,FALSE)="165",0,"165")</f>
        <v>0</v>
      </c>
      <c r="E216" s="1">
        <f>IF(VLOOKUP(B216,BDREGISTROBTH2025[],5,FALSE)="100",0,"100")</f>
        <v>0</v>
      </c>
      <c r="F216" s="1">
        <f>VLOOKUP(B216,BDREGISTROASAMBLEA2025[],8,FALSE)</f>
        <v>0</v>
      </c>
      <c r="G216" s="1">
        <f>VLOOKUP(B216,BDREGISTROMINGA2025[],6,FALSE)</f>
        <v>0</v>
      </c>
      <c r="H216" s="1">
        <v>0</v>
      </c>
      <c r="I216" s="1">
        <v>0</v>
      </c>
      <c r="J216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17" spans="2:10" x14ac:dyDescent="0.3">
      <c r="B217" s="1">
        <f t="shared" si="3"/>
        <v>212</v>
      </c>
      <c r="C217" t="str">
        <f>IFERROR(VLOOKUP(BDOBLIGACIONES[[#This Row],[NROKARDEX]],BDPADRES[],8,FALSE),"Sin registrado")</f>
        <v>NANCY MAMANI IPORRE</v>
      </c>
      <c r="D217" s="1">
        <f>IF(VLOOKUP(B217,BDREGISTROAPORTES2025[],5,FALSE)="165",0,"165")</f>
        <v>0</v>
      </c>
      <c r="E217" s="1">
        <f>IF(VLOOKUP(B217,BDREGISTROBTH2025[],5,FALSE)="100",0,"100")</f>
        <v>0</v>
      </c>
      <c r="F217" s="1">
        <f>VLOOKUP(B217,BDREGISTROASAMBLEA2025[],8,FALSE)</f>
        <v>0</v>
      </c>
      <c r="G217" s="1">
        <f>VLOOKUP(B217,BDREGISTROMINGA2025[],6,FALSE)</f>
        <v>0</v>
      </c>
      <c r="H217" s="1">
        <v>0</v>
      </c>
      <c r="I217" s="1">
        <v>0</v>
      </c>
      <c r="J217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18" spans="2:10" x14ac:dyDescent="0.3">
      <c r="B218" s="1">
        <f t="shared" si="3"/>
        <v>213</v>
      </c>
      <c r="C218" t="str">
        <f>IFERROR(VLOOKUP(BDOBLIGACIONES[[#This Row],[NROKARDEX]],BDPADRES[],8,FALSE),"Sin registrado")</f>
        <v>LITHZI PADILLA LIMON</v>
      </c>
      <c r="D218" s="1">
        <f>IF(VLOOKUP(B218,BDREGISTROAPORTES2025[],5,FALSE)="165",0,"165")</f>
        <v>0</v>
      </c>
      <c r="E218" s="1">
        <f>IF(VLOOKUP(B218,BDREGISTROBTH2025[],5,FALSE)="100",0,"100")</f>
        <v>0</v>
      </c>
      <c r="F218" s="1">
        <f>VLOOKUP(B218,BDREGISTROASAMBLEA2025[],8,FALSE)</f>
        <v>0</v>
      </c>
      <c r="G218" s="1">
        <f>VLOOKUP(B218,BDREGISTROMINGA2025[],6,FALSE)</f>
        <v>0</v>
      </c>
      <c r="H218" s="1">
        <v>0</v>
      </c>
      <c r="I218" s="1">
        <v>0</v>
      </c>
      <c r="J218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19" spans="2:10" x14ac:dyDescent="0.3">
      <c r="B219" s="1">
        <f t="shared" si="3"/>
        <v>214</v>
      </c>
      <c r="C219" s="8" t="str">
        <f>IFERROR(VLOOKUP(BDOBLIGACIONES[[#This Row],[NROKARDEX]],BDPADRES[],8,FALSE),"Sin registrado")</f>
        <v>Sin registrado</v>
      </c>
      <c r="D219" s="1" t="str">
        <f>IF(VLOOKUP(B219,BDREGISTROAPORTES2025[],5,FALSE)="165",0,"165")</f>
        <v>165</v>
      </c>
      <c r="E219" s="1" t="str">
        <f>IF(VLOOKUP(B219,BDREGISTROBTH2025[],5,FALSE)="100",0,"100")</f>
        <v>100</v>
      </c>
      <c r="F219" s="1">
        <f>VLOOKUP(B219,BDREGISTROASAMBLEA2025[],8,FALSE)</f>
        <v>0</v>
      </c>
      <c r="G219" s="1">
        <f>VLOOKUP(B219,BDREGISTROMINGA2025[],6,FALSE)</f>
        <v>0</v>
      </c>
      <c r="H219" s="1">
        <v>0</v>
      </c>
      <c r="I219" s="1">
        <v>0</v>
      </c>
      <c r="J219" s="1">
        <f>BDOBLIGACIONES[[#This Row],[ASAMBLEA]]+BDOBLIGACIONES[[#This Row],[MINGA]]+BDOBLIGACIONES[[#This Row],[DELEGADOS]]+BDOBLIGACIONES[[#This Row],[CURSO]]+BDOBLIGACIONES[[#This Row],[APORTE]]+BDOBLIGACIONES[[#This Row],[BTH]]</f>
        <v>265</v>
      </c>
    </row>
    <row r="220" spans="2:10" x14ac:dyDescent="0.3">
      <c r="B220" s="1">
        <f t="shared" si="3"/>
        <v>215</v>
      </c>
      <c r="C220" t="str">
        <f>IFERROR(VLOOKUP(BDOBLIGACIONES[[#This Row],[NROKARDEX]],BDPADRES[],8,FALSE),"Sin registrado")</f>
        <v>LIDIA MARTINEZ PEREZ</v>
      </c>
      <c r="D220" s="1">
        <f>IF(VLOOKUP(B220,BDREGISTROAPORTES2025[],5,FALSE)="165",0,"165")</f>
        <v>0</v>
      </c>
      <c r="E220" s="1" t="str">
        <f>IF(VLOOKUP(B220,BDREGISTROBTH2025[],5,FALSE)="100",0,"100")</f>
        <v>100</v>
      </c>
      <c r="F220" s="1">
        <f>VLOOKUP(B220,BDREGISTROASAMBLEA2025[],8,FALSE)</f>
        <v>0</v>
      </c>
      <c r="G220" s="1">
        <f>VLOOKUP(B220,BDREGISTROMINGA2025[],6,FALSE)</f>
        <v>0</v>
      </c>
      <c r="H220" s="1">
        <v>0</v>
      </c>
      <c r="I220" s="1">
        <v>0</v>
      </c>
      <c r="J220" s="1">
        <f>BDOBLIGACIONES[[#This Row],[ASAMBLEA]]+BDOBLIGACIONES[[#This Row],[MINGA]]+BDOBLIGACIONES[[#This Row],[DELEGADOS]]+BDOBLIGACIONES[[#This Row],[CURSO]]+BDOBLIGACIONES[[#This Row],[APORTE]]+BDOBLIGACIONES[[#This Row],[BTH]]</f>
        <v>100</v>
      </c>
    </row>
    <row r="221" spans="2:10" x14ac:dyDescent="0.3">
      <c r="B221" s="1">
        <f t="shared" si="3"/>
        <v>216</v>
      </c>
      <c r="C221" t="str">
        <f>IFERROR(VLOOKUP(BDOBLIGACIONES[[#This Row],[NROKARDEX]],BDPADRES[],8,FALSE),"Sin registrado")</f>
        <v>SABINA GARNICA VARGAS</v>
      </c>
      <c r="D221" s="1">
        <f>IF(VLOOKUP(B221,BDREGISTROAPORTES2025[],5,FALSE)="165",0,"165")</f>
        <v>0</v>
      </c>
      <c r="E221" s="1">
        <f>IF(VLOOKUP(B221,BDREGISTROBTH2025[],5,FALSE)="100",0,"100")</f>
        <v>0</v>
      </c>
      <c r="F221" s="1">
        <f>VLOOKUP(B221,BDREGISTROASAMBLEA2025[],8,FALSE)</f>
        <v>0</v>
      </c>
      <c r="G221" s="1">
        <f>VLOOKUP(B221,BDREGISTROMINGA2025[],6,FALSE)</f>
        <v>0</v>
      </c>
      <c r="H221" s="1">
        <v>0</v>
      </c>
      <c r="I221" s="1">
        <v>0</v>
      </c>
      <c r="J221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22" spans="2:10" x14ac:dyDescent="0.3">
      <c r="B222" s="1">
        <f t="shared" si="3"/>
        <v>217</v>
      </c>
      <c r="C222" t="str">
        <f>IFERROR(VLOOKUP(BDOBLIGACIONES[[#This Row],[NROKARDEX]],BDPADRES[],8,FALSE),"Sin registrado")</f>
        <v>BENIGNA HUAYHUA ARENAS</v>
      </c>
      <c r="D222" s="1">
        <f>IF(VLOOKUP(B222,BDREGISTROAPORTES2025[],5,FALSE)="165",0,"165")</f>
        <v>0</v>
      </c>
      <c r="E222" s="1">
        <f>IF(VLOOKUP(B222,BDREGISTROBTH2025[],5,FALSE)="100",0,"100")</f>
        <v>0</v>
      </c>
      <c r="F222" s="1">
        <f>VLOOKUP(B222,BDREGISTROASAMBLEA2025[],8,FALSE)</f>
        <v>0</v>
      </c>
      <c r="G222" s="1">
        <f>VLOOKUP(B222,BDREGISTROMINGA2025[],6,FALSE)</f>
        <v>0</v>
      </c>
      <c r="H222" s="1">
        <v>0</v>
      </c>
      <c r="I222" s="1">
        <v>0</v>
      </c>
      <c r="J222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23" spans="2:10" x14ac:dyDescent="0.3">
      <c r="B223" s="1">
        <f t="shared" si="3"/>
        <v>218</v>
      </c>
      <c r="C223" t="str">
        <f>IFERROR(VLOOKUP(BDOBLIGACIONES[[#This Row],[NROKARDEX]],BDPADRES[],8,FALSE),"Sin registrado")</f>
        <v>JUANA RAMIREZ CHURA</v>
      </c>
      <c r="D223" s="1">
        <f>IF(VLOOKUP(B223,BDREGISTROAPORTES2025[],5,FALSE)="165",0,"165")</f>
        <v>0</v>
      </c>
      <c r="E223" s="1">
        <f>IF(VLOOKUP(B223,BDREGISTROBTH2025[],5,FALSE)="100",0,"100")</f>
        <v>0</v>
      </c>
      <c r="F223" s="1">
        <f>VLOOKUP(B223,BDREGISTROASAMBLEA2025[],8,FALSE)</f>
        <v>0</v>
      </c>
      <c r="G223" s="1">
        <f>VLOOKUP(B223,BDREGISTROMINGA2025[],6,FALSE)</f>
        <v>0</v>
      </c>
      <c r="H223" s="1">
        <v>0</v>
      </c>
      <c r="I223" s="1">
        <v>0</v>
      </c>
      <c r="J223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24" spans="2:10" x14ac:dyDescent="0.3">
      <c r="B224" s="1">
        <f t="shared" si="3"/>
        <v>219</v>
      </c>
      <c r="C224" t="str">
        <f>IFERROR(VLOOKUP(BDOBLIGACIONES[[#This Row],[NROKARDEX]],BDPADRES[],8,FALSE),"Sin registrado")</f>
        <v>TERESA ARICOMA CORCHADO</v>
      </c>
      <c r="D224" s="1">
        <f>IF(VLOOKUP(B224,BDREGISTROAPORTES2025[],5,FALSE)="165",0,"165")</f>
        <v>0</v>
      </c>
      <c r="E224" s="1">
        <f>IF(VLOOKUP(B224,BDREGISTROBTH2025[],5,FALSE)="100",0,"100")</f>
        <v>0</v>
      </c>
      <c r="F224" s="1">
        <f>VLOOKUP(B224,BDREGISTROASAMBLEA2025[],8,FALSE)</f>
        <v>0</v>
      </c>
      <c r="G224" s="1">
        <f>VLOOKUP(B224,BDREGISTROMINGA2025[],6,FALSE)</f>
        <v>0</v>
      </c>
      <c r="H224" s="1">
        <v>0</v>
      </c>
      <c r="I224" s="1">
        <v>0</v>
      </c>
      <c r="J224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25" spans="2:10" x14ac:dyDescent="0.3">
      <c r="B225" s="1">
        <f t="shared" si="3"/>
        <v>220</v>
      </c>
      <c r="C225" t="str">
        <f>IFERROR(VLOOKUP(BDOBLIGACIONES[[#This Row],[NROKARDEX]],BDPADRES[],8,FALSE),"Sin registrado")</f>
        <v>ISABEL RODRIGUEZ JILLAPA</v>
      </c>
      <c r="D225" s="1">
        <f>IF(VLOOKUP(B225,BDREGISTROAPORTES2025[],5,FALSE)="165",0,"165")</f>
        <v>0</v>
      </c>
      <c r="E225" s="1" t="str">
        <f>IF(VLOOKUP(B225,BDREGISTROBTH2025[],5,FALSE)="100",0,"100")</f>
        <v>100</v>
      </c>
      <c r="F225" s="1">
        <f>VLOOKUP(B225,BDREGISTROASAMBLEA2025[],8,FALSE)</f>
        <v>0</v>
      </c>
      <c r="G225" s="1">
        <f>VLOOKUP(B225,BDREGISTROMINGA2025[],6,FALSE)</f>
        <v>0</v>
      </c>
      <c r="H225" s="1">
        <v>0</v>
      </c>
      <c r="I225" s="1">
        <v>0</v>
      </c>
      <c r="J225" s="1">
        <f>BDOBLIGACIONES[[#This Row],[ASAMBLEA]]+BDOBLIGACIONES[[#This Row],[MINGA]]+BDOBLIGACIONES[[#This Row],[DELEGADOS]]+BDOBLIGACIONES[[#This Row],[CURSO]]+BDOBLIGACIONES[[#This Row],[APORTE]]+BDOBLIGACIONES[[#This Row],[BTH]]</f>
        <v>100</v>
      </c>
    </row>
    <row r="226" spans="2:10" x14ac:dyDescent="0.3">
      <c r="B226" s="1">
        <f t="shared" si="3"/>
        <v>221</v>
      </c>
      <c r="C226" t="str">
        <f>IFERROR(VLOOKUP(BDOBLIGACIONES[[#This Row],[NROKARDEX]],BDPADRES[],8,FALSE),"Sin registrado")</f>
        <v>MARCELA CHOQUE SILES</v>
      </c>
      <c r="D226" s="1">
        <f>IF(VLOOKUP(B226,BDREGISTROAPORTES2025[],5,FALSE)="165",0,"165")</f>
        <v>0</v>
      </c>
      <c r="E226" s="1">
        <f>IF(VLOOKUP(B226,BDREGISTROBTH2025[],5,FALSE)="100",0,"100")</f>
        <v>0</v>
      </c>
      <c r="F226" s="1">
        <f>VLOOKUP(B226,BDREGISTROASAMBLEA2025[],8,FALSE)</f>
        <v>0</v>
      </c>
      <c r="G226" s="1">
        <f>VLOOKUP(B226,BDREGISTROMINGA2025[],6,FALSE)</f>
        <v>0</v>
      </c>
      <c r="H226" s="1">
        <v>0</v>
      </c>
      <c r="I226" s="1">
        <v>0</v>
      </c>
      <c r="J226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27" spans="2:10" x14ac:dyDescent="0.3">
      <c r="B227" s="1">
        <f t="shared" si="3"/>
        <v>222</v>
      </c>
      <c r="C227" t="str">
        <f>IFERROR(VLOOKUP(BDOBLIGACIONES[[#This Row],[NROKARDEX]],BDPADRES[],8,FALSE),"Sin registrado")</f>
        <v>SAIDA CINTHIA MORALES MOSCOSO</v>
      </c>
      <c r="D227" s="1">
        <f>IF(VLOOKUP(B227,BDREGISTROAPORTES2025[],5,FALSE)="165",0,"165")</f>
        <v>0</v>
      </c>
      <c r="E227" s="1">
        <f>IF(VLOOKUP(B227,BDREGISTROBTH2025[],5,FALSE)="100",0,"100")</f>
        <v>0</v>
      </c>
      <c r="F227" s="1">
        <f>VLOOKUP(B227,BDREGISTROASAMBLEA2025[],8,FALSE)</f>
        <v>0</v>
      </c>
      <c r="G227" s="1">
        <f>VLOOKUP(B227,BDREGISTROMINGA2025[],6,FALSE)</f>
        <v>0</v>
      </c>
      <c r="H227" s="1">
        <v>0</v>
      </c>
      <c r="I227" s="1">
        <v>0</v>
      </c>
      <c r="J227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28" spans="2:10" x14ac:dyDescent="0.3">
      <c r="B228" s="1">
        <f t="shared" si="3"/>
        <v>223</v>
      </c>
      <c r="C228" t="str">
        <f>IFERROR(VLOOKUP(BDOBLIGACIONES[[#This Row],[NROKARDEX]],BDPADRES[],8,FALSE),"Sin registrado")</f>
        <v>MARIA MAGDALENA AGUILAR VIDAURRE</v>
      </c>
      <c r="D228" s="1">
        <f>IF(VLOOKUP(B228,BDREGISTROAPORTES2025[],5,FALSE)="165",0,"165")</f>
        <v>0</v>
      </c>
      <c r="E228" s="1">
        <f>IF(VLOOKUP(B228,BDREGISTROBTH2025[],5,FALSE)="100",0,"100")</f>
        <v>0</v>
      </c>
      <c r="F228" s="1">
        <f>VLOOKUP(B228,BDREGISTROASAMBLEA2025[],8,FALSE)</f>
        <v>0</v>
      </c>
      <c r="G228" s="1">
        <f>VLOOKUP(B228,BDREGISTROMINGA2025[],6,FALSE)</f>
        <v>0</v>
      </c>
      <c r="H228" s="1">
        <v>0</v>
      </c>
      <c r="I228" s="1">
        <v>0</v>
      </c>
      <c r="J228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29" spans="2:10" x14ac:dyDescent="0.3">
      <c r="B229" s="1">
        <f t="shared" si="3"/>
        <v>224</v>
      </c>
      <c r="C229" t="str">
        <f>IFERROR(VLOOKUP(BDOBLIGACIONES[[#This Row],[NROKARDEX]],BDPADRES[],8,FALSE),"Sin registrado")</f>
        <v>MARICELA ZAMBRANA PADILLA</v>
      </c>
      <c r="D229" s="1">
        <f>IF(VLOOKUP(B229,BDREGISTROAPORTES2025[],5,FALSE)="165",0,"165")</f>
        <v>0</v>
      </c>
      <c r="E229" s="1">
        <f>IF(VLOOKUP(B229,BDREGISTROBTH2025[],5,FALSE)="100",0,"100")</f>
        <v>0</v>
      </c>
      <c r="F229" s="1">
        <f>VLOOKUP(B229,BDREGISTROASAMBLEA2025[],8,FALSE)</f>
        <v>0</v>
      </c>
      <c r="G229" s="1">
        <f>VLOOKUP(B229,BDREGISTROMINGA2025[],6,FALSE)</f>
        <v>0</v>
      </c>
      <c r="H229" s="1">
        <v>0</v>
      </c>
      <c r="I229" s="1">
        <v>0</v>
      </c>
      <c r="J229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30" spans="2:10" x14ac:dyDescent="0.3">
      <c r="B230" s="1">
        <f t="shared" si="3"/>
        <v>225</v>
      </c>
      <c r="C230" t="str">
        <f>IFERROR(VLOOKUP(BDOBLIGACIONES[[#This Row],[NROKARDEX]],BDPADRES[],8,FALSE),"Sin registrado")</f>
        <v>PAULINA DELGADO LOPEZ</v>
      </c>
      <c r="D230" s="1">
        <f>IF(VLOOKUP(B230,BDREGISTROAPORTES2025[],5,FALSE)="165",0,"165")</f>
        <v>0</v>
      </c>
      <c r="E230" s="1" t="str">
        <f>IF(VLOOKUP(B230,BDREGISTROBTH2025[],5,FALSE)="100",0,"100")</f>
        <v>100</v>
      </c>
      <c r="F230" s="1">
        <f>VLOOKUP(B230,BDREGISTROASAMBLEA2025[],8,FALSE)</f>
        <v>0</v>
      </c>
      <c r="G230" s="1">
        <f>VLOOKUP(B230,BDREGISTROMINGA2025[],6,FALSE)</f>
        <v>0</v>
      </c>
      <c r="H230" s="1">
        <v>0</v>
      </c>
      <c r="I230" s="1">
        <v>0</v>
      </c>
      <c r="J230" s="1">
        <f>BDOBLIGACIONES[[#This Row],[ASAMBLEA]]+BDOBLIGACIONES[[#This Row],[MINGA]]+BDOBLIGACIONES[[#This Row],[DELEGADOS]]+BDOBLIGACIONES[[#This Row],[CURSO]]+BDOBLIGACIONES[[#This Row],[APORTE]]+BDOBLIGACIONES[[#This Row],[BTH]]</f>
        <v>100</v>
      </c>
    </row>
    <row r="231" spans="2:10" x14ac:dyDescent="0.3">
      <c r="B231" s="1">
        <f t="shared" si="3"/>
        <v>226</v>
      </c>
      <c r="C231" t="str">
        <f>IFERROR(VLOOKUP(BDOBLIGACIONES[[#This Row],[NROKARDEX]],BDPADRES[],8,FALSE),"Sin registrado")</f>
        <v>MARTHA MAMANI MORALES</v>
      </c>
      <c r="D231" s="1">
        <f>IF(VLOOKUP(B231,BDREGISTROAPORTES2025[],5,FALSE)="165",0,"165")</f>
        <v>0</v>
      </c>
      <c r="E231" s="1">
        <f>IF(VLOOKUP(B231,BDREGISTROBTH2025[],5,FALSE)="100",0,"100")</f>
        <v>0</v>
      </c>
      <c r="F231" s="1">
        <f>VLOOKUP(B231,BDREGISTROASAMBLEA2025[],8,FALSE)</f>
        <v>0</v>
      </c>
      <c r="G231" s="1">
        <f>VLOOKUP(B231,BDREGISTROMINGA2025[],6,FALSE)</f>
        <v>0</v>
      </c>
      <c r="H231" s="1">
        <v>0</v>
      </c>
      <c r="I231" s="1">
        <v>0</v>
      </c>
      <c r="J231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32" spans="2:10" x14ac:dyDescent="0.3">
      <c r="B232" s="1">
        <f t="shared" si="3"/>
        <v>227</v>
      </c>
      <c r="C232" t="str">
        <f>IFERROR(VLOOKUP(BDOBLIGACIONES[[#This Row],[NROKARDEX]],BDPADRES[],8,FALSE),"Sin registrado")</f>
        <v>NILDA LOPEZ CHOQUE</v>
      </c>
      <c r="D232" s="1">
        <f>IF(VLOOKUP(B232,BDREGISTROAPORTES2025[],5,FALSE)="165",0,"165")</f>
        <v>0</v>
      </c>
      <c r="E232" s="1">
        <f>IF(VLOOKUP(B232,BDREGISTROBTH2025[],5,FALSE)="100",0,"100")</f>
        <v>0</v>
      </c>
      <c r="F232" s="1">
        <f>VLOOKUP(B232,BDREGISTROASAMBLEA2025[],8,FALSE)</f>
        <v>0</v>
      </c>
      <c r="G232" s="1">
        <f>VLOOKUP(B232,BDREGISTROMINGA2025[],6,FALSE)</f>
        <v>0</v>
      </c>
      <c r="H232" s="1">
        <v>0</v>
      </c>
      <c r="I232" s="1">
        <v>0</v>
      </c>
      <c r="J232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33" spans="2:10" x14ac:dyDescent="0.3">
      <c r="B233" s="1">
        <f t="shared" si="3"/>
        <v>228</v>
      </c>
      <c r="C233" t="str">
        <f>IFERROR(VLOOKUP(BDOBLIGACIONES[[#This Row],[NROKARDEX]],BDPADRES[],8,FALSE),"Sin registrado")</f>
        <v>SEDONIA CONDORI TOMAS</v>
      </c>
      <c r="D233" s="1">
        <f>IF(VLOOKUP(B233,BDREGISTROAPORTES2025[],5,FALSE)="165",0,"165")</f>
        <v>0</v>
      </c>
      <c r="E233" s="1">
        <f>IF(VLOOKUP(B233,BDREGISTROBTH2025[],5,FALSE)="100",0,"100")</f>
        <v>0</v>
      </c>
      <c r="F233" s="1">
        <f>VLOOKUP(B233,BDREGISTROASAMBLEA2025[],8,FALSE)</f>
        <v>0</v>
      </c>
      <c r="G233" s="1">
        <f>VLOOKUP(B233,BDREGISTROMINGA2025[],6,FALSE)</f>
        <v>0</v>
      </c>
      <c r="H233" s="1">
        <v>0</v>
      </c>
      <c r="I233" s="1">
        <v>0</v>
      </c>
      <c r="J233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34" spans="2:10" x14ac:dyDescent="0.3">
      <c r="B234" s="1">
        <f t="shared" si="3"/>
        <v>229</v>
      </c>
      <c r="C234" t="str">
        <f>IFERROR(VLOOKUP(BDOBLIGACIONES[[#This Row],[NROKARDEX]],BDPADRES[],8,FALSE),"Sin registrado")</f>
        <v>MARIOLY  MARTINEZ UGARTECHE</v>
      </c>
      <c r="D234" s="1">
        <f>IF(VLOOKUP(B234,BDREGISTROAPORTES2025[],5,FALSE)="165",0,"165")</f>
        <v>0</v>
      </c>
      <c r="E234" s="1">
        <f>IF(VLOOKUP(B234,BDREGISTROBTH2025[],5,FALSE)="100",0,"100")</f>
        <v>0</v>
      </c>
      <c r="F234" s="1">
        <f>VLOOKUP(B234,BDREGISTROASAMBLEA2025[],8,FALSE)</f>
        <v>0</v>
      </c>
      <c r="G234" s="1">
        <f>VLOOKUP(B234,BDREGISTROMINGA2025[],6,FALSE)</f>
        <v>0</v>
      </c>
      <c r="H234" s="1">
        <v>0</v>
      </c>
      <c r="I234" s="1">
        <v>0</v>
      </c>
      <c r="J234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35" spans="2:10" x14ac:dyDescent="0.3">
      <c r="B235" s="1">
        <f t="shared" si="3"/>
        <v>230</v>
      </c>
      <c r="C235" t="str">
        <f>IFERROR(VLOOKUP(BDOBLIGACIONES[[#This Row],[NROKARDEX]],BDPADRES[],8,FALSE),"Sin registrado")</f>
        <v>CELIA RIVADENEIRA CRUZ</v>
      </c>
      <c r="D235" s="1">
        <f>IF(VLOOKUP(B235,BDREGISTROAPORTES2025[],5,FALSE)="165",0,"165")</f>
        <v>0</v>
      </c>
      <c r="E235" s="1">
        <f>IF(VLOOKUP(B235,BDREGISTROBTH2025[],5,FALSE)="100",0,"100")</f>
        <v>0</v>
      </c>
      <c r="F235" s="1">
        <f>VLOOKUP(B235,BDREGISTROASAMBLEA2025[],8,FALSE)</f>
        <v>0</v>
      </c>
      <c r="G235" s="1">
        <f>VLOOKUP(B235,BDREGISTROMINGA2025[],6,FALSE)</f>
        <v>0</v>
      </c>
      <c r="H235" s="1">
        <v>0</v>
      </c>
      <c r="I235" s="1">
        <v>0</v>
      </c>
      <c r="J235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36" spans="2:10" x14ac:dyDescent="0.3">
      <c r="B236" s="1">
        <f t="shared" si="3"/>
        <v>231</v>
      </c>
      <c r="C236" t="str">
        <f>IFERROR(VLOOKUP(BDOBLIGACIONES[[#This Row],[NROKARDEX]],BDPADRES[],8,FALSE),"Sin registrado")</f>
        <v>MIRNA CUELLAR DIAZ</v>
      </c>
      <c r="D236" s="1">
        <f>IF(VLOOKUP(B236,BDREGISTROAPORTES2025[],5,FALSE)="165",0,"165")</f>
        <v>0</v>
      </c>
      <c r="E236" s="1">
        <f>IF(VLOOKUP(B236,BDREGISTROBTH2025[],5,FALSE)="100",0,"100")</f>
        <v>0</v>
      </c>
      <c r="F236" s="1">
        <f>VLOOKUP(B236,BDREGISTROASAMBLEA2025[],8,FALSE)</f>
        <v>0</v>
      </c>
      <c r="G236" s="1">
        <f>VLOOKUP(B236,BDREGISTROMINGA2025[],6,FALSE)</f>
        <v>0</v>
      </c>
      <c r="H236" s="1">
        <v>0</v>
      </c>
      <c r="I236" s="1">
        <v>0</v>
      </c>
      <c r="J236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37" spans="2:10" x14ac:dyDescent="0.3">
      <c r="B237" s="1">
        <f t="shared" si="3"/>
        <v>232</v>
      </c>
      <c r="C237" t="str">
        <f>IFERROR(VLOOKUP(BDOBLIGACIONES[[#This Row],[NROKARDEX]],BDPADRES[],8,FALSE),"Sin registrado")</f>
        <v>Sin registrado</v>
      </c>
      <c r="D237" s="1">
        <f>IF(VLOOKUP(B237,BDREGISTROAPORTES2025[],5,FALSE)="165",0,"165")</f>
        <v>0</v>
      </c>
      <c r="E237" s="1">
        <f>IF(VLOOKUP(B237,BDREGISTROBTH2025[],5,FALSE)="100",0,"100")</f>
        <v>0</v>
      </c>
      <c r="F237" s="1">
        <f>VLOOKUP(B237,BDREGISTROASAMBLEA2025[],8,FALSE)</f>
        <v>0</v>
      </c>
      <c r="G237" s="1">
        <f>VLOOKUP(B237,BDREGISTROMINGA2025[],6,FALSE)</f>
        <v>0</v>
      </c>
      <c r="H237" s="1">
        <v>0</v>
      </c>
      <c r="I237" s="1">
        <v>0</v>
      </c>
      <c r="J237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38" spans="2:10" x14ac:dyDescent="0.3">
      <c r="B238" s="1">
        <f t="shared" si="3"/>
        <v>233</v>
      </c>
      <c r="C238" t="str">
        <f>IFERROR(VLOOKUP(BDOBLIGACIONES[[#This Row],[NROKARDEX]],BDPADRES[],8,FALSE),"Sin registrado")</f>
        <v>MONICA MAMANI GONZALES</v>
      </c>
      <c r="D238" s="1">
        <f>IF(VLOOKUP(B238,BDREGISTROAPORTES2025[],5,FALSE)="165",0,"165")</f>
        <v>0</v>
      </c>
      <c r="E238" s="1">
        <f>IF(VLOOKUP(B238,BDREGISTROBTH2025[],5,FALSE)="100",0,"100")</f>
        <v>0</v>
      </c>
      <c r="F238" s="1">
        <f>VLOOKUP(B238,BDREGISTROASAMBLEA2025[],8,FALSE)</f>
        <v>0</v>
      </c>
      <c r="G238" s="1">
        <f>VLOOKUP(B238,BDREGISTROMINGA2025[],6,FALSE)</f>
        <v>0</v>
      </c>
      <c r="H238" s="1">
        <v>0</v>
      </c>
      <c r="I238" s="1">
        <v>0</v>
      </c>
      <c r="J238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39" spans="2:10" x14ac:dyDescent="0.3">
      <c r="B239" s="1">
        <f t="shared" si="3"/>
        <v>234</v>
      </c>
      <c r="C239" t="str">
        <f>IFERROR(VLOOKUP(BDOBLIGACIONES[[#This Row],[NROKARDEX]],BDPADRES[],8,FALSE),"Sin registrado")</f>
        <v>HILDA MAMANI EUGENIO</v>
      </c>
      <c r="D239" s="1">
        <f>IF(VLOOKUP(B239,BDREGISTROAPORTES2025[],5,FALSE)="165",0,"165")</f>
        <v>0</v>
      </c>
      <c r="E239" s="1">
        <f>IF(VLOOKUP(B239,BDREGISTROBTH2025[],5,FALSE)="100",0,"100")</f>
        <v>0</v>
      </c>
      <c r="F239" s="1">
        <f>VLOOKUP(B239,BDREGISTROASAMBLEA2025[],8,FALSE)</f>
        <v>0</v>
      </c>
      <c r="G239" s="1">
        <f>VLOOKUP(B239,BDREGISTROMINGA2025[],6,FALSE)</f>
        <v>0</v>
      </c>
      <c r="H239" s="1">
        <v>0</v>
      </c>
      <c r="I239" s="1">
        <v>0</v>
      </c>
      <c r="J239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40" spans="2:10" x14ac:dyDescent="0.3">
      <c r="B240" s="1">
        <f t="shared" si="3"/>
        <v>235</v>
      </c>
      <c r="C240" t="str">
        <f>IFERROR(VLOOKUP(BDOBLIGACIONES[[#This Row],[NROKARDEX]],BDPADRES[],8,FALSE),"Sin registrado")</f>
        <v>FARIDY ROMERO CALLAPA</v>
      </c>
      <c r="D240" s="1">
        <f>IF(VLOOKUP(B240,BDREGISTROAPORTES2025[],5,FALSE)="165",0,"165")</f>
        <v>0</v>
      </c>
      <c r="E240" s="1">
        <f>IF(VLOOKUP(B240,BDREGISTROBTH2025[],5,FALSE)="100",0,"100")</f>
        <v>0</v>
      </c>
      <c r="F240" s="1">
        <f>VLOOKUP(B240,BDREGISTROASAMBLEA2025[],8,FALSE)</f>
        <v>0</v>
      </c>
      <c r="G240" s="1">
        <f>VLOOKUP(B240,BDREGISTROMINGA2025[],6,FALSE)</f>
        <v>0</v>
      </c>
      <c r="H240" s="1">
        <v>0</v>
      </c>
      <c r="I240" s="1">
        <v>0</v>
      </c>
      <c r="J240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41" spans="2:10" x14ac:dyDescent="0.3">
      <c r="B241" s="1">
        <f t="shared" si="3"/>
        <v>236</v>
      </c>
      <c r="C241" t="str">
        <f>IFERROR(VLOOKUP(BDOBLIGACIONES[[#This Row],[NROKARDEX]],BDPADRES[],8,FALSE),"Sin registrado")</f>
        <v>NEOLID VARON ARANCIBIA</v>
      </c>
      <c r="D241" s="1">
        <f>IF(VLOOKUP(B241,BDREGISTROAPORTES2025[],5,FALSE)="165",0,"165")</f>
        <v>0</v>
      </c>
      <c r="E241" s="1" t="str">
        <f>IF(VLOOKUP(B241,BDREGISTROBTH2025[],5,FALSE)="100",0,"100")</f>
        <v>100</v>
      </c>
      <c r="F241" s="1">
        <f>VLOOKUP(B241,BDREGISTROASAMBLEA2025[],8,FALSE)</f>
        <v>0</v>
      </c>
      <c r="G241" s="1">
        <f>VLOOKUP(B241,BDREGISTROMINGA2025[],6,FALSE)</f>
        <v>0</v>
      </c>
      <c r="H241" s="1">
        <v>0</v>
      </c>
      <c r="I241" s="1">
        <v>0</v>
      </c>
      <c r="J241" s="1">
        <f>BDOBLIGACIONES[[#This Row],[ASAMBLEA]]+BDOBLIGACIONES[[#This Row],[MINGA]]+BDOBLIGACIONES[[#This Row],[DELEGADOS]]+BDOBLIGACIONES[[#This Row],[CURSO]]+BDOBLIGACIONES[[#This Row],[APORTE]]+BDOBLIGACIONES[[#This Row],[BTH]]</f>
        <v>100</v>
      </c>
    </row>
    <row r="242" spans="2:10" x14ac:dyDescent="0.3">
      <c r="B242" s="1">
        <f t="shared" si="3"/>
        <v>237</v>
      </c>
      <c r="C242" t="str">
        <f>IFERROR(VLOOKUP(BDOBLIGACIONES[[#This Row],[NROKARDEX]],BDPADRES[],8,FALSE),"Sin registrado")</f>
        <v>EVA DANCY FERNANDEZ LINO</v>
      </c>
      <c r="D242" s="1">
        <f>IF(VLOOKUP(B242,BDREGISTROAPORTES2025[],5,FALSE)="165",0,"165")</f>
        <v>0</v>
      </c>
      <c r="E242" s="1">
        <f>IF(VLOOKUP(B242,BDREGISTROBTH2025[],5,FALSE)="100",0,"100")</f>
        <v>0</v>
      </c>
      <c r="F242" s="1">
        <f>VLOOKUP(B242,BDREGISTROASAMBLEA2025[],8,FALSE)</f>
        <v>0</v>
      </c>
      <c r="G242" s="1">
        <f>VLOOKUP(B242,BDREGISTROMINGA2025[],6,FALSE)</f>
        <v>0</v>
      </c>
      <c r="H242" s="1">
        <v>0</v>
      </c>
      <c r="I242" s="1">
        <v>0</v>
      </c>
      <c r="J242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43" spans="2:10" x14ac:dyDescent="0.3">
      <c r="B243" s="1">
        <f t="shared" si="3"/>
        <v>238</v>
      </c>
      <c r="C243" t="str">
        <f>IFERROR(VLOOKUP(BDOBLIGACIONES[[#This Row],[NROKARDEX]],BDPADRES[],8,FALSE),"Sin registrado")</f>
        <v>LIDIA ACUÑA ARENA</v>
      </c>
      <c r="D243" s="1">
        <f>IF(VLOOKUP(B243,BDREGISTROAPORTES2025[],5,FALSE)="165",0,"165")</f>
        <v>0</v>
      </c>
      <c r="E243" s="1">
        <f>IF(VLOOKUP(B243,BDREGISTROBTH2025[],5,FALSE)="100",0,"100")</f>
        <v>0</v>
      </c>
      <c r="F243" s="1">
        <f>VLOOKUP(B243,BDREGISTROASAMBLEA2025[],8,FALSE)</f>
        <v>0</v>
      </c>
      <c r="G243" s="1">
        <f>VLOOKUP(B243,BDREGISTROMINGA2025[],6,FALSE)</f>
        <v>0</v>
      </c>
      <c r="H243" s="1">
        <v>0</v>
      </c>
      <c r="I243" s="1">
        <v>0</v>
      </c>
      <c r="J243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44" spans="2:10" x14ac:dyDescent="0.3">
      <c r="B244" s="1">
        <f t="shared" si="3"/>
        <v>239</v>
      </c>
      <c r="C244" t="str">
        <f>IFERROR(VLOOKUP(BDOBLIGACIONES[[#This Row],[NROKARDEX]],BDPADRES[],8,FALSE),"Sin registrado")</f>
        <v>NAGAY RINA ROMERO ACHO</v>
      </c>
      <c r="D244" s="1">
        <f>IF(VLOOKUP(B244,BDREGISTROAPORTES2025[],5,FALSE)="165",0,"165")</f>
        <v>0</v>
      </c>
      <c r="E244" s="1">
        <f>IF(VLOOKUP(B244,BDREGISTROBTH2025[],5,FALSE)="100",0,"100")</f>
        <v>0</v>
      </c>
      <c r="F244" s="1">
        <f>VLOOKUP(B244,BDREGISTROASAMBLEA2025[],8,FALSE)</f>
        <v>0</v>
      </c>
      <c r="G244" s="1">
        <f>VLOOKUP(B244,BDREGISTROMINGA2025[],6,FALSE)</f>
        <v>0</v>
      </c>
      <c r="H244" s="1">
        <v>0</v>
      </c>
      <c r="I244" s="1">
        <v>0</v>
      </c>
      <c r="J244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45" spans="2:10" x14ac:dyDescent="0.3">
      <c r="B245" s="1">
        <f t="shared" si="3"/>
        <v>240</v>
      </c>
      <c r="C245" t="str">
        <f>IFERROR(VLOOKUP(BDOBLIGACIONES[[#This Row],[NROKARDEX]],BDPADRES[],8,FALSE),"Sin registrado")</f>
        <v>MARTHA CHAUQUE TOLABA</v>
      </c>
      <c r="D245" s="1">
        <f>IF(VLOOKUP(B245,BDREGISTROAPORTES2025[],5,FALSE)="165",0,"165")</f>
        <v>0</v>
      </c>
      <c r="E245" s="1" t="str">
        <f>IF(VLOOKUP(B245,BDREGISTROBTH2025[],5,FALSE)="100",0,"100")</f>
        <v>100</v>
      </c>
      <c r="F245" s="1">
        <f>VLOOKUP(B245,BDREGISTROASAMBLEA2025[],8,FALSE)</f>
        <v>0</v>
      </c>
      <c r="G245" s="1">
        <f>VLOOKUP(B245,BDREGISTROMINGA2025[],6,FALSE)</f>
        <v>0</v>
      </c>
      <c r="H245" s="1">
        <v>0</v>
      </c>
      <c r="I245" s="1">
        <v>0</v>
      </c>
      <c r="J245" s="1">
        <f>BDOBLIGACIONES[[#This Row],[ASAMBLEA]]+BDOBLIGACIONES[[#This Row],[MINGA]]+BDOBLIGACIONES[[#This Row],[DELEGADOS]]+BDOBLIGACIONES[[#This Row],[CURSO]]+BDOBLIGACIONES[[#This Row],[APORTE]]+BDOBLIGACIONES[[#This Row],[BTH]]</f>
        <v>100</v>
      </c>
    </row>
    <row r="246" spans="2:10" x14ac:dyDescent="0.3">
      <c r="B246" s="1">
        <f t="shared" si="3"/>
        <v>241</v>
      </c>
      <c r="C246" t="str">
        <f>IFERROR(VLOOKUP(BDOBLIGACIONES[[#This Row],[NROKARDEX]],BDPADRES[],8,FALSE),"Sin registrado")</f>
        <v>LOURDES URQUIZO YUCRA</v>
      </c>
      <c r="D246" s="1">
        <f>IF(VLOOKUP(B246,BDREGISTROAPORTES2025[],5,FALSE)="165",0,"165")</f>
        <v>0</v>
      </c>
      <c r="E246" s="1">
        <f>IF(VLOOKUP(B246,BDREGISTROBTH2025[],5,FALSE)="100",0,"100")</f>
        <v>0</v>
      </c>
      <c r="F246" s="1">
        <f>VLOOKUP(B246,BDREGISTROASAMBLEA2025[],8,FALSE)</f>
        <v>0</v>
      </c>
      <c r="G246" s="1">
        <f>VLOOKUP(B246,BDREGISTROMINGA2025[],6,FALSE)</f>
        <v>0</v>
      </c>
      <c r="H246" s="1">
        <v>0</v>
      </c>
      <c r="I246" s="1">
        <v>0</v>
      </c>
      <c r="J246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47" spans="2:10" x14ac:dyDescent="0.3">
      <c r="B247" s="1">
        <f t="shared" si="3"/>
        <v>242</v>
      </c>
      <c r="C247" t="str">
        <f>IFERROR(VLOOKUP(BDOBLIGACIONES[[#This Row],[NROKARDEX]],BDPADRES[],8,FALSE),"Sin registrado")</f>
        <v>LENNY MARIELA FLORES ASINAGA</v>
      </c>
      <c r="D247" s="1">
        <f>IF(VLOOKUP(B247,BDREGISTROAPORTES2025[],5,FALSE)="165",0,"165")</f>
        <v>0</v>
      </c>
      <c r="E247" s="1" t="str">
        <f>IF(VLOOKUP(B247,BDREGISTROBTH2025[],5,FALSE)="100",0,"100")</f>
        <v>100</v>
      </c>
      <c r="F247" s="1">
        <f>VLOOKUP(B247,BDREGISTROASAMBLEA2025[],8,FALSE)</f>
        <v>0</v>
      </c>
      <c r="G247" s="1">
        <f>VLOOKUP(B247,BDREGISTROMINGA2025[],6,FALSE)</f>
        <v>0</v>
      </c>
      <c r="H247" s="1">
        <v>0</v>
      </c>
      <c r="I247" s="1">
        <v>0</v>
      </c>
      <c r="J247" s="1">
        <f>BDOBLIGACIONES[[#This Row],[ASAMBLEA]]+BDOBLIGACIONES[[#This Row],[MINGA]]+BDOBLIGACIONES[[#This Row],[DELEGADOS]]+BDOBLIGACIONES[[#This Row],[CURSO]]+BDOBLIGACIONES[[#This Row],[APORTE]]+BDOBLIGACIONES[[#This Row],[BTH]]</f>
        <v>100</v>
      </c>
    </row>
    <row r="248" spans="2:10" x14ac:dyDescent="0.3">
      <c r="B248" s="1">
        <f t="shared" si="3"/>
        <v>243</v>
      </c>
      <c r="C248" t="str">
        <f>IFERROR(VLOOKUP(BDOBLIGACIONES[[#This Row],[NROKARDEX]],BDPADRES[],8,FALSE),"Sin registrado")</f>
        <v>VIRGINIA ANTIVERROS MANRIQUE</v>
      </c>
      <c r="D248" s="1">
        <f>IF(VLOOKUP(B248,BDREGISTROAPORTES2025[],5,FALSE)="165",0,"165")</f>
        <v>0</v>
      </c>
      <c r="E248" s="1">
        <f>IF(VLOOKUP(B248,BDREGISTROBTH2025[],5,FALSE)="100",0,"100")</f>
        <v>0</v>
      </c>
      <c r="F248" s="1">
        <f>VLOOKUP(B248,BDREGISTROASAMBLEA2025[],8,FALSE)</f>
        <v>0</v>
      </c>
      <c r="G248" s="1">
        <f>VLOOKUP(B248,BDREGISTROMINGA2025[],6,FALSE)</f>
        <v>0</v>
      </c>
      <c r="H248" s="1">
        <v>0</v>
      </c>
      <c r="I248" s="1">
        <v>0</v>
      </c>
      <c r="J248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49" spans="2:10" x14ac:dyDescent="0.3">
      <c r="B249" s="1">
        <f t="shared" si="3"/>
        <v>244</v>
      </c>
      <c r="C249" t="str">
        <f>IFERROR(VLOOKUP(BDOBLIGACIONES[[#This Row],[NROKARDEX]],BDPADRES[],8,FALSE),"Sin registrado")</f>
        <v>SIXTA AGUILLAR TABUADA</v>
      </c>
      <c r="D249" s="1">
        <f>IF(VLOOKUP(B249,BDREGISTROAPORTES2025[],5,FALSE)="165",0,"165")</f>
        <v>0</v>
      </c>
      <c r="E249" s="1" t="str">
        <f>IF(VLOOKUP(B249,BDREGISTROBTH2025[],5,FALSE)="100",0,"100")</f>
        <v>100</v>
      </c>
      <c r="F249" s="1">
        <f>VLOOKUP(B249,BDREGISTROASAMBLEA2025[],8,FALSE)</f>
        <v>0</v>
      </c>
      <c r="G249" s="1">
        <f>VLOOKUP(B249,BDREGISTROMINGA2025[],6,FALSE)</f>
        <v>0</v>
      </c>
      <c r="H249" s="1">
        <v>0</v>
      </c>
      <c r="I249" s="1">
        <v>0</v>
      </c>
      <c r="J249" s="1">
        <f>BDOBLIGACIONES[[#This Row],[ASAMBLEA]]+BDOBLIGACIONES[[#This Row],[MINGA]]+BDOBLIGACIONES[[#This Row],[DELEGADOS]]+BDOBLIGACIONES[[#This Row],[CURSO]]+BDOBLIGACIONES[[#This Row],[APORTE]]+BDOBLIGACIONES[[#This Row],[BTH]]</f>
        <v>100</v>
      </c>
    </row>
    <row r="250" spans="2:10" x14ac:dyDescent="0.3">
      <c r="B250" s="1">
        <f t="shared" si="3"/>
        <v>245</v>
      </c>
      <c r="C250" t="str">
        <f>IFERROR(VLOOKUP(BDOBLIGACIONES[[#This Row],[NROKARDEX]],BDPADRES[],8,FALSE),"Sin registrado")</f>
        <v>ANTONIA CARABALLO BALLESTEROS</v>
      </c>
      <c r="D250" s="1">
        <f>IF(VLOOKUP(B250,BDREGISTROAPORTES2025[],5,FALSE)="165",0,"165")</f>
        <v>0</v>
      </c>
      <c r="E250" s="1">
        <f>IF(VLOOKUP(B250,BDREGISTROBTH2025[],5,FALSE)="100",0,"100")</f>
        <v>0</v>
      </c>
      <c r="F250" s="1">
        <f>VLOOKUP(B250,BDREGISTROASAMBLEA2025[],8,FALSE)</f>
        <v>0</v>
      </c>
      <c r="G250" s="1">
        <f>VLOOKUP(B250,BDREGISTROMINGA2025[],6,FALSE)</f>
        <v>0</v>
      </c>
      <c r="H250" s="1">
        <v>0</v>
      </c>
      <c r="I250" s="1">
        <v>0</v>
      </c>
      <c r="J250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51" spans="2:10" x14ac:dyDescent="0.3">
      <c r="B251" s="1">
        <f t="shared" si="3"/>
        <v>246</v>
      </c>
      <c r="C251" t="str">
        <f>IFERROR(VLOOKUP(BDOBLIGACIONES[[#This Row],[NROKARDEX]],BDPADRES[],8,FALSE),"Sin registrado")</f>
        <v>SEMIDA CUCHALLO TORRICO</v>
      </c>
      <c r="D251" s="1">
        <f>IF(VLOOKUP(B251,BDREGISTROAPORTES2025[],5,FALSE)="165",0,"165")</f>
        <v>0</v>
      </c>
      <c r="E251" s="1">
        <f>IF(VLOOKUP(B251,BDREGISTROBTH2025[],5,FALSE)="100",0,"100")</f>
        <v>0</v>
      </c>
      <c r="F251" s="1">
        <f>VLOOKUP(B251,BDREGISTROASAMBLEA2025[],8,FALSE)</f>
        <v>0</v>
      </c>
      <c r="G251" s="1">
        <f>VLOOKUP(B251,BDREGISTROMINGA2025[],6,FALSE)</f>
        <v>0</v>
      </c>
      <c r="H251" s="1">
        <v>0</v>
      </c>
      <c r="I251" s="1">
        <v>0</v>
      </c>
      <c r="J251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52" spans="2:10" x14ac:dyDescent="0.3">
      <c r="B252" s="1">
        <f t="shared" si="3"/>
        <v>247</v>
      </c>
      <c r="C252" t="str">
        <f>IFERROR(VLOOKUP(BDOBLIGACIONES[[#This Row],[NROKARDEX]],BDPADRES[],8,FALSE),"Sin registrado")</f>
        <v>DELIA MARCELA VARGAS RIVERA</v>
      </c>
      <c r="D252" s="1">
        <f>IF(VLOOKUP(B252,BDREGISTROAPORTES2025[],5,FALSE)="165",0,"165")</f>
        <v>0</v>
      </c>
      <c r="E252" s="1">
        <f>IF(VLOOKUP(B252,BDREGISTROBTH2025[],5,FALSE)="100",0,"100")</f>
        <v>0</v>
      </c>
      <c r="F252" s="1">
        <f>VLOOKUP(B252,BDREGISTROASAMBLEA2025[],8,FALSE)</f>
        <v>0</v>
      </c>
      <c r="G252" s="1">
        <f>VLOOKUP(B252,BDREGISTROMINGA2025[],6,FALSE)</f>
        <v>0</v>
      </c>
      <c r="H252" s="1">
        <v>0</v>
      </c>
      <c r="I252" s="1">
        <v>0</v>
      </c>
      <c r="J252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53" spans="2:10" x14ac:dyDescent="0.3">
      <c r="B253" s="1">
        <f t="shared" si="3"/>
        <v>248</v>
      </c>
      <c r="C253" s="8" t="str">
        <f>IFERROR(VLOOKUP(BDOBLIGACIONES[[#This Row],[NROKARDEX]],BDPADRES[],8,FALSE),"Sin registrado")</f>
        <v>Sin registrado</v>
      </c>
      <c r="D253" s="1" t="str">
        <f>IF(VLOOKUP(B253,BDREGISTROAPORTES2025[],5,FALSE)="165",0,"165")</f>
        <v>165</v>
      </c>
      <c r="E253" s="1" t="str">
        <f>IF(VLOOKUP(B253,BDREGISTROBTH2025[],5,FALSE)="100",0,"100")</f>
        <v>100</v>
      </c>
      <c r="F253" s="1">
        <f>VLOOKUP(B253,BDREGISTROASAMBLEA2025[],8,FALSE)</f>
        <v>0</v>
      </c>
      <c r="G253" s="1">
        <f>VLOOKUP(B253,BDREGISTROMINGA2025[],6,FALSE)</f>
        <v>0</v>
      </c>
      <c r="H253" s="1">
        <v>0</v>
      </c>
      <c r="I253" s="1">
        <v>0</v>
      </c>
      <c r="J253" s="1">
        <f>BDOBLIGACIONES[[#This Row],[ASAMBLEA]]+BDOBLIGACIONES[[#This Row],[MINGA]]+BDOBLIGACIONES[[#This Row],[DELEGADOS]]+BDOBLIGACIONES[[#This Row],[CURSO]]+BDOBLIGACIONES[[#This Row],[APORTE]]+BDOBLIGACIONES[[#This Row],[BTH]]</f>
        <v>265</v>
      </c>
    </row>
    <row r="254" spans="2:10" x14ac:dyDescent="0.3">
      <c r="B254" s="1">
        <f t="shared" si="3"/>
        <v>249</v>
      </c>
      <c r="C254" t="str">
        <f>IFERROR(VLOOKUP(BDOBLIGACIONES[[#This Row],[NROKARDEX]],BDPADRES[],8,FALSE),"Sin registrado")</f>
        <v>NEIDA MEJIA BEJARANO</v>
      </c>
      <c r="D254" s="1">
        <f>IF(VLOOKUP(B254,BDREGISTROAPORTES2025[],5,FALSE)="165",0,"165")</f>
        <v>0</v>
      </c>
      <c r="E254" s="1">
        <f>IF(VLOOKUP(B254,BDREGISTROBTH2025[],5,FALSE)="100",0,"100")</f>
        <v>0</v>
      </c>
      <c r="F254" s="1">
        <f>VLOOKUP(B254,BDREGISTROASAMBLEA2025[],8,FALSE)</f>
        <v>0</v>
      </c>
      <c r="G254" s="1">
        <f>VLOOKUP(B254,BDREGISTROMINGA2025[],6,FALSE)</f>
        <v>0</v>
      </c>
      <c r="H254" s="1">
        <v>0</v>
      </c>
      <c r="I254" s="1">
        <v>0</v>
      </c>
      <c r="J254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55" spans="2:10" x14ac:dyDescent="0.3">
      <c r="B255" s="1">
        <f t="shared" si="3"/>
        <v>250</v>
      </c>
      <c r="C255" t="str">
        <f>IFERROR(VLOOKUP(BDOBLIGACIONES[[#This Row],[NROKARDEX]],BDPADRES[],8,FALSE),"Sin registrado")</f>
        <v>MARIA LOURDES GARCIA LARA</v>
      </c>
      <c r="D255" s="1">
        <f>IF(VLOOKUP(B255,BDREGISTROAPORTES2025[],5,FALSE)="165",0,"165")</f>
        <v>0</v>
      </c>
      <c r="E255" s="1">
        <f>IF(VLOOKUP(B255,BDREGISTROBTH2025[],5,FALSE)="100",0,"100")</f>
        <v>0</v>
      </c>
      <c r="F255" s="1">
        <f>VLOOKUP(B255,BDREGISTROASAMBLEA2025[],8,FALSE)</f>
        <v>0</v>
      </c>
      <c r="G255" s="1">
        <f>VLOOKUP(B255,BDREGISTROMINGA2025[],6,FALSE)</f>
        <v>0</v>
      </c>
      <c r="H255" s="1">
        <v>0</v>
      </c>
      <c r="I255" s="1">
        <v>0</v>
      </c>
      <c r="J255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56" spans="2:10" x14ac:dyDescent="0.3">
      <c r="B256" s="1">
        <f t="shared" si="3"/>
        <v>251</v>
      </c>
      <c r="C256" t="str">
        <f>IFERROR(VLOOKUP(BDOBLIGACIONES[[#This Row],[NROKARDEX]],BDPADRES[],8,FALSE),"Sin registrado")</f>
        <v>Sin registrado</v>
      </c>
      <c r="D256" s="1" t="str">
        <f>IF(VLOOKUP(B256,BDREGISTROAPORTES2025[],5,FALSE)="165",0,"165")</f>
        <v>165</v>
      </c>
      <c r="E256" s="1" t="str">
        <f>IF(VLOOKUP(B256,BDREGISTROBTH2025[],5,FALSE)="100",0,"100")</f>
        <v>100</v>
      </c>
      <c r="F256" s="1">
        <f>VLOOKUP(B256,BDREGISTROASAMBLEA2025[],8,FALSE)</f>
        <v>0</v>
      </c>
      <c r="G256" s="1">
        <f>VLOOKUP(B256,BDREGISTROMINGA2025[],6,FALSE)</f>
        <v>0</v>
      </c>
      <c r="H256" s="1">
        <v>0</v>
      </c>
      <c r="I256" s="1">
        <v>0</v>
      </c>
      <c r="J256" s="1">
        <f>BDOBLIGACIONES[[#This Row],[ASAMBLEA]]+BDOBLIGACIONES[[#This Row],[MINGA]]+BDOBLIGACIONES[[#This Row],[DELEGADOS]]+BDOBLIGACIONES[[#This Row],[CURSO]]+BDOBLIGACIONES[[#This Row],[APORTE]]+BDOBLIGACIONES[[#This Row],[BTH]]</f>
        <v>265</v>
      </c>
    </row>
    <row r="257" spans="2:10" x14ac:dyDescent="0.3">
      <c r="B257" s="1">
        <f t="shared" si="3"/>
        <v>252</v>
      </c>
      <c r="C257" t="str">
        <f>IFERROR(VLOOKUP(BDOBLIGACIONES[[#This Row],[NROKARDEX]],BDPADRES[],8,FALSE),"Sin registrado")</f>
        <v>REYNA GALARZA PEREDO</v>
      </c>
      <c r="D257" s="1">
        <f>IF(VLOOKUP(B257,BDREGISTROAPORTES2025[],5,FALSE)="165",0,"165")</f>
        <v>0</v>
      </c>
      <c r="E257" s="1">
        <f>IF(VLOOKUP(B257,BDREGISTROBTH2025[],5,FALSE)="100",0,"100")</f>
        <v>0</v>
      </c>
      <c r="F257" s="1">
        <f>VLOOKUP(B257,BDREGISTROASAMBLEA2025[],8,FALSE)</f>
        <v>0</v>
      </c>
      <c r="G257" s="1">
        <f>VLOOKUP(B257,BDREGISTROMINGA2025[],6,FALSE)</f>
        <v>0</v>
      </c>
      <c r="H257" s="1">
        <v>0</v>
      </c>
      <c r="I257" s="1">
        <v>0</v>
      </c>
      <c r="J257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58" spans="2:10" x14ac:dyDescent="0.3">
      <c r="B258" s="1">
        <f t="shared" si="3"/>
        <v>253</v>
      </c>
      <c r="C258" t="str">
        <f>IFERROR(VLOOKUP(BDOBLIGACIONES[[#This Row],[NROKARDEX]],BDPADRES[],8,FALSE),"Sin registrado")</f>
        <v>MARISOL MORALES AÑEZ</v>
      </c>
      <c r="D258" s="1">
        <f>IF(VLOOKUP(B258,BDREGISTROAPORTES2025[],5,FALSE)="165",0,"165")</f>
        <v>0</v>
      </c>
      <c r="E258" s="1">
        <f>IF(VLOOKUP(B258,BDREGISTROBTH2025[],5,FALSE)="100",0,"100")</f>
        <v>0</v>
      </c>
      <c r="F258" s="1">
        <f>VLOOKUP(B258,BDREGISTROASAMBLEA2025[],8,FALSE)</f>
        <v>0</v>
      </c>
      <c r="G258" s="1">
        <f>VLOOKUP(B258,BDREGISTROMINGA2025[],6,FALSE)</f>
        <v>0</v>
      </c>
      <c r="H258" s="1">
        <v>0</v>
      </c>
      <c r="I258" s="1">
        <v>0</v>
      </c>
      <c r="J258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59" spans="2:10" x14ac:dyDescent="0.3">
      <c r="B259" s="1">
        <f t="shared" si="3"/>
        <v>254</v>
      </c>
      <c r="C259" t="str">
        <f>IFERROR(VLOOKUP(BDOBLIGACIONES[[#This Row],[NROKARDEX]],BDPADRES[],8,FALSE),"Sin registrado")</f>
        <v>FILOMENA ZAMBRANA COCA</v>
      </c>
      <c r="D259" s="1">
        <f>IF(VLOOKUP(B259,BDREGISTROAPORTES2025[],5,FALSE)="165",0,"165")</f>
        <v>0</v>
      </c>
      <c r="E259" s="1">
        <f>IF(VLOOKUP(B259,BDREGISTROBTH2025[],5,FALSE)="100",0,"100")</f>
        <v>0</v>
      </c>
      <c r="F259" s="1">
        <f>VLOOKUP(B259,BDREGISTROASAMBLEA2025[],8,FALSE)</f>
        <v>0</v>
      </c>
      <c r="G259" s="1">
        <f>VLOOKUP(B259,BDREGISTROMINGA2025[],6,FALSE)</f>
        <v>0</v>
      </c>
      <c r="H259" s="1">
        <v>0</v>
      </c>
      <c r="I259" s="1">
        <v>0</v>
      </c>
      <c r="J259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60" spans="2:10" x14ac:dyDescent="0.3">
      <c r="B260" s="1">
        <f t="shared" si="3"/>
        <v>255</v>
      </c>
      <c r="C260" t="str">
        <f>IFERROR(VLOOKUP(BDOBLIGACIONES[[#This Row],[NROKARDEX]],BDPADRES[],8,FALSE),"Sin registrado")</f>
        <v>SANDRA BALLESTEROS TORREZ</v>
      </c>
      <c r="D260" s="1">
        <f>IF(VLOOKUP(B260,BDREGISTROAPORTES2025[],5,FALSE)="165",0,"165")</f>
        <v>0</v>
      </c>
      <c r="E260" s="1" t="str">
        <f>IF(VLOOKUP(B260,BDREGISTROBTH2025[],5,FALSE)="100",0,"100")</f>
        <v>100</v>
      </c>
      <c r="F260" s="1">
        <f>VLOOKUP(B260,BDREGISTROASAMBLEA2025[],8,FALSE)</f>
        <v>0</v>
      </c>
      <c r="G260" s="1">
        <f>VLOOKUP(B260,BDREGISTROMINGA2025[],6,FALSE)</f>
        <v>0</v>
      </c>
      <c r="H260" s="1">
        <v>0</v>
      </c>
      <c r="I260" s="1">
        <v>0</v>
      </c>
      <c r="J260" s="1">
        <f>BDOBLIGACIONES[[#This Row],[ASAMBLEA]]+BDOBLIGACIONES[[#This Row],[MINGA]]+BDOBLIGACIONES[[#This Row],[DELEGADOS]]+BDOBLIGACIONES[[#This Row],[CURSO]]+BDOBLIGACIONES[[#This Row],[APORTE]]+BDOBLIGACIONES[[#This Row],[BTH]]</f>
        <v>100</v>
      </c>
    </row>
    <row r="261" spans="2:10" x14ac:dyDescent="0.3">
      <c r="B261" s="1">
        <f t="shared" si="3"/>
        <v>256</v>
      </c>
      <c r="C261" s="8" t="str">
        <f>IFERROR(VLOOKUP(BDOBLIGACIONES[[#This Row],[NROKARDEX]],BDPADRES[],8,FALSE),"Sin registrado")</f>
        <v>Sin registrado</v>
      </c>
      <c r="D261" s="1" t="str">
        <f>IF(VLOOKUP(B261,BDREGISTROAPORTES2025[],5,FALSE)="165",0,"165")</f>
        <v>165</v>
      </c>
      <c r="E261" s="1" t="str">
        <f>IF(VLOOKUP(B261,BDREGISTROBTH2025[],5,FALSE)="100",0,"100")</f>
        <v>100</v>
      </c>
      <c r="F261" s="1">
        <f>VLOOKUP(B261,BDREGISTROASAMBLEA2025[],8,FALSE)</f>
        <v>0</v>
      </c>
      <c r="G261" s="1">
        <f>VLOOKUP(B261,BDREGISTROMINGA2025[],6,FALSE)</f>
        <v>0</v>
      </c>
      <c r="H261" s="1">
        <v>0</v>
      </c>
      <c r="I261" s="1">
        <v>0</v>
      </c>
      <c r="J261" s="1">
        <f>BDOBLIGACIONES[[#This Row],[ASAMBLEA]]+BDOBLIGACIONES[[#This Row],[MINGA]]+BDOBLIGACIONES[[#This Row],[DELEGADOS]]+BDOBLIGACIONES[[#This Row],[CURSO]]+BDOBLIGACIONES[[#This Row],[APORTE]]+BDOBLIGACIONES[[#This Row],[BTH]]</f>
        <v>265</v>
      </c>
    </row>
    <row r="262" spans="2:10" x14ac:dyDescent="0.3">
      <c r="B262" s="1">
        <f t="shared" si="3"/>
        <v>257</v>
      </c>
      <c r="C262" t="str">
        <f>IFERROR(VLOOKUP(BDOBLIGACIONES[[#This Row],[NROKARDEX]],BDPADRES[],8,FALSE),"Sin registrado")</f>
        <v>RAUL MARTINEZ AGUANTA</v>
      </c>
      <c r="D262" s="1">
        <f>IF(VLOOKUP(B262,BDREGISTROAPORTES2025[],5,FALSE)="165",0,"165")</f>
        <v>0</v>
      </c>
      <c r="E262" s="1">
        <f>IF(VLOOKUP(B262,BDREGISTROBTH2025[],5,FALSE)="100",0,"100")</f>
        <v>0</v>
      </c>
      <c r="F262" s="1">
        <f>VLOOKUP(B262,BDREGISTROASAMBLEA2025[],8,FALSE)</f>
        <v>0</v>
      </c>
      <c r="G262" s="1">
        <f>VLOOKUP(B262,BDREGISTROMINGA2025[],6,FALSE)</f>
        <v>0</v>
      </c>
      <c r="H262" s="1">
        <v>0</v>
      </c>
      <c r="I262" s="1">
        <v>0</v>
      </c>
      <c r="J262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63" spans="2:10" x14ac:dyDescent="0.3">
      <c r="B263" s="1">
        <f t="shared" si="3"/>
        <v>258</v>
      </c>
      <c r="C263" t="str">
        <f>IFERROR(VLOOKUP(BDOBLIGACIONES[[#This Row],[NROKARDEX]],BDPADRES[],8,FALSE),"Sin registrado")</f>
        <v>REBECA SANGREDE CONDORI</v>
      </c>
      <c r="D263" s="1">
        <f>IF(VLOOKUP(B263,BDREGISTROAPORTES2025[],5,FALSE)="165",0,"165")</f>
        <v>0</v>
      </c>
      <c r="E263" s="1">
        <f>IF(VLOOKUP(B263,BDREGISTROBTH2025[],5,FALSE)="100",0,"100")</f>
        <v>0</v>
      </c>
      <c r="F263" s="1">
        <f>VLOOKUP(B263,BDREGISTROASAMBLEA2025[],8,FALSE)</f>
        <v>0</v>
      </c>
      <c r="G263" s="1">
        <f>VLOOKUP(B263,BDREGISTROMINGA2025[],6,FALSE)</f>
        <v>0</v>
      </c>
      <c r="H263" s="1">
        <v>0</v>
      </c>
      <c r="I263" s="1">
        <v>0</v>
      </c>
      <c r="J263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64" spans="2:10" x14ac:dyDescent="0.3">
      <c r="B264" s="1">
        <f t="shared" si="3"/>
        <v>259</v>
      </c>
      <c r="C264" t="str">
        <f>IFERROR(VLOOKUP(BDOBLIGACIONES[[#This Row],[NROKARDEX]],BDPADRES[],8,FALSE),"Sin registrado")</f>
        <v>JUANA  CORTEZ ARAUZ</v>
      </c>
      <c r="D264" s="1">
        <f>IF(VLOOKUP(B264,BDREGISTROAPORTES2025[],5,FALSE)="165",0,"165")</f>
        <v>0</v>
      </c>
      <c r="E264" s="1">
        <f>IF(VLOOKUP(B264,BDREGISTROBTH2025[],5,FALSE)="100",0,"100")</f>
        <v>0</v>
      </c>
      <c r="F264" s="1">
        <f>VLOOKUP(B264,BDREGISTROASAMBLEA2025[],8,FALSE)</f>
        <v>0</v>
      </c>
      <c r="G264" s="1">
        <f>VLOOKUP(B264,BDREGISTROMINGA2025[],6,FALSE)</f>
        <v>0</v>
      </c>
      <c r="H264" s="1">
        <v>0</v>
      </c>
      <c r="I264" s="1">
        <v>0</v>
      </c>
      <c r="J264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65" spans="2:10" x14ac:dyDescent="0.3">
      <c r="B265" s="1">
        <f t="shared" ref="B265:B328" si="4">ROW(A260)</f>
        <v>260</v>
      </c>
      <c r="C265" t="str">
        <f>IFERROR(VLOOKUP(BDOBLIGACIONES[[#This Row],[NROKARDEX]],BDPADRES[],8,FALSE),"Sin registrado")</f>
        <v>CELIA BEJARANO CHOQUE</v>
      </c>
      <c r="D265" s="1">
        <f>IF(VLOOKUP(B265,BDREGISTROAPORTES2025[],5,FALSE)="165",0,"165")</f>
        <v>0</v>
      </c>
      <c r="E265" s="1">
        <f>IF(VLOOKUP(B265,BDREGISTROBTH2025[],5,FALSE)="100",0,"100")</f>
        <v>0</v>
      </c>
      <c r="F265" s="1">
        <f>VLOOKUP(B265,BDREGISTROASAMBLEA2025[],8,FALSE)</f>
        <v>0</v>
      </c>
      <c r="G265" s="1">
        <f>VLOOKUP(B265,BDREGISTROMINGA2025[],6,FALSE)</f>
        <v>0</v>
      </c>
      <c r="H265" s="1">
        <v>0</v>
      </c>
      <c r="I265" s="1">
        <v>0</v>
      </c>
      <c r="J265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66" spans="2:10" x14ac:dyDescent="0.3">
      <c r="B266" s="1">
        <f t="shared" si="4"/>
        <v>261</v>
      </c>
      <c r="C266" t="str">
        <f>IFERROR(VLOOKUP(BDOBLIGACIONES[[#This Row],[NROKARDEX]],BDPADRES[],8,FALSE),"Sin registrado")</f>
        <v>BEATRIZ COA CHOQUE</v>
      </c>
      <c r="D266" s="1">
        <f>IF(VLOOKUP(B266,BDREGISTROAPORTES2025[],5,FALSE)="165",0,"165")</f>
        <v>0</v>
      </c>
      <c r="E266" s="1" t="str">
        <f>IF(VLOOKUP(B266,BDREGISTROBTH2025[],5,FALSE)="100",0,"100")</f>
        <v>100</v>
      </c>
      <c r="F266" s="1">
        <f>VLOOKUP(B266,BDREGISTROASAMBLEA2025[],8,FALSE)</f>
        <v>0</v>
      </c>
      <c r="G266" s="1">
        <f>VLOOKUP(B266,BDREGISTROMINGA2025[],6,FALSE)</f>
        <v>0</v>
      </c>
      <c r="H266" s="1">
        <v>0</v>
      </c>
      <c r="I266" s="1">
        <v>0</v>
      </c>
      <c r="J266" s="1">
        <f>BDOBLIGACIONES[[#This Row],[ASAMBLEA]]+BDOBLIGACIONES[[#This Row],[MINGA]]+BDOBLIGACIONES[[#This Row],[DELEGADOS]]+BDOBLIGACIONES[[#This Row],[CURSO]]+BDOBLIGACIONES[[#This Row],[APORTE]]+BDOBLIGACIONES[[#This Row],[BTH]]</f>
        <v>100</v>
      </c>
    </row>
    <row r="267" spans="2:10" x14ac:dyDescent="0.3">
      <c r="B267" s="1">
        <f t="shared" si="4"/>
        <v>262</v>
      </c>
      <c r="C267" t="str">
        <f>IFERROR(VLOOKUP(BDOBLIGACIONES[[#This Row],[NROKARDEX]],BDPADRES[],8,FALSE),"Sin registrado")</f>
        <v>MARICRUZ GUAYAO RIVERA</v>
      </c>
      <c r="D267" s="1">
        <f>IF(VLOOKUP(B267,BDREGISTROAPORTES2025[],5,FALSE)="165",0,"165")</f>
        <v>0</v>
      </c>
      <c r="E267" s="1">
        <f>IF(VLOOKUP(B267,BDREGISTROBTH2025[],5,FALSE)="100",0,"100")</f>
        <v>0</v>
      </c>
      <c r="F267" s="1">
        <f>VLOOKUP(B267,BDREGISTROASAMBLEA2025[],8,FALSE)</f>
        <v>0</v>
      </c>
      <c r="G267" s="1">
        <f>VLOOKUP(B267,BDREGISTROMINGA2025[],6,FALSE)</f>
        <v>0</v>
      </c>
      <c r="H267" s="1">
        <v>0</v>
      </c>
      <c r="I267" s="1">
        <v>0</v>
      </c>
      <c r="J267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68" spans="2:10" x14ac:dyDescent="0.3">
      <c r="B268" s="1">
        <f t="shared" si="4"/>
        <v>263</v>
      </c>
      <c r="C268" t="str">
        <f>IFERROR(VLOOKUP(BDOBLIGACIONES[[#This Row],[NROKARDEX]],BDPADRES[],8,FALSE),"Sin registrado")</f>
        <v>ELUTERIA CASTRO ARENAS</v>
      </c>
      <c r="D268" s="1">
        <f>IF(VLOOKUP(B268,BDREGISTROAPORTES2025[],5,FALSE)="165",0,"165")</f>
        <v>0</v>
      </c>
      <c r="E268" s="1">
        <f>IF(VLOOKUP(B268,BDREGISTROBTH2025[],5,FALSE)="100",0,"100")</f>
        <v>0</v>
      </c>
      <c r="F268" s="1">
        <f>VLOOKUP(B268,BDREGISTROASAMBLEA2025[],8,FALSE)</f>
        <v>0</v>
      </c>
      <c r="G268" s="1">
        <f>VLOOKUP(B268,BDREGISTROMINGA2025[],6,FALSE)</f>
        <v>0</v>
      </c>
      <c r="H268" s="1">
        <v>0</v>
      </c>
      <c r="I268" s="1">
        <v>0</v>
      </c>
      <c r="J268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69" spans="2:10" x14ac:dyDescent="0.3">
      <c r="B269" s="1">
        <f t="shared" si="4"/>
        <v>264</v>
      </c>
      <c r="C269" t="str">
        <f>IFERROR(VLOOKUP(BDOBLIGACIONES[[#This Row],[NROKARDEX]],BDPADRES[],8,FALSE),"Sin registrado")</f>
        <v>CATALINA ROMELIA GARCIA</v>
      </c>
      <c r="D269" s="1">
        <f>IF(VLOOKUP(B269,BDREGISTROAPORTES2025[],5,FALSE)="165",0,"165")</f>
        <v>0</v>
      </c>
      <c r="E269" s="1">
        <f>IF(VLOOKUP(B269,BDREGISTROBTH2025[],5,FALSE)="100",0,"100")</f>
        <v>0</v>
      </c>
      <c r="F269" s="1">
        <f>VLOOKUP(B269,BDREGISTROASAMBLEA2025[],8,FALSE)</f>
        <v>0</v>
      </c>
      <c r="G269" s="1">
        <f>VLOOKUP(B269,BDREGISTROMINGA2025[],6,FALSE)</f>
        <v>0</v>
      </c>
      <c r="H269" s="1">
        <v>0</v>
      </c>
      <c r="I269" s="1">
        <v>0</v>
      </c>
      <c r="J269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70" spans="2:10" x14ac:dyDescent="0.3">
      <c r="B270" s="1">
        <f t="shared" si="4"/>
        <v>265</v>
      </c>
      <c r="C270" t="str">
        <f>IFERROR(VLOOKUP(BDOBLIGACIONES[[#This Row],[NROKARDEX]],BDPADRES[],8,FALSE),"Sin registrado")</f>
        <v>ALBAIDA MANSILLA ALDANA</v>
      </c>
      <c r="D270" s="1">
        <f>IF(VLOOKUP(B270,BDREGISTROAPORTES2025[],5,FALSE)="165",0,"165")</f>
        <v>0</v>
      </c>
      <c r="E270" s="1">
        <f>IF(VLOOKUP(B270,BDREGISTROBTH2025[],5,FALSE)="100",0,"100")</f>
        <v>0</v>
      </c>
      <c r="F270" s="1">
        <f>VLOOKUP(B270,BDREGISTROASAMBLEA2025[],8,FALSE)</f>
        <v>0</v>
      </c>
      <c r="G270" s="1">
        <f>VLOOKUP(B270,BDREGISTROMINGA2025[],6,FALSE)</f>
        <v>0</v>
      </c>
      <c r="H270" s="1">
        <v>0</v>
      </c>
      <c r="I270" s="1">
        <v>0</v>
      </c>
      <c r="J270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71" spans="2:10" x14ac:dyDescent="0.3">
      <c r="B271" s="1">
        <f t="shared" si="4"/>
        <v>266</v>
      </c>
      <c r="C271" t="str">
        <f>IFERROR(VLOOKUP(BDOBLIGACIONES[[#This Row],[NROKARDEX]],BDPADRES[],8,FALSE),"Sin registrado")</f>
        <v>ROSA LEON TORREZ</v>
      </c>
      <c r="D271" s="1">
        <f>IF(VLOOKUP(B271,BDREGISTROAPORTES2025[],5,FALSE)="165",0,"165")</f>
        <v>0</v>
      </c>
      <c r="E271" s="1">
        <f>IF(VLOOKUP(B271,BDREGISTROBTH2025[],5,FALSE)="100",0,"100")</f>
        <v>0</v>
      </c>
      <c r="F271" s="1">
        <f>VLOOKUP(B271,BDREGISTROASAMBLEA2025[],8,FALSE)</f>
        <v>0</v>
      </c>
      <c r="G271" s="1">
        <f>VLOOKUP(B271,BDREGISTROMINGA2025[],6,FALSE)</f>
        <v>0</v>
      </c>
      <c r="H271" s="1">
        <v>0</v>
      </c>
      <c r="I271" s="1">
        <v>0</v>
      </c>
      <c r="J271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72" spans="2:10" x14ac:dyDescent="0.3">
      <c r="B272" s="1">
        <f t="shared" si="4"/>
        <v>267</v>
      </c>
      <c r="C272" t="str">
        <f>IFERROR(VLOOKUP(BDOBLIGACIONES[[#This Row],[NROKARDEX]],BDPADRES[],8,FALSE),"Sin registrado")</f>
        <v>JULIA  ALCARAZ SANABRIA</v>
      </c>
      <c r="D272" s="1">
        <f>IF(VLOOKUP(B272,BDREGISTROAPORTES2025[],5,FALSE)="165",0,"165")</f>
        <v>0</v>
      </c>
      <c r="E272" s="1">
        <f>IF(VLOOKUP(B272,BDREGISTROBTH2025[],5,FALSE)="100",0,"100")</f>
        <v>0</v>
      </c>
      <c r="F272" s="1">
        <f>VLOOKUP(B272,BDREGISTROASAMBLEA2025[],8,FALSE)</f>
        <v>0</v>
      </c>
      <c r="G272" s="1">
        <f>VLOOKUP(B272,BDREGISTROMINGA2025[],6,FALSE)</f>
        <v>0</v>
      </c>
      <c r="H272" s="1">
        <v>0</v>
      </c>
      <c r="I272" s="1">
        <v>0</v>
      </c>
      <c r="J272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73" spans="2:10" x14ac:dyDescent="0.3">
      <c r="B273" s="1">
        <f t="shared" si="4"/>
        <v>268</v>
      </c>
      <c r="C273" t="str">
        <f>IFERROR(VLOOKUP(BDOBLIGACIONES[[#This Row],[NROKARDEX]],BDPADRES[],8,FALSE),"Sin registrado")</f>
        <v>YINA DANIELA DORADO MONTENEGRO</v>
      </c>
      <c r="D273" s="1">
        <f>IF(VLOOKUP(B273,BDREGISTROAPORTES2025[],5,FALSE)="165",0,"165")</f>
        <v>0</v>
      </c>
      <c r="E273" s="1" t="str">
        <f>IF(VLOOKUP(B273,BDREGISTROBTH2025[],5,FALSE)="100",0,"100")</f>
        <v>100</v>
      </c>
      <c r="F273" s="1">
        <f>VLOOKUP(B273,BDREGISTROASAMBLEA2025[],8,FALSE)</f>
        <v>0</v>
      </c>
      <c r="G273" s="1">
        <f>VLOOKUP(B273,BDREGISTROMINGA2025[],6,FALSE)</f>
        <v>0</v>
      </c>
      <c r="H273" s="1">
        <v>0</v>
      </c>
      <c r="I273" s="1">
        <v>0</v>
      </c>
      <c r="J273" s="1">
        <f>BDOBLIGACIONES[[#This Row],[ASAMBLEA]]+BDOBLIGACIONES[[#This Row],[MINGA]]+BDOBLIGACIONES[[#This Row],[DELEGADOS]]+BDOBLIGACIONES[[#This Row],[CURSO]]+BDOBLIGACIONES[[#This Row],[APORTE]]+BDOBLIGACIONES[[#This Row],[BTH]]</f>
        <v>100</v>
      </c>
    </row>
    <row r="274" spans="2:10" x14ac:dyDescent="0.3">
      <c r="B274" s="1">
        <f t="shared" si="4"/>
        <v>269</v>
      </c>
      <c r="C274" t="str">
        <f>IFERROR(VLOOKUP(BDOBLIGACIONES[[#This Row],[NROKARDEX]],BDPADRES[],8,FALSE),"Sin registrado")</f>
        <v>LORENZA AMADOR SULLCA</v>
      </c>
      <c r="D274" s="1">
        <f>IF(VLOOKUP(B274,BDREGISTROAPORTES2025[],5,FALSE)="165",0,"165")</f>
        <v>0</v>
      </c>
      <c r="E274" s="1">
        <f>IF(VLOOKUP(B274,BDREGISTROBTH2025[],5,FALSE)="100",0,"100")</f>
        <v>0</v>
      </c>
      <c r="F274" s="1">
        <f>VLOOKUP(B274,BDREGISTROASAMBLEA2025[],8,FALSE)</f>
        <v>0</v>
      </c>
      <c r="G274" s="1">
        <f>VLOOKUP(B274,BDREGISTROMINGA2025[],6,FALSE)</f>
        <v>0</v>
      </c>
      <c r="H274" s="1">
        <v>0</v>
      </c>
      <c r="I274" s="1">
        <v>0</v>
      </c>
      <c r="J274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75" spans="2:10" x14ac:dyDescent="0.3">
      <c r="B275" s="1">
        <f t="shared" si="4"/>
        <v>270</v>
      </c>
      <c r="C275" s="8" t="str">
        <f>IFERROR(VLOOKUP(BDOBLIGACIONES[[#This Row],[NROKARDEX]],BDPADRES[],8,FALSE),"Sin registrado")</f>
        <v>Sin registrado</v>
      </c>
      <c r="D275" s="1" t="str">
        <f>IF(VLOOKUP(B275,BDREGISTROAPORTES2025[],5,FALSE)="165",0,"165")</f>
        <v>165</v>
      </c>
      <c r="E275" s="1" t="str">
        <f>IF(VLOOKUP(B275,BDREGISTROBTH2025[],5,FALSE)="100",0,"100")</f>
        <v>100</v>
      </c>
      <c r="F275" s="1">
        <f>VLOOKUP(B275,BDREGISTROASAMBLEA2025[],8,FALSE)</f>
        <v>0</v>
      </c>
      <c r="G275" s="1">
        <f>VLOOKUP(B275,BDREGISTROMINGA2025[],6,FALSE)</f>
        <v>0</v>
      </c>
      <c r="H275" s="1">
        <v>0</v>
      </c>
      <c r="I275" s="1">
        <v>0</v>
      </c>
      <c r="J275" s="1">
        <f>BDOBLIGACIONES[[#This Row],[ASAMBLEA]]+BDOBLIGACIONES[[#This Row],[MINGA]]+BDOBLIGACIONES[[#This Row],[DELEGADOS]]+BDOBLIGACIONES[[#This Row],[CURSO]]+BDOBLIGACIONES[[#This Row],[APORTE]]+BDOBLIGACIONES[[#This Row],[BTH]]</f>
        <v>265</v>
      </c>
    </row>
    <row r="276" spans="2:10" x14ac:dyDescent="0.3">
      <c r="B276" s="1">
        <f t="shared" si="4"/>
        <v>271</v>
      </c>
      <c r="C276" t="str">
        <f>IFERROR(VLOOKUP(BDOBLIGACIONES[[#This Row],[NROKARDEX]],BDPADRES[],8,FALSE),"Sin registrado")</f>
        <v>VICTORIA FIGUEROA SARDINAS</v>
      </c>
      <c r="D276" s="1">
        <f>IF(VLOOKUP(B276,BDREGISTROAPORTES2025[],5,FALSE)="165",0,"165")</f>
        <v>0</v>
      </c>
      <c r="E276" s="1">
        <f>IF(VLOOKUP(B276,BDREGISTROBTH2025[],5,FALSE)="100",0,"100")</f>
        <v>0</v>
      </c>
      <c r="F276" s="1">
        <f>VLOOKUP(B276,BDREGISTROASAMBLEA2025[],8,FALSE)</f>
        <v>0</v>
      </c>
      <c r="G276" s="1">
        <f>VLOOKUP(B276,BDREGISTROMINGA2025[],6,FALSE)</f>
        <v>0</v>
      </c>
      <c r="H276" s="1">
        <v>0</v>
      </c>
      <c r="I276" s="1">
        <v>0</v>
      </c>
      <c r="J276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77" spans="2:10" x14ac:dyDescent="0.3">
      <c r="B277" s="1">
        <f t="shared" si="4"/>
        <v>272</v>
      </c>
      <c r="C277" t="str">
        <f>IFERROR(VLOOKUP(BDOBLIGACIONES[[#This Row],[NROKARDEX]],BDPADRES[],8,FALSE),"Sin registrado")</f>
        <v>LEIDY FABIOLA CARRILLO CORONADO</v>
      </c>
      <c r="D277" s="1">
        <f>IF(VLOOKUP(B277,BDREGISTROAPORTES2025[],5,FALSE)="165",0,"165")</f>
        <v>0</v>
      </c>
      <c r="E277" s="1">
        <f>IF(VLOOKUP(B277,BDREGISTROBTH2025[],5,FALSE)="100",0,"100")</f>
        <v>0</v>
      </c>
      <c r="F277" s="1">
        <f>VLOOKUP(B277,BDREGISTROASAMBLEA2025[],8,FALSE)</f>
        <v>0</v>
      </c>
      <c r="G277" s="1">
        <f>VLOOKUP(B277,BDREGISTROMINGA2025[],6,FALSE)</f>
        <v>0</v>
      </c>
      <c r="H277" s="1">
        <v>0</v>
      </c>
      <c r="I277" s="1">
        <v>0</v>
      </c>
      <c r="J277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78" spans="2:10" x14ac:dyDescent="0.3">
      <c r="B278" s="1">
        <f t="shared" si="4"/>
        <v>273</v>
      </c>
      <c r="C278" t="str">
        <f>IFERROR(VLOOKUP(BDOBLIGACIONES[[#This Row],[NROKARDEX]],BDPADRES[],8,FALSE),"Sin registrado")</f>
        <v>REYNA ZARATE BARRIENTOS</v>
      </c>
      <c r="D278" s="1">
        <f>IF(VLOOKUP(B278,BDREGISTROAPORTES2025[],5,FALSE)="165",0,"165")</f>
        <v>0</v>
      </c>
      <c r="E278" s="1">
        <f>IF(VLOOKUP(B278,BDREGISTROBTH2025[],5,FALSE)="100",0,"100")</f>
        <v>0</v>
      </c>
      <c r="F278" s="1">
        <f>VLOOKUP(B278,BDREGISTROASAMBLEA2025[],8,FALSE)</f>
        <v>0</v>
      </c>
      <c r="G278" s="1">
        <f>VLOOKUP(B278,BDREGISTROMINGA2025[],6,FALSE)</f>
        <v>0</v>
      </c>
      <c r="H278" s="1">
        <v>0</v>
      </c>
      <c r="I278" s="1">
        <v>0</v>
      </c>
      <c r="J278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79" spans="2:10" x14ac:dyDescent="0.3">
      <c r="B279" s="1">
        <f t="shared" si="4"/>
        <v>274</v>
      </c>
      <c r="C279" t="str">
        <f>IFERROR(VLOOKUP(BDOBLIGACIONES[[#This Row],[NROKARDEX]],BDPADRES[],8,FALSE),"Sin registrado")</f>
        <v>EVELIN GUZMAN GARCIA</v>
      </c>
      <c r="D279" s="1">
        <f>IF(VLOOKUP(B279,BDREGISTROAPORTES2025[],5,FALSE)="165",0,"165")</f>
        <v>0</v>
      </c>
      <c r="E279" s="1">
        <f>IF(VLOOKUP(B279,BDREGISTROBTH2025[],5,FALSE)="100",0,"100")</f>
        <v>0</v>
      </c>
      <c r="F279" s="1">
        <f>VLOOKUP(B279,BDREGISTROASAMBLEA2025[],8,FALSE)</f>
        <v>0</v>
      </c>
      <c r="G279" s="1">
        <f>VLOOKUP(B279,BDREGISTROMINGA2025[],6,FALSE)</f>
        <v>0</v>
      </c>
      <c r="H279" s="1">
        <v>0</v>
      </c>
      <c r="I279" s="1">
        <v>0</v>
      </c>
      <c r="J279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80" spans="2:10" x14ac:dyDescent="0.3">
      <c r="B280" s="1">
        <f t="shared" si="4"/>
        <v>275</v>
      </c>
      <c r="C280" t="str">
        <f>IFERROR(VLOOKUP(BDOBLIGACIONES[[#This Row],[NROKARDEX]],BDPADRES[],8,FALSE),"Sin registrado")</f>
        <v>NELLY YASMINA ROBLES VALVERDE</v>
      </c>
      <c r="D280" s="1">
        <f>IF(VLOOKUP(B280,BDREGISTROAPORTES2025[],5,FALSE)="165",0,"165")</f>
        <v>0</v>
      </c>
      <c r="E280" s="1">
        <f>IF(VLOOKUP(B280,BDREGISTROBTH2025[],5,FALSE)="100",0,"100")</f>
        <v>0</v>
      </c>
      <c r="F280" s="1">
        <f>VLOOKUP(B280,BDREGISTROASAMBLEA2025[],8,FALSE)</f>
        <v>0</v>
      </c>
      <c r="G280" s="1">
        <f>VLOOKUP(B280,BDREGISTROMINGA2025[],6,FALSE)</f>
        <v>0</v>
      </c>
      <c r="H280" s="1">
        <v>0</v>
      </c>
      <c r="I280" s="1">
        <v>0</v>
      </c>
      <c r="J280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81" spans="2:10" x14ac:dyDescent="0.3">
      <c r="B281" s="1">
        <f t="shared" si="4"/>
        <v>276</v>
      </c>
      <c r="C281" t="str">
        <f>IFERROR(VLOOKUP(BDOBLIGACIONES[[#This Row],[NROKARDEX]],BDPADRES[],8,FALSE),"Sin registrado")</f>
        <v>ANA ROSY VACA NOGALES</v>
      </c>
      <c r="D281" s="1">
        <f>IF(VLOOKUP(B281,BDREGISTROAPORTES2025[],5,FALSE)="165",0,"165")</f>
        <v>0</v>
      </c>
      <c r="E281" s="1">
        <f>IF(VLOOKUP(B281,BDREGISTROBTH2025[],5,FALSE)="100",0,"100")</f>
        <v>0</v>
      </c>
      <c r="F281" s="1">
        <f>VLOOKUP(B281,BDREGISTROASAMBLEA2025[],8,FALSE)</f>
        <v>0</v>
      </c>
      <c r="G281" s="1">
        <f>VLOOKUP(B281,BDREGISTROMINGA2025[],6,FALSE)</f>
        <v>0</v>
      </c>
      <c r="H281" s="1">
        <v>0</v>
      </c>
      <c r="I281" s="1">
        <v>0</v>
      </c>
      <c r="J281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82" spans="2:10" x14ac:dyDescent="0.3">
      <c r="B282" s="1">
        <f t="shared" si="4"/>
        <v>277</v>
      </c>
      <c r="C282" t="str">
        <f>IFERROR(VLOOKUP(BDOBLIGACIONES[[#This Row],[NROKARDEX]],BDPADRES[],8,FALSE),"Sin registrado")</f>
        <v>MONICA MARTINEZ RICALDY</v>
      </c>
      <c r="D282" s="1">
        <f>IF(VLOOKUP(B282,BDREGISTROAPORTES2025[],5,FALSE)="165",0,"165")</f>
        <v>0</v>
      </c>
      <c r="E282" s="1">
        <f>IF(VLOOKUP(B282,BDREGISTROBTH2025[],5,FALSE)="100",0,"100")</f>
        <v>0</v>
      </c>
      <c r="F282" s="1">
        <f>VLOOKUP(B282,BDREGISTROASAMBLEA2025[],8,FALSE)</f>
        <v>0</v>
      </c>
      <c r="G282" s="1">
        <f>VLOOKUP(B282,BDREGISTROMINGA2025[],6,FALSE)</f>
        <v>0</v>
      </c>
      <c r="H282" s="1">
        <v>0</v>
      </c>
      <c r="I282" s="1">
        <v>0</v>
      </c>
      <c r="J282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83" spans="2:10" x14ac:dyDescent="0.3">
      <c r="B283" s="1">
        <f t="shared" si="4"/>
        <v>278</v>
      </c>
      <c r="C283" t="str">
        <f>IFERROR(VLOOKUP(BDOBLIGACIONES[[#This Row],[NROKARDEX]],BDPADRES[],8,FALSE),"Sin registrado")</f>
        <v>AGUSTINA HERRERA.</v>
      </c>
      <c r="D283" s="1">
        <f>IF(VLOOKUP(B283,BDREGISTROAPORTES2025[],5,FALSE)="165",0,"165")</f>
        <v>0</v>
      </c>
      <c r="E283" s="1">
        <f>IF(VLOOKUP(B283,BDREGISTROBTH2025[],5,FALSE)="100",0,"100")</f>
        <v>0</v>
      </c>
      <c r="F283" s="1">
        <f>VLOOKUP(B283,BDREGISTROASAMBLEA2025[],8,FALSE)</f>
        <v>0</v>
      </c>
      <c r="G283" s="1">
        <f>VLOOKUP(B283,BDREGISTROMINGA2025[],6,FALSE)</f>
        <v>0</v>
      </c>
      <c r="H283" s="1">
        <v>0</v>
      </c>
      <c r="I283" s="1">
        <v>0</v>
      </c>
      <c r="J283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84" spans="2:10" x14ac:dyDescent="0.3">
      <c r="B284" s="1">
        <f t="shared" si="4"/>
        <v>279</v>
      </c>
      <c r="C284" t="str">
        <f>IFERROR(VLOOKUP(BDOBLIGACIONES[[#This Row],[NROKARDEX]],BDPADRES[],8,FALSE),"Sin registrado")</f>
        <v>PASCUALA CHOQUE BEJARANO</v>
      </c>
      <c r="D284" s="1">
        <f>IF(VLOOKUP(B284,BDREGISTROAPORTES2025[],5,FALSE)="165",0,"165")</f>
        <v>0</v>
      </c>
      <c r="E284" s="1" t="str">
        <f>IF(VLOOKUP(B284,BDREGISTROBTH2025[],5,FALSE)="100",0,"100")</f>
        <v>100</v>
      </c>
      <c r="F284" s="1">
        <f>VLOOKUP(B284,BDREGISTROASAMBLEA2025[],8,FALSE)</f>
        <v>0</v>
      </c>
      <c r="G284" s="1">
        <f>VLOOKUP(B284,BDREGISTROMINGA2025[],6,FALSE)</f>
        <v>0</v>
      </c>
      <c r="H284" s="1">
        <v>0</v>
      </c>
      <c r="I284" s="1">
        <v>0</v>
      </c>
      <c r="J284" s="1">
        <f>BDOBLIGACIONES[[#This Row],[ASAMBLEA]]+BDOBLIGACIONES[[#This Row],[MINGA]]+BDOBLIGACIONES[[#This Row],[DELEGADOS]]+BDOBLIGACIONES[[#This Row],[CURSO]]+BDOBLIGACIONES[[#This Row],[APORTE]]+BDOBLIGACIONES[[#This Row],[BTH]]</f>
        <v>100</v>
      </c>
    </row>
    <row r="285" spans="2:10" x14ac:dyDescent="0.3">
      <c r="B285" s="1">
        <f t="shared" si="4"/>
        <v>280</v>
      </c>
      <c r="C285" t="str">
        <f>IFERROR(VLOOKUP(BDOBLIGACIONES[[#This Row],[NROKARDEX]],BDPADRES[],8,FALSE),"Sin registrado")</f>
        <v>ESPERANZA FIGUEROA ALVAREZ</v>
      </c>
      <c r="D285" s="1">
        <f>IF(VLOOKUP(B285,BDREGISTROAPORTES2025[],5,FALSE)="165",0,"165")</f>
        <v>0</v>
      </c>
      <c r="E285" s="1">
        <f>IF(VLOOKUP(B285,BDREGISTROBTH2025[],5,FALSE)="100",0,"100")</f>
        <v>0</v>
      </c>
      <c r="F285" s="1">
        <f>VLOOKUP(B285,BDREGISTROASAMBLEA2025[],8,FALSE)</f>
        <v>0</v>
      </c>
      <c r="G285" s="1">
        <f>VLOOKUP(B285,BDREGISTROMINGA2025[],6,FALSE)</f>
        <v>0</v>
      </c>
      <c r="H285" s="1">
        <v>0</v>
      </c>
      <c r="I285" s="1">
        <v>0</v>
      </c>
      <c r="J285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86" spans="2:10" x14ac:dyDescent="0.3">
      <c r="B286" s="1">
        <f t="shared" si="4"/>
        <v>281</v>
      </c>
      <c r="C286" t="str">
        <f>IFERROR(VLOOKUP(BDOBLIGACIONES[[#This Row],[NROKARDEX]],BDPADRES[],8,FALSE),"Sin registrado")</f>
        <v>SIMONA COPA SALAZAR</v>
      </c>
      <c r="D286" s="1">
        <f>IF(VLOOKUP(B286,BDREGISTROAPORTES2025[],5,FALSE)="165",0,"165")</f>
        <v>0</v>
      </c>
      <c r="E286" s="1">
        <f>IF(VLOOKUP(B286,BDREGISTROBTH2025[],5,FALSE)="100",0,"100")</f>
        <v>0</v>
      </c>
      <c r="F286" s="1">
        <f>VLOOKUP(B286,BDREGISTROASAMBLEA2025[],8,FALSE)</f>
        <v>0</v>
      </c>
      <c r="G286" s="1">
        <f>VLOOKUP(B286,BDREGISTROMINGA2025[],6,FALSE)</f>
        <v>0</v>
      </c>
      <c r="H286" s="1">
        <v>0</v>
      </c>
      <c r="I286" s="1">
        <v>0</v>
      </c>
      <c r="J286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87" spans="2:10" x14ac:dyDescent="0.3">
      <c r="B287" s="1">
        <f t="shared" si="4"/>
        <v>282</v>
      </c>
      <c r="C287" s="8" t="str">
        <f>IFERROR(VLOOKUP(BDOBLIGACIONES[[#This Row],[NROKARDEX]],BDPADRES[],8,FALSE),"Sin registrado")</f>
        <v>Sin registrado</v>
      </c>
      <c r="D287" s="1" t="str">
        <f>IF(VLOOKUP(B287,BDREGISTROAPORTES2025[],5,FALSE)="165",0,"165")</f>
        <v>165</v>
      </c>
      <c r="E287" s="1" t="str">
        <f>IF(VLOOKUP(B287,BDREGISTROBTH2025[],5,FALSE)="100",0,"100")</f>
        <v>100</v>
      </c>
      <c r="F287" s="1">
        <f>VLOOKUP(B287,BDREGISTROASAMBLEA2025[],8,FALSE)</f>
        <v>0</v>
      </c>
      <c r="G287" s="1">
        <f>VLOOKUP(B287,BDREGISTROMINGA2025[],6,FALSE)</f>
        <v>0</v>
      </c>
      <c r="H287" s="1">
        <v>0</v>
      </c>
      <c r="I287" s="1">
        <v>0</v>
      </c>
      <c r="J287" s="1">
        <f>BDOBLIGACIONES[[#This Row],[ASAMBLEA]]+BDOBLIGACIONES[[#This Row],[MINGA]]+BDOBLIGACIONES[[#This Row],[DELEGADOS]]+BDOBLIGACIONES[[#This Row],[CURSO]]+BDOBLIGACIONES[[#This Row],[APORTE]]+BDOBLIGACIONES[[#This Row],[BTH]]</f>
        <v>265</v>
      </c>
    </row>
    <row r="288" spans="2:10" x14ac:dyDescent="0.3">
      <c r="B288" s="1">
        <f t="shared" si="4"/>
        <v>283</v>
      </c>
      <c r="C288" t="str">
        <f>IFERROR(VLOOKUP(BDOBLIGACIONES[[#This Row],[NROKARDEX]],BDPADRES[],8,FALSE),"Sin registrado")</f>
        <v>SIRLEY CARABALLO OJEDA</v>
      </c>
      <c r="D288" s="1">
        <f>IF(VLOOKUP(B288,BDREGISTROAPORTES2025[],5,FALSE)="165",0,"165")</f>
        <v>0</v>
      </c>
      <c r="E288" s="1">
        <f>IF(VLOOKUP(B288,BDREGISTROBTH2025[],5,FALSE)="100",0,"100")</f>
        <v>0</v>
      </c>
      <c r="F288" s="1">
        <f>VLOOKUP(B288,BDREGISTROASAMBLEA2025[],8,FALSE)</f>
        <v>0</v>
      </c>
      <c r="G288" s="1">
        <f>VLOOKUP(B288,BDREGISTROMINGA2025[],6,FALSE)</f>
        <v>0</v>
      </c>
      <c r="H288" s="1">
        <v>0</v>
      </c>
      <c r="I288" s="1">
        <v>0</v>
      </c>
      <c r="J288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89" spans="2:10" x14ac:dyDescent="0.3">
      <c r="B289" s="1">
        <f t="shared" si="4"/>
        <v>284</v>
      </c>
      <c r="C289" t="str">
        <f>IFERROR(VLOOKUP(BDOBLIGACIONES[[#This Row],[NROKARDEX]],BDPADRES[],8,FALSE),"Sin registrado")</f>
        <v>ROXANA DURAN MICHEL</v>
      </c>
      <c r="D289" s="1">
        <f>IF(VLOOKUP(B289,BDREGISTROAPORTES2025[],5,FALSE)="165",0,"165")</f>
        <v>0</v>
      </c>
      <c r="E289" s="1">
        <f>IF(VLOOKUP(B289,BDREGISTROBTH2025[],5,FALSE)="100",0,"100")</f>
        <v>0</v>
      </c>
      <c r="F289" s="1">
        <f>VLOOKUP(B289,BDREGISTROASAMBLEA2025[],8,FALSE)</f>
        <v>0</v>
      </c>
      <c r="G289" s="1">
        <f>VLOOKUP(B289,BDREGISTROMINGA2025[],6,FALSE)</f>
        <v>0</v>
      </c>
      <c r="H289" s="1">
        <v>0</v>
      </c>
      <c r="I289" s="1">
        <v>0</v>
      </c>
      <c r="J289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90" spans="2:10" x14ac:dyDescent="0.3">
      <c r="B290" s="1">
        <f t="shared" si="4"/>
        <v>285</v>
      </c>
      <c r="C290" t="str">
        <f>IFERROR(VLOOKUP(BDOBLIGACIONES[[#This Row],[NROKARDEX]],BDPADRES[],8,FALSE),"Sin registrado")</f>
        <v>JULITT  ARATEA RIOS</v>
      </c>
      <c r="D290" s="1">
        <f>IF(VLOOKUP(B290,BDREGISTROAPORTES2025[],5,FALSE)="165",0,"165")</f>
        <v>0</v>
      </c>
      <c r="E290" s="1">
        <f>IF(VLOOKUP(B290,BDREGISTROBTH2025[],5,FALSE)="100",0,"100")</f>
        <v>0</v>
      </c>
      <c r="F290" s="1">
        <f>VLOOKUP(B290,BDREGISTROASAMBLEA2025[],8,FALSE)</f>
        <v>0</v>
      </c>
      <c r="G290" s="1">
        <f>VLOOKUP(B290,BDREGISTROMINGA2025[],6,FALSE)</f>
        <v>0</v>
      </c>
      <c r="H290" s="1">
        <v>0</v>
      </c>
      <c r="I290" s="1">
        <v>0</v>
      </c>
      <c r="J290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91" spans="2:10" x14ac:dyDescent="0.3">
      <c r="B291" s="1">
        <f t="shared" si="4"/>
        <v>286</v>
      </c>
      <c r="C291" t="str">
        <f>IFERROR(VLOOKUP(BDOBLIGACIONES[[#This Row],[NROKARDEX]],BDPADRES[],8,FALSE),"Sin registrado")</f>
        <v>ALVAIDA LARA GALVIZ</v>
      </c>
      <c r="D291" s="1">
        <f>IF(VLOOKUP(B291,BDREGISTROAPORTES2025[],5,FALSE)="165",0,"165")</f>
        <v>0</v>
      </c>
      <c r="E291" s="1">
        <f>IF(VLOOKUP(B291,BDREGISTROBTH2025[],5,FALSE)="100",0,"100")</f>
        <v>0</v>
      </c>
      <c r="F291" s="1">
        <f>VLOOKUP(B291,BDREGISTROASAMBLEA2025[],8,FALSE)</f>
        <v>0</v>
      </c>
      <c r="G291" s="1">
        <f>VLOOKUP(B291,BDREGISTROMINGA2025[],6,FALSE)</f>
        <v>0</v>
      </c>
      <c r="H291" s="1">
        <v>0</v>
      </c>
      <c r="I291" s="1">
        <v>0</v>
      </c>
      <c r="J291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92" spans="2:10" x14ac:dyDescent="0.3">
      <c r="B292" s="1">
        <f t="shared" si="4"/>
        <v>287</v>
      </c>
      <c r="C292" t="str">
        <f>IFERROR(VLOOKUP(BDOBLIGACIONES[[#This Row],[NROKARDEX]],BDPADRES[],8,FALSE),"Sin registrado")</f>
        <v>AGUSTINA CRUZ MATURANO</v>
      </c>
      <c r="D292" s="1">
        <f>IF(VLOOKUP(B292,BDREGISTROAPORTES2025[],5,FALSE)="165",0,"165")</f>
        <v>0</v>
      </c>
      <c r="E292" s="1">
        <f>IF(VLOOKUP(B292,BDREGISTROBTH2025[],5,FALSE)="100",0,"100")</f>
        <v>0</v>
      </c>
      <c r="F292" s="1">
        <f>VLOOKUP(B292,BDREGISTROASAMBLEA2025[],8,FALSE)</f>
        <v>0</v>
      </c>
      <c r="G292" s="1">
        <f>VLOOKUP(B292,BDREGISTROMINGA2025[],6,FALSE)</f>
        <v>0</v>
      </c>
      <c r="H292" s="1">
        <v>0</v>
      </c>
      <c r="I292" s="1">
        <v>0</v>
      </c>
      <c r="J292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93" spans="2:10" x14ac:dyDescent="0.3">
      <c r="B293" s="1">
        <f t="shared" si="4"/>
        <v>288</v>
      </c>
      <c r="C293" t="str">
        <f>IFERROR(VLOOKUP(BDOBLIGACIONES[[#This Row],[NROKARDEX]],BDPADRES[],8,FALSE),"Sin registrado")</f>
        <v>ARMINDA VELA GARCIA</v>
      </c>
      <c r="D293" s="1">
        <f>IF(VLOOKUP(B293,BDREGISTROAPORTES2025[],5,FALSE)="165",0,"165")</f>
        <v>0</v>
      </c>
      <c r="E293" s="1">
        <f>IF(VLOOKUP(B293,BDREGISTROBTH2025[],5,FALSE)="100",0,"100")</f>
        <v>0</v>
      </c>
      <c r="F293" s="1">
        <f>VLOOKUP(B293,BDREGISTROASAMBLEA2025[],8,FALSE)</f>
        <v>0</v>
      </c>
      <c r="G293" s="1">
        <f>VLOOKUP(B293,BDREGISTROMINGA2025[],6,FALSE)</f>
        <v>0</v>
      </c>
      <c r="H293" s="1">
        <v>0</v>
      </c>
      <c r="I293" s="1">
        <v>0</v>
      </c>
      <c r="J293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94" spans="2:10" x14ac:dyDescent="0.3">
      <c r="B294" s="1">
        <f t="shared" si="4"/>
        <v>289</v>
      </c>
      <c r="C294" t="str">
        <f>IFERROR(VLOOKUP(BDOBLIGACIONES[[#This Row],[NROKARDEX]],BDPADRES[],8,FALSE),"Sin registrado")</f>
        <v>ADALID ROSLIN VARGAS ACHO</v>
      </c>
      <c r="D294" s="1">
        <f>IF(VLOOKUP(B294,BDREGISTROAPORTES2025[],5,FALSE)="165",0,"165")</f>
        <v>0</v>
      </c>
      <c r="E294" s="1">
        <f>IF(VLOOKUP(B294,BDREGISTROBTH2025[],5,FALSE)="100",0,"100")</f>
        <v>0</v>
      </c>
      <c r="F294" s="1">
        <f>VLOOKUP(B294,BDREGISTROASAMBLEA2025[],8,FALSE)</f>
        <v>0</v>
      </c>
      <c r="G294" s="1">
        <f>VLOOKUP(B294,BDREGISTROMINGA2025[],6,FALSE)</f>
        <v>0</v>
      </c>
      <c r="H294" s="1">
        <v>0</v>
      </c>
      <c r="I294" s="1">
        <v>0</v>
      </c>
      <c r="J294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95" spans="2:10" x14ac:dyDescent="0.3">
      <c r="B295" s="1">
        <f t="shared" si="4"/>
        <v>290</v>
      </c>
      <c r="C295" s="8" t="str">
        <f>IFERROR(VLOOKUP(BDOBLIGACIONES[[#This Row],[NROKARDEX]],BDPADRES[],8,FALSE),"Sin registrado")</f>
        <v>Sin registrado</v>
      </c>
      <c r="D295" s="1" t="str">
        <f>IF(VLOOKUP(B295,BDREGISTROAPORTES2025[],5,FALSE)="165",0,"165")</f>
        <v>165</v>
      </c>
      <c r="E295" s="1" t="str">
        <f>IF(VLOOKUP(B295,BDREGISTROBTH2025[],5,FALSE)="100",0,"100")</f>
        <v>100</v>
      </c>
      <c r="F295" s="1">
        <f>VLOOKUP(B295,BDREGISTROASAMBLEA2025[],8,FALSE)</f>
        <v>0</v>
      </c>
      <c r="G295" s="1">
        <f>VLOOKUP(B295,BDREGISTROMINGA2025[],6,FALSE)</f>
        <v>0</v>
      </c>
      <c r="H295" s="1">
        <v>0</v>
      </c>
      <c r="I295" s="1">
        <v>0</v>
      </c>
      <c r="J295" s="1">
        <f>BDOBLIGACIONES[[#This Row],[ASAMBLEA]]+BDOBLIGACIONES[[#This Row],[MINGA]]+BDOBLIGACIONES[[#This Row],[DELEGADOS]]+BDOBLIGACIONES[[#This Row],[CURSO]]+BDOBLIGACIONES[[#This Row],[APORTE]]+BDOBLIGACIONES[[#This Row],[BTH]]</f>
        <v>265</v>
      </c>
    </row>
    <row r="296" spans="2:10" x14ac:dyDescent="0.3">
      <c r="B296" s="1">
        <f t="shared" si="4"/>
        <v>291</v>
      </c>
      <c r="C296" t="str">
        <f>IFERROR(VLOOKUP(BDOBLIGACIONES[[#This Row],[NROKARDEX]],BDPADRES[],8,FALSE),"Sin registrado")</f>
        <v>NEISA ARICOMA CORCHADO</v>
      </c>
      <c r="D296" s="1">
        <f>IF(VLOOKUP(B296,BDREGISTROAPORTES2025[],5,FALSE)="165",0,"165")</f>
        <v>0</v>
      </c>
      <c r="E296" s="1" t="str">
        <f>IF(VLOOKUP(B296,BDREGISTROBTH2025[],5,FALSE)="100",0,"100")</f>
        <v>100</v>
      </c>
      <c r="F296" s="1">
        <f>VLOOKUP(B296,BDREGISTROASAMBLEA2025[],8,FALSE)</f>
        <v>0</v>
      </c>
      <c r="G296" s="1">
        <f>VLOOKUP(B296,BDREGISTROMINGA2025[],6,FALSE)</f>
        <v>0</v>
      </c>
      <c r="H296" s="1">
        <v>0</v>
      </c>
      <c r="I296" s="1">
        <v>0</v>
      </c>
      <c r="J296" s="1">
        <f>BDOBLIGACIONES[[#This Row],[ASAMBLEA]]+BDOBLIGACIONES[[#This Row],[MINGA]]+BDOBLIGACIONES[[#This Row],[DELEGADOS]]+BDOBLIGACIONES[[#This Row],[CURSO]]+BDOBLIGACIONES[[#This Row],[APORTE]]+BDOBLIGACIONES[[#This Row],[BTH]]</f>
        <v>100</v>
      </c>
    </row>
    <row r="297" spans="2:10" x14ac:dyDescent="0.3">
      <c r="B297" s="1">
        <f t="shared" si="4"/>
        <v>292</v>
      </c>
      <c r="C297" t="str">
        <f>IFERROR(VLOOKUP(BDOBLIGACIONES[[#This Row],[NROKARDEX]],BDPADRES[],8,FALSE),"Sin registrado")</f>
        <v>LIDIA  LIMA VARGAS</v>
      </c>
      <c r="D297" s="1">
        <f>IF(VLOOKUP(B297,BDREGISTROAPORTES2025[],5,FALSE)="165",0,"165")</f>
        <v>0</v>
      </c>
      <c r="E297" s="1">
        <f>IF(VLOOKUP(B297,BDREGISTROBTH2025[],5,FALSE)="100",0,"100")</f>
        <v>0</v>
      </c>
      <c r="F297" s="1">
        <f>VLOOKUP(B297,BDREGISTROASAMBLEA2025[],8,FALSE)</f>
        <v>0</v>
      </c>
      <c r="G297" s="1">
        <f>VLOOKUP(B297,BDREGISTROMINGA2025[],6,FALSE)</f>
        <v>0</v>
      </c>
      <c r="H297" s="1">
        <v>0</v>
      </c>
      <c r="I297" s="1">
        <v>0</v>
      </c>
      <c r="J297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98" spans="2:10" x14ac:dyDescent="0.3">
      <c r="B298" s="1">
        <f t="shared" si="4"/>
        <v>293</v>
      </c>
      <c r="C298" t="str">
        <f>IFERROR(VLOOKUP(BDOBLIGACIONES[[#This Row],[NROKARDEX]],BDPADRES[],8,FALSE),"Sin registrado")</f>
        <v>CINTHIA ESPONOZA FARELL</v>
      </c>
      <c r="D298" s="1">
        <f>IF(VLOOKUP(B298,BDREGISTROAPORTES2025[],5,FALSE)="165",0,"165")</f>
        <v>0</v>
      </c>
      <c r="E298" s="1">
        <f>IF(VLOOKUP(B298,BDREGISTROBTH2025[],5,FALSE)="100",0,"100")</f>
        <v>0</v>
      </c>
      <c r="F298" s="1">
        <f>VLOOKUP(B298,BDREGISTROASAMBLEA2025[],8,FALSE)</f>
        <v>0</v>
      </c>
      <c r="G298" s="1">
        <f>VLOOKUP(B298,BDREGISTROMINGA2025[],6,FALSE)</f>
        <v>0</v>
      </c>
      <c r="H298" s="1">
        <v>0</v>
      </c>
      <c r="I298" s="1">
        <v>0</v>
      </c>
      <c r="J298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299" spans="2:10" x14ac:dyDescent="0.3">
      <c r="B299" s="1">
        <f t="shared" si="4"/>
        <v>294</v>
      </c>
      <c r="C299" t="str">
        <f>IFERROR(VLOOKUP(BDOBLIGACIONES[[#This Row],[NROKARDEX]],BDPADRES[],8,FALSE),"Sin registrado")</f>
        <v>MARIA FATIMA HERRERA REVOLLO</v>
      </c>
      <c r="D299" s="1">
        <f>IF(VLOOKUP(B299,BDREGISTROAPORTES2025[],5,FALSE)="165",0,"165")</f>
        <v>0</v>
      </c>
      <c r="E299" s="1">
        <f>IF(VLOOKUP(B299,BDREGISTROBTH2025[],5,FALSE)="100",0,"100")</f>
        <v>0</v>
      </c>
      <c r="F299" s="1">
        <f>VLOOKUP(B299,BDREGISTROASAMBLEA2025[],8,FALSE)</f>
        <v>0</v>
      </c>
      <c r="G299" s="1">
        <f>VLOOKUP(B299,BDREGISTROMINGA2025[],6,FALSE)</f>
        <v>0</v>
      </c>
      <c r="H299" s="1">
        <v>0</v>
      </c>
      <c r="I299" s="1">
        <v>0</v>
      </c>
      <c r="J299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300" spans="2:10" x14ac:dyDescent="0.3">
      <c r="B300" s="1">
        <f t="shared" si="4"/>
        <v>295</v>
      </c>
      <c r="C300" s="8" t="str">
        <f>IFERROR(VLOOKUP(BDOBLIGACIONES[[#This Row],[NROKARDEX]],BDPADRES[],8,FALSE),"Sin registrado")</f>
        <v>Sin registrado</v>
      </c>
      <c r="D300" s="1" t="str">
        <f>IF(VLOOKUP(B300,BDREGISTROAPORTES2025[],5,FALSE)="165",0,"165")</f>
        <v>165</v>
      </c>
      <c r="E300" s="1" t="str">
        <f>IF(VLOOKUP(B300,BDREGISTROBTH2025[],5,FALSE)="100",0,"100")</f>
        <v>100</v>
      </c>
      <c r="F300" s="1">
        <f>VLOOKUP(B300,BDREGISTROASAMBLEA2025[],8,FALSE)</f>
        <v>0</v>
      </c>
      <c r="G300" s="1">
        <f>VLOOKUP(B300,BDREGISTROMINGA2025[],6,FALSE)</f>
        <v>0</v>
      </c>
      <c r="H300" s="1">
        <v>0</v>
      </c>
      <c r="I300" s="1">
        <v>0</v>
      </c>
      <c r="J300" s="1">
        <f>BDOBLIGACIONES[[#This Row],[ASAMBLEA]]+BDOBLIGACIONES[[#This Row],[MINGA]]+BDOBLIGACIONES[[#This Row],[DELEGADOS]]+BDOBLIGACIONES[[#This Row],[CURSO]]+BDOBLIGACIONES[[#This Row],[APORTE]]+BDOBLIGACIONES[[#This Row],[BTH]]</f>
        <v>265</v>
      </c>
    </row>
    <row r="301" spans="2:10" x14ac:dyDescent="0.3">
      <c r="B301" s="1">
        <f t="shared" si="4"/>
        <v>296</v>
      </c>
      <c r="C301" t="str">
        <f>IFERROR(VLOOKUP(BDOBLIGACIONES[[#This Row],[NROKARDEX]],BDPADRES[],8,FALSE),"Sin registrado")</f>
        <v>NEYDA YANETH HEREDIA RUBIO</v>
      </c>
      <c r="D301" s="1">
        <f>IF(VLOOKUP(B301,BDREGISTROAPORTES2025[],5,FALSE)="165",0,"165")</f>
        <v>0</v>
      </c>
      <c r="E301" s="1">
        <f>IF(VLOOKUP(B301,BDREGISTROBTH2025[],5,FALSE)="100",0,"100")</f>
        <v>0</v>
      </c>
      <c r="F301" s="1">
        <f>VLOOKUP(B301,BDREGISTROASAMBLEA2025[],8,FALSE)</f>
        <v>0</v>
      </c>
      <c r="G301" s="1">
        <f>VLOOKUP(B301,BDREGISTROMINGA2025[],6,FALSE)</f>
        <v>0</v>
      </c>
      <c r="H301" s="1">
        <v>0</v>
      </c>
      <c r="I301" s="1">
        <v>0</v>
      </c>
      <c r="J301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302" spans="2:10" x14ac:dyDescent="0.3">
      <c r="B302" s="1">
        <f t="shared" si="4"/>
        <v>297</v>
      </c>
      <c r="C302" t="str">
        <f>IFERROR(VLOOKUP(BDOBLIGACIONES[[#This Row],[NROKARDEX]],BDPADRES[],8,FALSE),"Sin registrado")</f>
        <v>LILY MANGUTA ARARIYO</v>
      </c>
      <c r="D302" s="1">
        <f>IF(VLOOKUP(B302,BDREGISTROAPORTES2025[],5,FALSE)="165",0,"165")</f>
        <v>0</v>
      </c>
      <c r="E302" s="1">
        <f>IF(VLOOKUP(B302,BDREGISTROBTH2025[],5,FALSE)="100",0,"100")</f>
        <v>0</v>
      </c>
      <c r="F302" s="1">
        <f>VLOOKUP(B302,BDREGISTROASAMBLEA2025[],8,FALSE)</f>
        <v>0</v>
      </c>
      <c r="G302" s="1">
        <f>VLOOKUP(B302,BDREGISTROMINGA2025[],6,FALSE)</f>
        <v>0</v>
      </c>
      <c r="H302" s="1">
        <v>0</v>
      </c>
      <c r="I302" s="1">
        <v>0</v>
      </c>
      <c r="J302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303" spans="2:10" x14ac:dyDescent="0.3">
      <c r="B303" s="1">
        <f t="shared" si="4"/>
        <v>298</v>
      </c>
      <c r="C303" t="str">
        <f>IFERROR(VLOOKUP(BDOBLIGACIONES[[#This Row],[NROKARDEX]],BDPADRES[],8,FALSE),"Sin registrado")</f>
        <v>YESMY ALBA FLORES</v>
      </c>
      <c r="D303" s="1">
        <f>IF(VLOOKUP(B303,BDREGISTROAPORTES2025[],5,FALSE)="165",0,"165")</f>
        <v>0</v>
      </c>
      <c r="E303" s="1">
        <f>IF(VLOOKUP(B303,BDREGISTROBTH2025[],5,FALSE)="100",0,"100")</f>
        <v>0</v>
      </c>
      <c r="F303" s="1">
        <f>VLOOKUP(B303,BDREGISTROASAMBLEA2025[],8,FALSE)</f>
        <v>0</v>
      </c>
      <c r="G303" s="1">
        <f>VLOOKUP(B303,BDREGISTROMINGA2025[],6,FALSE)</f>
        <v>0</v>
      </c>
      <c r="H303" s="1">
        <v>0</v>
      </c>
      <c r="I303" s="1">
        <v>0</v>
      </c>
      <c r="J303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304" spans="2:10" x14ac:dyDescent="0.3">
      <c r="B304" s="1">
        <f t="shared" si="4"/>
        <v>299</v>
      </c>
      <c r="C304" t="str">
        <f>IFERROR(VLOOKUP(BDOBLIGACIONES[[#This Row],[NROKARDEX]],BDPADRES[],8,FALSE),"Sin registrado")</f>
        <v>CARLA PATRICIA SILES NUÑEZ</v>
      </c>
      <c r="D304" s="1">
        <f>IF(VLOOKUP(B304,BDREGISTROAPORTES2025[],5,FALSE)="165",0,"165")</f>
        <v>0</v>
      </c>
      <c r="E304" s="1">
        <f>IF(VLOOKUP(B304,BDREGISTROBTH2025[],5,FALSE)="100",0,"100")</f>
        <v>0</v>
      </c>
      <c r="F304" s="1">
        <f>VLOOKUP(B304,BDREGISTROASAMBLEA2025[],8,FALSE)</f>
        <v>0</v>
      </c>
      <c r="G304" s="1">
        <f>VLOOKUP(B304,BDREGISTROMINGA2025[],6,FALSE)</f>
        <v>0</v>
      </c>
      <c r="H304" s="1">
        <v>0</v>
      </c>
      <c r="I304" s="1">
        <v>0</v>
      </c>
      <c r="J304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305" spans="2:10" x14ac:dyDescent="0.3">
      <c r="B305" s="1">
        <f t="shared" si="4"/>
        <v>300</v>
      </c>
      <c r="C305" t="str">
        <f>IFERROR(VLOOKUP(BDOBLIGACIONES[[#This Row],[NROKARDEX]],BDPADRES[],8,FALSE),"Sin registrado")</f>
        <v>SAIDA QUENTA BARRIENTOS</v>
      </c>
      <c r="D305" s="1">
        <f>IF(VLOOKUP(B305,BDREGISTROAPORTES2025[],5,FALSE)="165",0,"165")</f>
        <v>0</v>
      </c>
      <c r="E305" s="1">
        <f>IF(VLOOKUP(B305,BDREGISTROBTH2025[],5,FALSE)="100",0,"100")</f>
        <v>0</v>
      </c>
      <c r="F305" s="1">
        <f>VLOOKUP(B305,BDREGISTROASAMBLEA2025[],8,FALSE)</f>
        <v>0</v>
      </c>
      <c r="G305" s="1">
        <f>VLOOKUP(B305,BDREGISTROMINGA2025[],6,FALSE)</f>
        <v>0</v>
      </c>
      <c r="H305" s="1">
        <v>0</v>
      </c>
      <c r="I305" s="1">
        <v>0</v>
      </c>
      <c r="J305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306" spans="2:10" x14ac:dyDescent="0.3">
      <c r="B306" s="1">
        <f t="shared" si="4"/>
        <v>301</v>
      </c>
      <c r="C306" t="str">
        <f>IFERROR(VLOOKUP(BDOBLIGACIONES[[#This Row],[NROKARDEX]],BDPADRES[],8,FALSE),"Sin registrado")</f>
        <v>VICTORIA BARRIGA VEDIA</v>
      </c>
      <c r="D306" s="1">
        <f>IF(VLOOKUP(B306,BDREGISTROAPORTES2025[],5,FALSE)="165",0,"165")</f>
        <v>0</v>
      </c>
      <c r="E306" s="1">
        <f>IF(VLOOKUP(B306,BDREGISTROBTH2025[],5,FALSE)="100",0,"100")</f>
        <v>0</v>
      </c>
      <c r="F306" s="1">
        <f>VLOOKUP(B306,BDREGISTROASAMBLEA2025[],8,FALSE)</f>
        <v>0</v>
      </c>
      <c r="G306" s="1">
        <f>VLOOKUP(B306,BDREGISTROMINGA2025[],6,FALSE)</f>
        <v>0</v>
      </c>
      <c r="H306" s="1">
        <v>0</v>
      </c>
      <c r="I306" s="1">
        <v>0</v>
      </c>
      <c r="J306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307" spans="2:10" x14ac:dyDescent="0.3">
      <c r="B307" s="1">
        <f t="shared" si="4"/>
        <v>302</v>
      </c>
      <c r="C307" t="str">
        <f>IFERROR(VLOOKUP(BDOBLIGACIONES[[#This Row],[NROKARDEX]],BDPADRES[],8,FALSE),"Sin registrado")</f>
        <v>JACKELIN TORREZ ROJAS</v>
      </c>
      <c r="D307" s="1">
        <f>IF(VLOOKUP(B307,BDREGISTROAPORTES2025[],5,FALSE)="165",0,"165")</f>
        <v>0</v>
      </c>
      <c r="E307" s="1" t="str">
        <f>IF(VLOOKUP(B307,BDREGISTROBTH2025[],5,FALSE)="100",0,"100")</f>
        <v>100</v>
      </c>
      <c r="F307" s="1">
        <f>VLOOKUP(B307,BDREGISTROASAMBLEA2025[],8,FALSE)</f>
        <v>0</v>
      </c>
      <c r="G307" s="1">
        <f>VLOOKUP(B307,BDREGISTROMINGA2025[],6,FALSE)</f>
        <v>0</v>
      </c>
      <c r="H307" s="1">
        <v>0</v>
      </c>
      <c r="I307" s="1">
        <v>0</v>
      </c>
      <c r="J307" s="1">
        <f>BDOBLIGACIONES[[#This Row],[ASAMBLEA]]+BDOBLIGACIONES[[#This Row],[MINGA]]+BDOBLIGACIONES[[#This Row],[DELEGADOS]]+BDOBLIGACIONES[[#This Row],[CURSO]]+BDOBLIGACIONES[[#This Row],[APORTE]]+BDOBLIGACIONES[[#This Row],[BTH]]</f>
        <v>100</v>
      </c>
    </row>
    <row r="308" spans="2:10" x14ac:dyDescent="0.3">
      <c r="B308" s="1">
        <f t="shared" si="4"/>
        <v>303</v>
      </c>
      <c r="C308" t="str">
        <f>IFERROR(VLOOKUP(BDOBLIGACIONES[[#This Row],[NROKARDEX]],BDPADRES[],8,FALSE),"Sin registrado")</f>
        <v>DOLLY SALAZAR</v>
      </c>
      <c r="D308" s="1">
        <f>IF(VLOOKUP(B308,BDREGISTROAPORTES2025[],5,FALSE)="165",0,"165")</f>
        <v>0</v>
      </c>
      <c r="E308" s="1" t="str">
        <f>IF(VLOOKUP(B308,BDREGISTROBTH2025[],5,FALSE)="100",0,"100")</f>
        <v>100</v>
      </c>
      <c r="F308" s="1">
        <f>VLOOKUP(B308,BDREGISTROASAMBLEA2025[],8,FALSE)</f>
        <v>0</v>
      </c>
      <c r="G308" s="1">
        <f>VLOOKUP(B308,BDREGISTROMINGA2025[],6,FALSE)</f>
        <v>0</v>
      </c>
      <c r="H308" s="1">
        <v>0</v>
      </c>
      <c r="I308" s="1">
        <v>0</v>
      </c>
      <c r="J308" s="1">
        <f>BDOBLIGACIONES[[#This Row],[ASAMBLEA]]+BDOBLIGACIONES[[#This Row],[MINGA]]+BDOBLIGACIONES[[#This Row],[DELEGADOS]]+BDOBLIGACIONES[[#This Row],[CURSO]]+BDOBLIGACIONES[[#This Row],[APORTE]]+BDOBLIGACIONES[[#This Row],[BTH]]</f>
        <v>100</v>
      </c>
    </row>
    <row r="309" spans="2:10" x14ac:dyDescent="0.3">
      <c r="B309" s="1">
        <f t="shared" si="4"/>
        <v>304</v>
      </c>
      <c r="C309" t="str">
        <f>IFERROR(VLOOKUP(BDOBLIGACIONES[[#This Row],[NROKARDEX]],BDPADRES[],8,FALSE),"Sin registrado")</f>
        <v>SUSANA PRADO ASCARRAGA</v>
      </c>
      <c r="D309" s="1">
        <f>IF(VLOOKUP(B309,BDREGISTROAPORTES2025[],5,FALSE)="165",0,"165")</f>
        <v>0</v>
      </c>
      <c r="E309" s="1">
        <f>IF(VLOOKUP(B309,BDREGISTROBTH2025[],5,FALSE)="100",0,"100")</f>
        <v>0</v>
      </c>
      <c r="F309" s="1">
        <f>VLOOKUP(B309,BDREGISTROASAMBLEA2025[],8,FALSE)</f>
        <v>0</v>
      </c>
      <c r="G309" s="1">
        <f>VLOOKUP(B309,BDREGISTROMINGA2025[],6,FALSE)</f>
        <v>0</v>
      </c>
      <c r="H309" s="1">
        <v>0</v>
      </c>
      <c r="I309" s="1">
        <v>0</v>
      </c>
      <c r="J309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310" spans="2:10" x14ac:dyDescent="0.3">
      <c r="B310" s="1">
        <f t="shared" si="4"/>
        <v>305</v>
      </c>
      <c r="C310" s="8" t="str">
        <f>IFERROR(VLOOKUP(BDOBLIGACIONES[[#This Row],[NROKARDEX]],BDPADRES[],8,FALSE),"Sin registrado")</f>
        <v>Sin registrado</v>
      </c>
      <c r="D310" s="1" t="str">
        <f>IF(VLOOKUP(B310,BDREGISTROAPORTES2025[],5,FALSE)="165",0,"165")</f>
        <v>165</v>
      </c>
      <c r="E310" s="1" t="str">
        <f>IF(VLOOKUP(B310,BDREGISTROBTH2025[],5,FALSE)="100",0,"100")</f>
        <v>100</v>
      </c>
      <c r="F310" s="1">
        <f>VLOOKUP(B310,BDREGISTROASAMBLEA2025[],8,FALSE)</f>
        <v>0</v>
      </c>
      <c r="G310" s="1">
        <f>VLOOKUP(B310,BDREGISTROMINGA2025[],6,FALSE)</f>
        <v>0</v>
      </c>
      <c r="H310" s="1">
        <v>0</v>
      </c>
      <c r="I310" s="1">
        <v>0</v>
      </c>
      <c r="J310" s="1">
        <f>BDOBLIGACIONES[[#This Row],[ASAMBLEA]]+BDOBLIGACIONES[[#This Row],[MINGA]]+BDOBLIGACIONES[[#This Row],[DELEGADOS]]+BDOBLIGACIONES[[#This Row],[CURSO]]+BDOBLIGACIONES[[#This Row],[APORTE]]+BDOBLIGACIONES[[#This Row],[BTH]]</f>
        <v>265</v>
      </c>
    </row>
    <row r="311" spans="2:10" x14ac:dyDescent="0.3">
      <c r="B311" s="1">
        <f t="shared" si="4"/>
        <v>306</v>
      </c>
      <c r="C311" t="str">
        <f>IFERROR(VLOOKUP(BDOBLIGACIONES[[#This Row],[NROKARDEX]],BDPADRES[],8,FALSE),"Sin registrado")</f>
        <v>REBECA COLQUE ROJAS</v>
      </c>
      <c r="D311" s="1">
        <f>IF(VLOOKUP(B311,BDREGISTROAPORTES2025[],5,FALSE)="165",0,"165")</f>
        <v>0</v>
      </c>
      <c r="E311" s="1">
        <f>IF(VLOOKUP(B311,BDREGISTROBTH2025[],5,FALSE)="100",0,"100")</f>
        <v>0</v>
      </c>
      <c r="F311" s="1">
        <f>VLOOKUP(B311,BDREGISTROASAMBLEA2025[],8,FALSE)</f>
        <v>0</v>
      </c>
      <c r="G311" s="1">
        <f>VLOOKUP(B311,BDREGISTROMINGA2025[],6,FALSE)</f>
        <v>0</v>
      </c>
      <c r="H311" s="1">
        <v>0</v>
      </c>
      <c r="I311" s="1">
        <v>0</v>
      </c>
      <c r="J311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312" spans="2:10" x14ac:dyDescent="0.3">
      <c r="B312" s="1">
        <f t="shared" si="4"/>
        <v>307</v>
      </c>
      <c r="C312" t="str">
        <f>IFERROR(VLOOKUP(BDOBLIGACIONES[[#This Row],[NROKARDEX]],BDPADRES[],8,FALSE),"Sin registrado")</f>
        <v>MARITZA VALLEJOS AGUILERA</v>
      </c>
      <c r="D312" s="1">
        <f>IF(VLOOKUP(B312,BDREGISTROAPORTES2025[],5,FALSE)="165",0,"165")</f>
        <v>0</v>
      </c>
      <c r="E312" s="1">
        <f>IF(VLOOKUP(B312,BDREGISTROBTH2025[],5,FALSE)="100",0,"100")</f>
        <v>0</v>
      </c>
      <c r="F312" s="1">
        <f>VLOOKUP(B312,BDREGISTROASAMBLEA2025[],8,FALSE)</f>
        <v>0</v>
      </c>
      <c r="G312" s="1">
        <f>VLOOKUP(B312,BDREGISTROMINGA2025[],6,FALSE)</f>
        <v>0</v>
      </c>
      <c r="H312" s="1">
        <v>0</v>
      </c>
      <c r="I312" s="1">
        <v>0</v>
      </c>
      <c r="J312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313" spans="2:10" x14ac:dyDescent="0.3">
      <c r="B313" s="1">
        <f t="shared" si="4"/>
        <v>308</v>
      </c>
      <c r="C313" t="str">
        <f>IFERROR(VLOOKUP(BDOBLIGACIONES[[#This Row],[NROKARDEX]],BDPADRES[],8,FALSE),"Sin registrado")</f>
        <v>YOLANDA ALARCON GUZMAN</v>
      </c>
      <c r="D313" s="1">
        <f>IF(VLOOKUP(B313,BDREGISTROAPORTES2025[],5,FALSE)="165",0,"165")</f>
        <v>0</v>
      </c>
      <c r="E313" s="1">
        <f>IF(VLOOKUP(B313,BDREGISTROBTH2025[],5,FALSE)="100",0,"100")</f>
        <v>0</v>
      </c>
      <c r="F313" s="1">
        <f>VLOOKUP(B313,BDREGISTROASAMBLEA2025[],8,FALSE)</f>
        <v>0</v>
      </c>
      <c r="G313" s="1">
        <f>VLOOKUP(B313,BDREGISTROMINGA2025[],6,FALSE)</f>
        <v>0</v>
      </c>
      <c r="H313" s="1">
        <v>0</v>
      </c>
      <c r="I313" s="1">
        <v>0</v>
      </c>
      <c r="J313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314" spans="2:10" x14ac:dyDescent="0.3">
      <c r="B314" s="1">
        <f t="shared" si="4"/>
        <v>309</v>
      </c>
      <c r="C314" t="str">
        <f>IFERROR(VLOOKUP(BDOBLIGACIONES[[#This Row],[NROKARDEX]],BDPADRES[],8,FALSE),"Sin registrado")</f>
        <v>ROSA  ESPINOZA LLANOS</v>
      </c>
      <c r="D314" s="1">
        <f>IF(VLOOKUP(B314,BDREGISTROAPORTES2025[],5,FALSE)="165",0,"165")</f>
        <v>0</v>
      </c>
      <c r="E314" s="1">
        <f>IF(VLOOKUP(B314,BDREGISTROBTH2025[],5,FALSE)="100",0,"100")</f>
        <v>0</v>
      </c>
      <c r="F314" s="1">
        <f>VLOOKUP(B314,BDREGISTROASAMBLEA2025[],8,FALSE)</f>
        <v>0</v>
      </c>
      <c r="G314" s="1">
        <f>VLOOKUP(B314,BDREGISTROMINGA2025[],6,FALSE)</f>
        <v>0</v>
      </c>
      <c r="H314" s="1">
        <v>0</v>
      </c>
      <c r="I314" s="1">
        <v>0</v>
      </c>
      <c r="J314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315" spans="2:10" x14ac:dyDescent="0.3">
      <c r="B315" s="1">
        <f t="shared" si="4"/>
        <v>310</v>
      </c>
      <c r="C315" t="str">
        <f>IFERROR(VLOOKUP(BDOBLIGACIONES[[#This Row],[NROKARDEX]],BDPADRES[],8,FALSE),"Sin registrado")</f>
        <v>MARTINA VILLCA FLORES</v>
      </c>
      <c r="D315" s="1">
        <f>IF(VLOOKUP(B315,BDREGISTROAPORTES2025[],5,FALSE)="165",0,"165")</f>
        <v>0</v>
      </c>
      <c r="E315" s="1">
        <f>IF(VLOOKUP(B315,BDREGISTROBTH2025[],5,FALSE)="100",0,"100")</f>
        <v>0</v>
      </c>
      <c r="F315" s="1">
        <f>VLOOKUP(B315,BDREGISTROASAMBLEA2025[],8,FALSE)</f>
        <v>0</v>
      </c>
      <c r="G315" s="1">
        <f>VLOOKUP(B315,BDREGISTROMINGA2025[],6,FALSE)</f>
        <v>0</v>
      </c>
      <c r="H315" s="1">
        <v>0</v>
      </c>
      <c r="I315" s="1">
        <v>0</v>
      </c>
      <c r="J315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316" spans="2:10" x14ac:dyDescent="0.3">
      <c r="B316" s="1">
        <f t="shared" si="4"/>
        <v>311</v>
      </c>
      <c r="C316" t="str">
        <f>IFERROR(VLOOKUP(BDOBLIGACIONES[[#This Row],[NROKARDEX]],BDPADRES[],8,FALSE),"Sin registrado")</f>
        <v>JUANITA GONZALES BANEGAS</v>
      </c>
      <c r="D316" s="1">
        <f>IF(VLOOKUP(B316,BDREGISTROAPORTES2025[],5,FALSE)="165",0,"165")</f>
        <v>0</v>
      </c>
      <c r="E316" s="1">
        <f>IF(VLOOKUP(B316,BDREGISTROBTH2025[],5,FALSE)="100",0,"100")</f>
        <v>0</v>
      </c>
      <c r="F316" s="1">
        <f>VLOOKUP(B316,BDREGISTROASAMBLEA2025[],8,FALSE)</f>
        <v>0</v>
      </c>
      <c r="G316" s="1">
        <f>VLOOKUP(B316,BDREGISTROMINGA2025[],6,FALSE)</f>
        <v>0</v>
      </c>
      <c r="H316" s="1">
        <v>0</v>
      </c>
      <c r="I316" s="1">
        <v>0</v>
      </c>
      <c r="J316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317" spans="2:10" x14ac:dyDescent="0.3">
      <c r="B317" s="1">
        <f t="shared" si="4"/>
        <v>312</v>
      </c>
      <c r="C317" t="str">
        <f>IFERROR(VLOOKUP(BDOBLIGACIONES[[#This Row],[NROKARDEX]],BDPADRES[],8,FALSE),"Sin registrado")</f>
        <v>MARCIANA APAZA FLORES</v>
      </c>
      <c r="D317" s="1">
        <f>IF(VLOOKUP(B317,BDREGISTROAPORTES2025[],5,FALSE)="165",0,"165")</f>
        <v>0</v>
      </c>
      <c r="E317" s="1">
        <f>IF(VLOOKUP(B317,BDREGISTROBTH2025[],5,FALSE)="100",0,"100")</f>
        <v>0</v>
      </c>
      <c r="F317" s="1">
        <f>VLOOKUP(B317,BDREGISTROASAMBLEA2025[],8,FALSE)</f>
        <v>0</v>
      </c>
      <c r="G317" s="1">
        <f>VLOOKUP(B317,BDREGISTROMINGA2025[],6,FALSE)</f>
        <v>0</v>
      </c>
      <c r="H317" s="1">
        <v>0</v>
      </c>
      <c r="I317" s="1">
        <v>0</v>
      </c>
      <c r="J317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318" spans="2:10" x14ac:dyDescent="0.3">
      <c r="B318" s="1">
        <f t="shared" si="4"/>
        <v>313</v>
      </c>
      <c r="C318" t="str">
        <f>IFERROR(VLOOKUP(BDOBLIGACIONES[[#This Row],[NROKARDEX]],BDPADRES[],8,FALSE),"Sin registrado")</f>
        <v>YULI MIRANDA PADILLA</v>
      </c>
      <c r="D318" s="1">
        <f>IF(VLOOKUP(B318,BDREGISTROAPORTES2025[],5,FALSE)="165",0,"165")</f>
        <v>0</v>
      </c>
      <c r="E318" s="1">
        <f>IF(VLOOKUP(B318,BDREGISTROBTH2025[],5,FALSE)="100",0,"100")</f>
        <v>0</v>
      </c>
      <c r="F318" s="1">
        <f>VLOOKUP(B318,BDREGISTROASAMBLEA2025[],8,FALSE)</f>
        <v>0</v>
      </c>
      <c r="G318" s="1">
        <f>VLOOKUP(B318,BDREGISTROMINGA2025[],6,FALSE)</f>
        <v>0</v>
      </c>
      <c r="H318" s="1">
        <v>0</v>
      </c>
      <c r="I318" s="1">
        <v>0</v>
      </c>
      <c r="J318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319" spans="2:10" x14ac:dyDescent="0.3">
      <c r="B319" s="1">
        <f t="shared" si="4"/>
        <v>314</v>
      </c>
      <c r="C319" t="str">
        <f>IFERROR(VLOOKUP(BDOBLIGACIONES[[#This Row],[NROKARDEX]],BDPADRES[],8,FALSE),"Sin registrado")</f>
        <v>LURDES GUZMAN LEDEZMA</v>
      </c>
      <c r="D319" s="1">
        <f>IF(VLOOKUP(B319,BDREGISTROAPORTES2025[],5,FALSE)="165",0,"165")</f>
        <v>0</v>
      </c>
      <c r="E319" s="1" t="str">
        <f>IF(VLOOKUP(B319,BDREGISTROBTH2025[],5,FALSE)="100",0,"100")</f>
        <v>100</v>
      </c>
      <c r="F319" s="1">
        <f>VLOOKUP(B319,BDREGISTROASAMBLEA2025[],8,FALSE)</f>
        <v>0</v>
      </c>
      <c r="G319" s="1">
        <f>VLOOKUP(B319,BDREGISTROMINGA2025[],6,FALSE)</f>
        <v>0</v>
      </c>
      <c r="H319" s="1">
        <v>0</v>
      </c>
      <c r="I319" s="1">
        <v>0</v>
      </c>
      <c r="J319" s="1">
        <f>BDOBLIGACIONES[[#This Row],[ASAMBLEA]]+BDOBLIGACIONES[[#This Row],[MINGA]]+BDOBLIGACIONES[[#This Row],[DELEGADOS]]+BDOBLIGACIONES[[#This Row],[CURSO]]+BDOBLIGACIONES[[#This Row],[APORTE]]+BDOBLIGACIONES[[#This Row],[BTH]]</f>
        <v>100</v>
      </c>
    </row>
    <row r="320" spans="2:10" x14ac:dyDescent="0.3">
      <c r="B320" s="1">
        <f t="shared" si="4"/>
        <v>315</v>
      </c>
      <c r="C320" t="str">
        <f>IFERROR(VLOOKUP(BDOBLIGACIONES[[#This Row],[NROKARDEX]],BDPADRES[],8,FALSE),"Sin registrado")</f>
        <v>BEATRIZ ESTRADA BOCANEGRA</v>
      </c>
      <c r="D320" s="1">
        <f>IF(VLOOKUP(B320,BDREGISTROAPORTES2025[],5,FALSE)="165",0,"165")</f>
        <v>0</v>
      </c>
      <c r="E320" s="1">
        <f>IF(VLOOKUP(B320,BDREGISTROBTH2025[],5,FALSE)="100",0,"100")</f>
        <v>0</v>
      </c>
      <c r="F320" s="1">
        <f>VLOOKUP(B320,BDREGISTROASAMBLEA2025[],8,FALSE)</f>
        <v>0</v>
      </c>
      <c r="G320" s="1">
        <f>VLOOKUP(B320,BDREGISTROMINGA2025[],6,FALSE)</f>
        <v>0</v>
      </c>
      <c r="H320" s="1">
        <v>0</v>
      </c>
      <c r="I320" s="1">
        <v>0</v>
      </c>
      <c r="J320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321" spans="2:10" x14ac:dyDescent="0.3">
      <c r="B321" s="1">
        <f t="shared" si="4"/>
        <v>316</v>
      </c>
      <c r="C321" t="str">
        <f>IFERROR(VLOOKUP(BDOBLIGACIONES[[#This Row],[NROKARDEX]],BDPADRES[],8,FALSE),"Sin registrado")</f>
        <v>HILARIA CRUZ ROMERO</v>
      </c>
      <c r="D321" s="1">
        <f>IF(VLOOKUP(B321,BDREGISTROAPORTES2025[],5,FALSE)="165",0,"165")</f>
        <v>0</v>
      </c>
      <c r="E321" s="1">
        <f>IF(VLOOKUP(B321,BDREGISTROBTH2025[],5,FALSE)="100",0,"100")</f>
        <v>0</v>
      </c>
      <c r="F321" s="1">
        <f>VLOOKUP(B321,BDREGISTROASAMBLEA2025[],8,FALSE)</f>
        <v>0</v>
      </c>
      <c r="G321" s="1">
        <f>VLOOKUP(B321,BDREGISTROMINGA2025[],6,FALSE)</f>
        <v>0</v>
      </c>
      <c r="H321" s="1">
        <v>0</v>
      </c>
      <c r="I321" s="1">
        <v>0</v>
      </c>
      <c r="J321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322" spans="2:10" x14ac:dyDescent="0.3">
      <c r="B322" s="1">
        <f t="shared" si="4"/>
        <v>317</v>
      </c>
      <c r="C322" s="8" t="str">
        <f>IFERROR(VLOOKUP(BDOBLIGACIONES[[#This Row],[NROKARDEX]],BDPADRES[],8,FALSE),"Sin registrado")</f>
        <v>Sin registrado</v>
      </c>
      <c r="D322" s="1" t="str">
        <f>IF(VLOOKUP(B322,BDREGISTROAPORTES2025[],5,FALSE)="165",0,"165")</f>
        <v>165</v>
      </c>
      <c r="E322" s="1" t="str">
        <f>IF(VLOOKUP(B322,BDREGISTROBTH2025[],5,FALSE)="100",0,"100")</f>
        <v>100</v>
      </c>
      <c r="F322" s="1">
        <f>VLOOKUP(B322,BDREGISTROASAMBLEA2025[],8,FALSE)</f>
        <v>0</v>
      </c>
      <c r="G322" s="1">
        <f>VLOOKUP(B322,BDREGISTROMINGA2025[],6,FALSE)</f>
        <v>0</v>
      </c>
      <c r="H322" s="1">
        <v>0</v>
      </c>
      <c r="I322" s="1">
        <v>0</v>
      </c>
      <c r="J322" s="1">
        <f>BDOBLIGACIONES[[#This Row],[ASAMBLEA]]+BDOBLIGACIONES[[#This Row],[MINGA]]+BDOBLIGACIONES[[#This Row],[DELEGADOS]]+BDOBLIGACIONES[[#This Row],[CURSO]]+BDOBLIGACIONES[[#This Row],[APORTE]]+BDOBLIGACIONES[[#This Row],[BTH]]</f>
        <v>265</v>
      </c>
    </row>
    <row r="323" spans="2:10" x14ac:dyDescent="0.3">
      <c r="B323" s="1">
        <f t="shared" si="4"/>
        <v>318</v>
      </c>
      <c r="C323" t="str">
        <f>IFERROR(VLOOKUP(BDOBLIGACIONES[[#This Row],[NROKARDEX]],BDPADRES[],8,FALSE),"Sin registrado")</f>
        <v>DIONICIA VASQUEZ HIDALGO</v>
      </c>
      <c r="D323" s="1">
        <f>IF(VLOOKUP(B323,BDREGISTROAPORTES2025[],5,FALSE)="165",0,"165")</f>
        <v>0</v>
      </c>
      <c r="E323" s="1">
        <f>IF(VLOOKUP(B323,BDREGISTROBTH2025[],5,FALSE)="100",0,"100")</f>
        <v>0</v>
      </c>
      <c r="F323" s="1">
        <f>VLOOKUP(B323,BDREGISTROASAMBLEA2025[],8,FALSE)</f>
        <v>0</v>
      </c>
      <c r="G323" s="1">
        <f>VLOOKUP(B323,BDREGISTROMINGA2025[],6,FALSE)</f>
        <v>0</v>
      </c>
      <c r="H323" s="1">
        <v>0</v>
      </c>
      <c r="I323" s="1">
        <v>0</v>
      </c>
      <c r="J323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324" spans="2:10" x14ac:dyDescent="0.3">
      <c r="B324" s="1">
        <f t="shared" si="4"/>
        <v>319</v>
      </c>
      <c r="C324" t="str">
        <f>IFERROR(VLOOKUP(BDOBLIGACIONES[[#This Row],[NROKARDEX]],BDPADRES[],8,FALSE),"Sin registrado")</f>
        <v>LUCY   FAREL GUEVARA</v>
      </c>
      <c r="D324" s="1">
        <f>IF(VLOOKUP(B324,BDREGISTROAPORTES2025[],5,FALSE)="165",0,"165")</f>
        <v>0</v>
      </c>
      <c r="E324" s="1">
        <f>IF(VLOOKUP(B324,BDREGISTROBTH2025[],5,FALSE)="100",0,"100")</f>
        <v>0</v>
      </c>
      <c r="F324" s="1">
        <f>VLOOKUP(B324,BDREGISTROASAMBLEA2025[],8,FALSE)</f>
        <v>0</v>
      </c>
      <c r="G324" s="1">
        <f>VLOOKUP(B324,BDREGISTROMINGA2025[],6,FALSE)</f>
        <v>0</v>
      </c>
      <c r="H324" s="1">
        <v>0</v>
      </c>
      <c r="I324" s="1">
        <v>0</v>
      </c>
      <c r="J324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325" spans="2:10" x14ac:dyDescent="0.3">
      <c r="B325" s="1">
        <f t="shared" si="4"/>
        <v>320</v>
      </c>
      <c r="C325" t="str">
        <f>IFERROR(VLOOKUP(BDOBLIGACIONES[[#This Row],[NROKARDEX]],BDPADRES[],8,FALSE),"Sin registrado")</f>
        <v>JUANA SORIA MORON</v>
      </c>
      <c r="D325" s="1">
        <f>IF(VLOOKUP(B325,BDREGISTROAPORTES2025[],5,FALSE)="165",0,"165")</f>
        <v>0</v>
      </c>
      <c r="E325" s="1">
        <f>IF(VLOOKUP(B325,BDREGISTROBTH2025[],5,FALSE)="100",0,"100")</f>
        <v>0</v>
      </c>
      <c r="F325" s="1">
        <f>VLOOKUP(B325,BDREGISTROASAMBLEA2025[],8,FALSE)</f>
        <v>0</v>
      </c>
      <c r="G325" s="1">
        <f>VLOOKUP(B325,BDREGISTROMINGA2025[],6,FALSE)</f>
        <v>0</v>
      </c>
      <c r="H325" s="1">
        <v>0</v>
      </c>
      <c r="I325" s="1">
        <v>0</v>
      </c>
      <c r="J325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326" spans="2:10" x14ac:dyDescent="0.3">
      <c r="B326" s="1">
        <f t="shared" si="4"/>
        <v>321</v>
      </c>
      <c r="C326" t="str">
        <f>IFERROR(VLOOKUP(BDOBLIGACIONES[[#This Row],[NROKARDEX]],BDPADRES[],8,FALSE),"Sin registrado")</f>
        <v>MARIA VILLARPANDO AVILA</v>
      </c>
      <c r="D326" s="1">
        <f>IF(VLOOKUP(B326,BDREGISTROAPORTES2025[],5,FALSE)="165",0,"165")</f>
        <v>0</v>
      </c>
      <c r="E326" s="1">
        <f>IF(VLOOKUP(B326,BDREGISTROBTH2025[],5,FALSE)="100",0,"100")</f>
        <v>0</v>
      </c>
      <c r="F326" s="1">
        <f>VLOOKUP(B326,BDREGISTROASAMBLEA2025[],8,FALSE)</f>
        <v>0</v>
      </c>
      <c r="G326" s="1">
        <f>VLOOKUP(B326,BDREGISTROMINGA2025[],6,FALSE)</f>
        <v>0</v>
      </c>
      <c r="H326" s="1">
        <v>0</v>
      </c>
      <c r="I326" s="1">
        <v>0</v>
      </c>
      <c r="J326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327" spans="2:10" x14ac:dyDescent="0.3">
      <c r="B327" s="1">
        <f t="shared" si="4"/>
        <v>322</v>
      </c>
      <c r="C327" t="str">
        <f>IFERROR(VLOOKUP(BDOBLIGACIONES[[#This Row],[NROKARDEX]],BDPADRES[],8,FALSE),"Sin registrado")</f>
        <v>REINA SERRUDO GUERRA</v>
      </c>
      <c r="D327" s="1">
        <f>IF(VLOOKUP(B327,BDREGISTROAPORTES2025[],5,FALSE)="165",0,"165")</f>
        <v>0</v>
      </c>
      <c r="E327" s="1">
        <f>IF(VLOOKUP(B327,BDREGISTROBTH2025[],5,FALSE)="100",0,"100")</f>
        <v>0</v>
      </c>
      <c r="F327" s="1">
        <f>VLOOKUP(B327,BDREGISTROASAMBLEA2025[],8,FALSE)</f>
        <v>0</v>
      </c>
      <c r="G327" s="1">
        <f>VLOOKUP(B327,BDREGISTROMINGA2025[],6,FALSE)</f>
        <v>0</v>
      </c>
      <c r="H327" s="1">
        <v>0</v>
      </c>
      <c r="I327" s="1">
        <v>0</v>
      </c>
      <c r="J327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328" spans="2:10" x14ac:dyDescent="0.3">
      <c r="B328" s="1">
        <f t="shared" si="4"/>
        <v>323</v>
      </c>
      <c r="C328" s="8" t="str">
        <f>IFERROR(VLOOKUP(BDOBLIGACIONES[[#This Row],[NROKARDEX]],BDPADRES[],8,FALSE),"Sin registrado")</f>
        <v>Sin registrado</v>
      </c>
      <c r="D328" s="1" t="str">
        <f>IF(VLOOKUP(B328,BDREGISTROAPORTES2025[],5,FALSE)="165",0,"165")</f>
        <v>165</v>
      </c>
      <c r="E328" s="1" t="str">
        <f>IF(VLOOKUP(B328,BDREGISTROBTH2025[],5,FALSE)="100",0,"100")</f>
        <v>100</v>
      </c>
      <c r="F328" s="1">
        <f>VLOOKUP(B328,BDREGISTROASAMBLEA2025[],8,FALSE)</f>
        <v>0</v>
      </c>
      <c r="G328" s="1">
        <f>VLOOKUP(B328,BDREGISTROMINGA2025[],6,FALSE)</f>
        <v>0</v>
      </c>
      <c r="H328" s="1">
        <v>0</v>
      </c>
      <c r="I328" s="1">
        <v>0</v>
      </c>
      <c r="J328" s="1">
        <f>BDOBLIGACIONES[[#This Row],[ASAMBLEA]]+BDOBLIGACIONES[[#This Row],[MINGA]]+BDOBLIGACIONES[[#This Row],[DELEGADOS]]+BDOBLIGACIONES[[#This Row],[CURSO]]+BDOBLIGACIONES[[#This Row],[APORTE]]+BDOBLIGACIONES[[#This Row],[BTH]]</f>
        <v>265</v>
      </c>
    </row>
    <row r="329" spans="2:10" x14ac:dyDescent="0.3">
      <c r="B329" s="1">
        <f t="shared" ref="B329:B392" si="5">ROW(A324)</f>
        <v>324</v>
      </c>
      <c r="C329" t="str">
        <f>IFERROR(VLOOKUP(BDOBLIGACIONES[[#This Row],[NROKARDEX]],BDPADRES[],8,FALSE),"Sin registrado")</f>
        <v>MILDREM ABIGAIL ANCASI ESPINOZA</v>
      </c>
      <c r="D329" s="1">
        <f>IF(VLOOKUP(B329,BDREGISTROAPORTES2025[],5,FALSE)="165",0,"165")</f>
        <v>0</v>
      </c>
      <c r="E329" s="1">
        <f>IF(VLOOKUP(B329,BDREGISTROBTH2025[],5,FALSE)="100",0,"100")</f>
        <v>0</v>
      </c>
      <c r="F329" s="1">
        <f>VLOOKUP(B329,BDREGISTROASAMBLEA2025[],8,FALSE)</f>
        <v>0</v>
      </c>
      <c r="G329" s="1">
        <f>VLOOKUP(B329,BDREGISTROMINGA2025[],6,FALSE)</f>
        <v>0</v>
      </c>
      <c r="H329" s="1">
        <v>0</v>
      </c>
      <c r="I329" s="1">
        <v>0</v>
      </c>
      <c r="J329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330" spans="2:10" x14ac:dyDescent="0.3">
      <c r="B330" s="1">
        <f t="shared" si="5"/>
        <v>325</v>
      </c>
      <c r="C330" t="str">
        <f>IFERROR(VLOOKUP(BDOBLIGACIONES[[#This Row],[NROKARDEX]],BDPADRES[],8,FALSE),"Sin registrado")</f>
        <v>VERONICA CHUMACERO MAMANI</v>
      </c>
      <c r="D330" s="1">
        <f>IF(VLOOKUP(B330,BDREGISTROAPORTES2025[],5,FALSE)="165",0,"165")</f>
        <v>0</v>
      </c>
      <c r="E330" s="1">
        <f>IF(VLOOKUP(B330,BDREGISTROBTH2025[],5,FALSE)="100",0,"100")</f>
        <v>0</v>
      </c>
      <c r="F330" s="1">
        <f>VLOOKUP(B330,BDREGISTROASAMBLEA2025[],8,FALSE)</f>
        <v>0</v>
      </c>
      <c r="G330" s="1">
        <f>VLOOKUP(B330,BDREGISTROMINGA2025[],6,FALSE)</f>
        <v>0</v>
      </c>
      <c r="H330" s="1">
        <v>0</v>
      </c>
      <c r="I330" s="1">
        <v>0</v>
      </c>
      <c r="J330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331" spans="2:10" x14ac:dyDescent="0.3">
      <c r="B331" s="1">
        <f t="shared" si="5"/>
        <v>326</v>
      </c>
      <c r="C331" t="str">
        <f>IFERROR(VLOOKUP(BDOBLIGACIONES[[#This Row],[NROKARDEX]],BDPADRES[],8,FALSE),"Sin registrado")</f>
        <v>ANGELICA GUDELIA SANDOVAL LOPEZ</v>
      </c>
      <c r="D331" s="1">
        <f>IF(VLOOKUP(B331,BDREGISTROAPORTES2025[],5,FALSE)="165",0,"165")</f>
        <v>0</v>
      </c>
      <c r="E331" s="1">
        <f>IF(VLOOKUP(B331,BDREGISTROBTH2025[],5,FALSE)="100",0,"100")</f>
        <v>0</v>
      </c>
      <c r="F331" s="1">
        <f>VLOOKUP(B331,BDREGISTROASAMBLEA2025[],8,FALSE)</f>
        <v>0</v>
      </c>
      <c r="G331" s="1">
        <f>VLOOKUP(B331,BDREGISTROMINGA2025[],6,FALSE)</f>
        <v>0</v>
      </c>
      <c r="H331" s="1">
        <v>0</v>
      </c>
      <c r="I331" s="1">
        <v>0</v>
      </c>
      <c r="J331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332" spans="2:10" x14ac:dyDescent="0.3">
      <c r="B332" s="1">
        <f t="shared" si="5"/>
        <v>327</v>
      </c>
      <c r="C332" t="str">
        <f>IFERROR(VLOOKUP(BDOBLIGACIONES[[#This Row],[NROKARDEX]],BDPADRES[],8,FALSE),"Sin registrado")</f>
        <v>JAQUELIN ROMAN MENCARI</v>
      </c>
      <c r="D332" s="1">
        <f>IF(VLOOKUP(B332,BDREGISTROAPORTES2025[],5,FALSE)="165",0,"165")</f>
        <v>0</v>
      </c>
      <c r="E332" s="1">
        <f>IF(VLOOKUP(B332,BDREGISTROBTH2025[],5,FALSE)="100",0,"100")</f>
        <v>0</v>
      </c>
      <c r="F332" s="1">
        <f>VLOOKUP(B332,BDREGISTROASAMBLEA2025[],8,FALSE)</f>
        <v>0</v>
      </c>
      <c r="G332" s="1">
        <f>VLOOKUP(B332,BDREGISTROMINGA2025[],6,FALSE)</f>
        <v>0</v>
      </c>
      <c r="H332" s="1">
        <v>0</v>
      </c>
      <c r="I332" s="1">
        <v>0</v>
      </c>
      <c r="J332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333" spans="2:10" x14ac:dyDescent="0.3">
      <c r="B333" s="1">
        <f t="shared" si="5"/>
        <v>328</v>
      </c>
      <c r="C333" t="str">
        <f>IFERROR(VLOOKUP(BDOBLIGACIONES[[#This Row],[NROKARDEX]],BDPADRES[],8,FALSE),"Sin registrado")</f>
        <v>PEREGRINA VARGAS CUCHALLO</v>
      </c>
      <c r="D333" s="1">
        <f>IF(VLOOKUP(B333,BDREGISTROAPORTES2025[],5,FALSE)="165",0,"165")</f>
        <v>0</v>
      </c>
      <c r="E333" s="1" t="str">
        <f>IF(VLOOKUP(B333,BDREGISTROBTH2025[],5,FALSE)="100",0,"100")</f>
        <v>100</v>
      </c>
      <c r="F333" s="1">
        <f>VLOOKUP(B333,BDREGISTROASAMBLEA2025[],8,FALSE)</f>
        <v>0</v>
      </c>
      <c r="G333" s="1">
        <f>VLOOKUP(B333,BDREGISTROMINGA2025[],6,FALSE)</f>
        <v>0</v>
      </c>
      <c r="H333" s="1">
        <v>0</v>
      </c>
      <c r="I333" s="1">
        <v>0</v>
      </c>
      <c r="J333" s="1">
        <f>BDOBLIGACIONES[[#This Row],[ASAMBLEA]]+BDOBLIGACIONES[[#This Row],[MINGA]]+BDOBLIGACIONES[[#This Row],[DELEGADOS]]+BDOBLIGACIONES[[#This Row],[CURSO]]+BDOBLIGACIONES[[#This Row],[APORTE]]+BDOBLIGACIONES[[#This Row],[BTH]]</f>
        <v>100</v>
      </c>
    </row>
    <row r="334" spans="2:10" x14ac:dyDescent="0.3">
      <c r="B334" s="1">
        <f t="shared" si="5"/>
        <v>329</v>
      </c>
      <c r="C334" t="str">
        <f>IFERROR(VLOOKUP(BDOBLIGACIONES[[#This Row],[NROKARDEX]],BDPADRES[],8,FALSE),"Sin registrado")</f>
        <v>NORMA ARANCIBIA FIGUEROA</v>
      </c>
      <c r="D334" s="1">
        <f>IF(VLOOKUP(B334,BDREGISTROAPORTES2025[],5,FALSE)="165",0,"165")</f>
        <v>0</v>
      </c>
      <c r="E334" s="1">
        <f>IF(VLOOKUP(B334,BDREGISTROBTH2025[],5,FALSE)="100",0,"100")</f>
        <v>0</v>
      </c>
      <c r="F334" s="1">
        <f>VLOOKUP(B334,BDREGISTROASAMBLEA2025[],8,FALSE)</f>
        <v>0</v>
      </c>
      <c r="G334" s="1">
        <f>VLOOKUP(B334,BDREGISTROMINGA2025[],6,FALSE)</f>
        <v>0</v>
      </c>
      <c r="H334" s="1">
        <v>0</v>
      </c>
      <c r="I334" s="1">
        <v>0</v>
      </c>
      <c r="J334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335" spans="2:10" x14ac:dyDescent="0.3">
      <c r="B335" s="1">
        <f t="shared" si="5"/>
        <v>330</v>
      </c>
      <c r="C335" s="8" t="str">
        <f>IFERROR(VLOOKUP(BDOBLIGACIONES[[#This Row],[NROKARDEX]],BDPADRES[],8,FALSE),"Sin registrado")</f>
        <v>Sin registrado</v>
      </c>
      <c r="D335" s="1" t="str">
        <f>IF(VLOOKUP(B335,BDREGISTROAPORTES2025[],5,FALSE)="165",0,"165")</f>
        <v>165</v>
      </c>
      <c r="E335" s="1" t="str">
        <f>IF(VLOOKUP(B335,BDREGISTROBTH2025[],5,FALSE)="100",0,"100")</f>
        <v>100</v>
      </c>
      <c r="F335" s="1">
        <f>VLOOKUP(B335,BDREGISTROASAMBLEA2025[],8,FALSE)</f>
        <v>0</v>
      </c>
      <c r="G335" s="1">
        <f>VLOOKUP(B335,BDREGISTROMINGA2025[],6,FALSE)</f>
        <v>0</v>
      </c>
      <c r="H335" s="1">
        <v>0</v>
      </c>
      <c r="I335" s="1">
        <v>0</v>
      </c>
      <c r="J335" s="1">
        <f>BDOBLIGACIONES[[#This Row],[ASAMBLEA]]+BDOBLIGACIONES[[#This Row],[MINGA]]+BDOBLIGACIONES[[#This Row],[DELEGADOS]]+BDOBLIGACIONES[[#This Row],[CURSO]]+BDOBLIGACIONES[[#This Row],[APORTE]]+BDOBLIGACIONES[[#This Row],[BTH]]</f>
        <v>265</v>
      </c>
    </row>
    <row r="336" spans="2:10" x14ac:dyDescent="0.3">
      <c r="B336" s="1">
        <f t="shared" si="5"/>
        <v>331</v>
      </c>
      <c r="C336" t="str">
        <f>IFERROR(VLOOKUP(BDOBLIGACIONES[[#This Row],[NROKARDEX]],BDPADRES[],8,FALSE),"Sin registrado")</f>
        <v>LAURA RIVERA ROSSEL</v>
      </c>
      <c r="D336" s="1">
        <f>IF(VLOOKUP(B336,BDREGISTROAPORTES2025[],5,FALSE)="165",0,"165")</f>
        <v>0</v>
      </c>
      <c r="E336" s="1" t="str">
        <f>IF(VLOOKUP(B336,BDREGISTROBTH2025[],5,FALSE)="100",0,"100")</f>
        <v>100</v>
      </c>
      <c r="F336" s="1">
        <f>VLOOKUP(B336,BDREGISTROASAMBLEA2025[],8,FALSE)</f>
        <v>0</v>
      </c>
      <c r="G336" s="1">
        <f>VLOOKUP(B336,BDREGISTROMINGA2025[],6,FALSE)</f>
        <v>0</v>
      </c>
      <c r="H336" s="1">
        <v>0</v>
      </c>
      <c r="I336" s="1">
        <v>0</v>
      </c>
      <c r="J336" s="1">
        <f>BDOBLIGACIONES[[#This Row],[ASAMBLEA]]+BDOBLIGACIONES[[#This Row],[MINGA]]+BDOBLIGACIONES[[#This Row],[DELEGADOS]]+BDOBLIGACIONES[[#This Row],[CURSO]]+BDOBLIGACIONES[[#This Row],[APORTE]]+BDOBLIGACIONES[[#This Row],[BTH]]</f>
        <v>100</v>
      </c>
    </row>
    <row r="337" spans="2:10" x14ac:dyDescent="0.3">
      <c r="B337" s="1">
        <f t="shared" si="5"/>
        <v>332</v>
      </c>
      <c r="C337" t="str">
        <f>IFERROR(VLOOKUP(BDOBLIGACIONES[[#This Row],[NROKARDEX]],BDPADRES[],8,FALSE),"Sin registrado")</f>
        <v>INGRID SAAVEDRA MANO</v>
      </c>
      <c r="D337" s="1">
        <f>IF(VLOOKUP(B337,BDREGISTROAPORTES2025[],5,FALSE)="165",0,"165")</f>
        <v>0</v>
      </c>
      <c r="E337" s="1">
        <f>IF(VLOOKUP(B337,BDREGISTROBTH2025[],5,FALSE)="100",0,"100")</f>
        <v>0</v>
      </c>
      <c r="F337" s="1">
        <f>VLOOKUP(B337,BDREGISTROASAMBLEA2025[],8,FALSE)</f>
        <v>0</v>
      </c>
      <c r="G337" s="1">
        <f>VLOOKUP(B337,BDREGISTROMINGA2025[],6,FALSE)</f>
        <v>0</v>
      </c>
      <c r="H337" s="1">
        <v>0</v>
      </c>
      <c r="I337" s="1">
        <v>0</v>
      </c>
      <c r="J337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338" spans="2:10" x14ac:dyDescent="0.3">
      <c r="B338" s="1">
        <f t="shared" si="5"/>
        <v>333</v>
      </c>
      <c r="C338" t="str">
        <f>IFERROR(VLOOKUP(BDOBLIGACIONES[[#This Row],[NROKARDEX]],BDPADRES[],8,FALSE),"Sin registrado")</f>
        <v>DOMINGA CABRERA ORTIZ</v>
      </c>
      <c r="D338" s="1">
        <f>IF(VLOOKUP(B338,BDREGISTROAPORTES2025[],5,FALSE)="165",0,"165")</f>
        <v>0</v>
      </c>
      <c r="E338" s="1">
        <f>IF(VLOOKUP(B338,BDREGISTROBTH2025[],5,FALSE)="100",0,"100")</f>
        <v>0</v>
      </c>
      <c r="F338" s="1">
        <f>VLOOKUP(B338,BDREGISTROASAMBLEA2025[],8,FALSE)</f>
        <v>0</v>
      </c>
      <c r="G338" s="1">
        <f>VLOOKUP(B338,BDREGISTROMINGA2025[],6,FALSE)</f>
        <v>0</v>
      </c>
      <c r="H338" s="1">
        <v>0</v>
      </c>
      <c r="I338" s="1">
        <v>0</v>
      </c>
      <c r="J338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339" spans="2:10" x14ac:dyDescent="0.3">
      <c r="B339" s="1">
        <f t="shared" si="5"/>
        <v>334</v>
      </c>
      <c r="C339" t="str">
        <f>IFERROR(VLOOKUP(BDOBLIGACIONES[[#This Row],[NROKARDEX]],BDPADRES[],8,FALSE),"Sin registrado")</f>
        <v>MARY LUZ CHAVEZ RODA</v>
      </c>
      <c r="D339" s="1">
        <f>IF(VLOOKUP(B339,BDREGISTROAPORTES2025[],5,FALSE)="165",0,"165")</f>
        <v>0</v>
      </c>
      <c r="E339" s="1" t="str">
        <f>IF(VLOOKUP(B339,BDREGISTROBTH2025[],5,FALSE)="100",0,"100")</f>
        <v>100</v>
      </c>
      <c r="F339" s="1">
        <f>VLOOKUP(B339,BDREGISTROASAMBLEA2025[],8,FALSE)</f>
        <v>0</v>
      </c>
      <c r="G339" s="1">
        <f>VLOOKUP(B339,BDREGISTROMINGA2025[],6,FALSE)</f>
        <v>0</v>
      </c>
      <c r="H339" s="1">
        <v>0</v>
      </c>
      <c r="I339" s="1">
        <v>0</v>
      </c>
      <c r="J339" s="1">
        <f>BDOBLIGACIONES[[#This Row],[ASAMBLEA]]+BDOBLIGACIONES[[#This Row],[MINGA]]+BDOBLIGACIONES[[#This Row],[DELEGADOS]]+BDOBLIGACIONES[[#This Row],[CURSO]]+BDOBLIGACIONES[[#This Row],[APORTE]]+BDOBLIGACIONES[[#This Row],[BTH]]</f>
        <v>100</v>
      </c>
    </row>
    <row r="340" spans="2:10" x14ac:dyDescent="0.3">
      <c r="B340" s="1">
        <f t="shared" si="5"/>
        <v>335</v>
      </c>
      <c r="C340" t="str">
        <f>IFERROR(VLOOKUP(BDOBLIGACIONES[[#This Row],[NROKARDEX]],BDPADRES[],8,FALSE),"Sin registrado")</f>
        <v>GABRIELA BANUS ESTRADA</v>
      </c>
      <c r="D340" s="1">
        <f>IF(VLOOKUP(B340,BDREGISTROAPORTES2025[],5,FALSE)="165",0,"165")</f>
        <v>0</v>
      </c>
      <c r="E340" s="1">
        <f>IF(VLOOKUP(B340,BDREGISTROBTH2025[],5,FALSE)="100",0,"100")</f>
        <v>0</v>
      </c>
      <c r="F340" s="1">
        <f>VLOOKUP(B340,BDREGISTROASAMBLEA2025[],8,FALSE)</f>
        <v>0</v>
      </c>
      <c r="G340" s="1">
        <f>VLOOKUP(B340,BDREGISTROMINGA2025[],6,FALSE)</f>
        <v>0</v>
      </c>
      <c r="H340" s="1">
        <v>0</v>
      </c>
      <c r="I340" s="1">
        <v>0</v>
      </c>
      <c r="J340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341" spans="2:10" x14ac:dyDescent="0.3">
      <c r="B341" s="1">
        <f t="shared" si="5"/>
        <v>336</v>
      </c>
      <c r="C341" t="str">
        <f>IFERROR(VLOOKUP(BDOBLIGACIONES[[#This Row],[NROKARDEX]],BDPADRES[],8,FALSE),"Sin registrado")</f>
        <v>ERNESTINA PADILLA GAMBOA</v>
      </c>
      <c r="D341" s="1">
        <f>IF(VLOOKUP(B341,BDREGISTROAPORTES2025[],5,FALSE)="165",0,"165")</f>
        <v>0</v>
      </c>
      <c r="E341" s="1">
        <f>IF(VLOOKUP(B341,BDREGISTROBTH2025[],5,FALSE)="100",0,"100")</f>
        <v>0</v>
      </c>
      <c r="F341" s="1">
        <f>VLOOKUP(B341,BDREGISTROASAMBLEA2025[],8,FALSE)</f>
        <v>0</v>
      </c>
      <c r="G341" s="1">
        <f>VLOOKUP(B341,BDREGISTROMINGA2025[],6,FALSE)</f>
        <v>0</v>
      </c>
      <c r="H341" s="1">
        <v>0</v>
      </c>
      <c r="I341" s="1">
        <v>0</v>
      </c>
      <c r="J341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342" spans="2:10" x14ac:dyDescent="0.3">
      <c r="B342" s="1">
        <f t="shared" si="5"/>
        <v>337</v>
      </c>
      <c r="C342" t="str">
        <f>IFERROR(VLOOKUP(BDOBLIGACIONES[[#This Row],[NROKARDEX]],BDPADRES[],8,FALSE),"Sin registrado")</f>
        <v>RAQUEL MARTINEZ PADILLA</v>
      </c>
      <c r="D342" s="1">
        <f>IF(VLOOKUP(B342,BDREGISTROAPORTES2025[],5,FALSE)="165",0,"165")</f>
        <v>0</v>
      </c>
      <c r="E342" s="1">
        <f>IF(VLOOKUP(B342,BDREGISTROBTH2025[],5,FALSE)="100",0,"100")</f>
        <v>0</v>
      </c>
      <c r="F342" s="1">
        <f>VLOOKUP(B342,BDREGISTROASAMBLEA2025[],8,FALSE)</f>
        <v>0</v>
      </c>
      <c r="G342" s="1">
        <f>VLOOKUP(B342,BDREGISTROMINGA2025[],6,FALSE)</f>
        <v>0</v>
      </c>
      <c r="H342" s="1">
        <v>0</v>
      </c>
      <c r="I342" s="1">
        <v>0</v>
      </c>
      <c r="J342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343" spans="2:10" x14ac:dyDescent="0.3">
      <c r="B343" s="1">
        <f t="shared" si="5"/>
        <v>338</v>
      </c>
      <c r="C343" t="str">
        <f>IFERROR(VLOOKUP(BDOBLIGACIONES[[#This Row],[NROKARDEX]],BDPADRES[],8,FALSE),"Sin registrado")</f>
        <v>JUANA BALDERRAMA ROQUE</v>
      </c>
      <c r="D343" s="1">
        <f>IF(VLOOKUP(B343,BDREGISTROAPORTES2025[],5,FALSE)="165",0,"165")</f>
        <v>0</v>
      </c>
      <c r="E343" s="1" t="str">
        <f>IF(VLOOKUP(B343,BDREGISTROBTH2025[],5,FALSE)="100",0,"100")</f>
        <v>100</v>
      </c>
      <c r="F343" s="1">
        <f>VLOOKUP(B343,BDREGISTROASAMBLEA2025[],8,FALSE)</f>
        <v>0</v>
      </c>
      <c r="G343" s="1">
        <f>VLOOKUP(B343,BDREGISTROMINGA2025[],6,FALSE)</f>
        <v>0</v>
      </c>
      <c r="H343" s="1">
        <v>0</v>
      </c>
      <c r="I343" s="1">
        <v>0</v>
      </c>
      <c r="J343" s="1">
        <f>BDOBLIGACIONES[[#This Row],[ASAMBLEA]]+BDOBLIGACIONES[[#This Row],[MINGA]]+BDOBLIGACIONES[[#This Row],[DELEGADOS]]+BDOBLIGACIONES[[#This Row],[CURSO]]+BDOBLIGACIONES[[#This Row],[APORTE]]+BDOBLIGACIONES[[#This Row],[BTH]]</f>
        <v>100</v>
      </c>
    </row>
    <row r="344" spans="2:10" x14ac:dyDescent="0.3">
      <c r="B344" s="1">
        <f t="shared" si="5"/>
        <v>339</v>
      </c>
      <c r="C344" t="str">
        <f>IFERROR(VLOOKUP(BDOBLIGACIONES[[#This Row],[NROKARDEX]],BDPADRES[],8,FALSE),"Sin registrado")</f>
        <v>CELIDA CESPEDES CARRIAZO</v>
      </c>
      <c r="D344" s="1">
        <f>IF(VLOOKUP(B344,BDREGISTROAPORTES2025[],5,FALSE)="165",0,"165")</f>
        <v>0</v>
      </c>
      <c r="E344" s="1">
        <f>IF(VLOOKUP(B344,BDREGISTROBTH2025[],5,FALSE)="100",0,"100")</f>
        <v>0</v>
      </c>
      <c r="F344" s="1">
        <f>VLOOKUP(B344,BDREGISTROASAMBLEA2025[],8,FALSE)</f>
        <v>0</v>
      </c>
      <c r="G344" s="1">
        <f>VLOOKUP(B344,BDREGISTROMINGA2025[],6,FALSE)</f>
        <v>0</v>
      </c>
      <c r="H344" s="1">
        <v>0</v>
      </c>
      <c r="I344" s="1">
        <v>0</v>
      </c>
      <c r="J344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345" spans="2:10" x14ac:dyDescent="0.3">
      <c r="B345" s="1">
        <f t="shared" si="5"/>
        <v>340</v>
      </c>
      <c r="C345" t="str">
        <f>IFERROR(VLOOKUP(BDOBLIGACIONES[[#This Row],[NROKARDEX]],BDPADRES[],8,FALSE),"Sin registrado")</f>
        <v>SILVIA GARCIA RODAS</v>
      </c>
      <c r="D345" s="1">
        <f>IF(VLOOKUP(B345,BDREGISTROAPORTES2025[],5,FALSE)="165",0,"165")</f>
        <v>0</v>
      </c>
      <c r="E345" s="1">
        <f>IF(VLOOKUP(B345,BDREGISTROBTH2025[],5,FALSE)="100",0,"100")</f>
        <v>0</v>
      </c>
      <c r="F345" s="1">
        <f>VLOOKUP(B345,BDREGISTROASAMBLEA2025[],8,FALSE)</f>
        <v>0</v>
      </c>
      <c r="G345" s="1">
        <f>VLOOKUP(B345,BDREGISTROMINGA2025[],6,FALSE)</f>
        <v>0</v>
      </c>
      <c r="H345" s="1">
        <v>0</v>
      </c>
      <c r="I345" s="1">
        <v>0</v>
      </c>
      <c r="J345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346" spans="2:10" x14ac:dyDescent="0.3">
      <c r="B346" s="1">
        <f t="shared" si="5"/>
        <v>341</v>
      </c>
      <c r="C346" t="str">
        <f>IFERROR(VLOOKUP(BDOBLIGACIONES[[#This Row],[NROKARDEX]],BDPADRES[],8,FALSE),"Sin registrado")</f>
        <v>VERONICA PINO FLORES</v>
      </c>
      <c r="D346" s="1">
        <f>IF(VLOOKUP(B346,BDREGISTROAPORTES2025[],5,FALSE)="165",0,"165")</f>
        <v>0</v>
      </c>
      <c r="E346" s="1">
        <f>IF(VLOOKUP(B346,BDREGISTROBTH2025[],5,FALSE)="100",0,"100")</f>
        <v>0</v>
      </c>
      <c r="F346" s="1">
        <f>VLOOKUP(B346,BDREGISTROASAMBLEA2025[],8,FALSE)</f>
        <v>0</v>
      </c>
      <c r="G346" s="1">
        <f>VLOOKUP(B346,BDREGISTROMINGA2025[],6,FALSE)</f>
        <v>0</v>
      </c>
      <c r="H346" s="1">
        <v>0</v>
      </c>
      <c r="I346" s="1">
        <v>0</v>
      </c>
      <c r="J346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347" spans="2:10" x14ac:dyDescent="0.3">
      <c r="B347" s="1">
        <f t="shared" si="5"/>
        <v>342</v>
      </c>
      <c r="C347" t="str">
        <f>IFERROR(VLOOKUP(BDOBLIGACIONES[[#This Row],[NROKARDEX]],BDPADRES[],8,FALSE),"Sin registrado")</f>
        <v>VALENTINA FLORES VARGAS</v>
      </c>
      <c r="D347" s="1">
        <f>IF(VLOOKUP(B347,BDREGISTROAPORTES2025[],5,FALSE)="165",0,"165")</f>
        <v>0</v>
      </c>
      <c r="E347" s="1" t="str">
        <f>IF(VLOOKUP(B347,BDREGISTROBTH2025[],5,FALSE)="100",0,"100")</f>
        <v>100</v>
      </c>
      <c r="F347" s="1">
        <f>VLOOKUP(B347,BDREGISTROASAMBLEA2025[],8,FALSE)</f>
        <v>0</v>
      </c>
      <c r="G347" s="1">
        <f>VLOOKUP(B347,BDREGISTROMINGA2025[],6,FALSE)</f>
        <v>0</v>
      </c>
      <c r="H347" s="1">
        <v>0</v>
      </c>
      <c r="I347" s="1">
        <v>0</v>
      </c>
      <c r="J347" s="1">
        <f>BDOBLIGACIONES[[#This Row],[ASAMBLEA]]+BDOBLIGACIONES[[#This Row],[MINGA]]+BDOBLIGACIONES[[#This Row],[DELEGADOS]]+BDOBLIGACIONES[[#This Row],[CURSO]]+BDOBLIGACIONES[[#This Row],[APORTE]]+BDOBLIGACIONES[[#This Row],[BTH]]</f>
        <v>100</v>
      </c>
    </row>
    <row r="348" spans="2:10" x14ac:dyDescent="0.3">
      <c r="B348" s="1">
        <f t="shared" si="5"/>
        <v>343</v>
      </c>
      <c r="C348" t="str">
        <f>IFERROR(VLOOKUP(BDOBLIGACIONES[[#This Row],[NROKARDEX]],BDPADRES[],8,FALSE),"Sin registrado")</f>
        <v>DEYSI SEGARRA VARGAS</v>
      </c>
      <c r="D348" s="1">
        <f>IF(VLOOKUP(B348,BDREGISTROAPORTES2025[],5,FALSE)="165",0,"165")</f>
        <v>0</v>
      </c>
      <c r="E348" s="1">
        <f>IF(VLOOKUP(B348,BDREGISTROBTH2025[],5,FALSE)="100",0,"100")</f>
        <v>0</v>
      </c>
      <c r="F348" s="1">
        <f>VLOOKUP(B348,BDREGISTROASAMBLEA2025[],8,FALSE)</f>
        <v>0</v>
      </c>
      <c r="G348" s="1">
        <f>VLOOKUP(B348,BDREGISTROMINGA2025[],6,FALSE)</f>
        <v>0</v>
      </c>
      <c r="H348" s="1">
        <v>0</v>
      </c>
      <c r="I348" s="1">
        <v>0</v>
      </c>
      <c r="J348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349" spans="2:10" x14ac:dyDescent="0.3">
      <c r="B349" s="1">
        <f t="shared" si="5"/>
        <v>344</v>
      </c>
      <c r="C349" t="str">
        <f>IFERROR(VLOOKUP(BDOBLIGACIONES[[#This Row],[NROKARDEX]],BDPADRES[],8,FALSE),"Sin registrado")</f>
        <v>LISBETH MAMANI FIGUEROA</v>
      </c>
      <c r="D349" s="1">
        <f>IF(VLOOKUP(B349,BDREGISTROAPORTES2025[],5,FALSE)="165",0,"165")</f>
        <v>0</v>
      </c>
      <c r="E349" s="1">
        <f>IF(VLOOKUP(B349,BDREGISTROBTH2025[],5,FALSE)="100",0,"100")</f>
        <v>0</v>
      </c>
      <c r="F349" s="1">
        <f>VLOOKUP(B349,BDREGISTROASAMBLEA2025[],8,FALSE)</f>
        <v>0</v>
      </c>
      <c r="G349" s="1">
        <f>VLOOKUP(B349,BDREGISTROMINGA2025[],6,FALSE)</f>
        <v>0</v>
      </c>
      <c r="H349" s="1">
        <v>0</v>
      </c>
      <c r="I349" s="1">
        <v>0</v>
      </c>
      <c r="J349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350" spans="2:10" x14ac:dyDescent="0.3">
      <c r="B350" s="1">
        <f t="shared" si="5"/>
        <v>345</v>
      </c>
      <c r="C350" t="str">
        <f>IFERROR(VLOOKUP(BDOBLIGACIONES[[#This Row],[NROKARDEX]],BDPADRES[],8,FALSE),"Sin registrado")</f>
        <v>LUCY MAR TAPIA LARA</v>
      </c>
      <c r="D350" s="1">
        <f>IF(VLOOKUP(B350,BDREGISTROAPORTES2025[],5,FALSE)="165",0,"165")</f>
        <v>0</v>
      </c>
      <c r="E350" s="1">
        <f>IF(VLOOKUP(B350,BDREGISTROBTH2025[],5,FALSE)="100",0,"100")</f>
        <v>0</v>
      </c>
      <c r="F350" s="1">
        <f>VLOOKUP(B350,BDREGISTROASAMBLEA2025[],8,FALSE)</f>
        <v>0</v>
      </c>
      <c r="G350" s="1">
        <f>VLOOKUP(B350,BDREGISTROMINGA2025[],6,FALSE)</f>
        <v>0</v>
      </c>
      <c r="H350" s="1">
        <v>0</v>
      </c>
      <c r="I350" s="1">
        <v>0</v>
      </c>
      <c r="J350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351" spans="2:10" x14ac:dyDescent="0.3">
      <c r="B351" s="1">
        <f t="shared" si="5"/>
        <v>346</v>
      </c>
      <c r="C351" s="8" t="str">
        <f>IFERROR(VLOOKUP(BDOBLIGACIONES[[#This Row],[NROKARDEX]],BDPADRES[],8,FALSE),"Sin registrado")</f>
        <v>Sin registrado</v>
      </c>
      <c r="D351" s="1" t="str">
        <f>IF(VLOOKUP(B351,BDREGISTROAPORTES2025[],5,FALSE)="165",0,"165")</f>
        <v>165</v>
      </c>
      <c r="E351" s="1" t="str">
        <f>IF(VLOOKUP(B351,BDREGISTROBTH2025[],5,FALSE)="100",0,"100")</f>
        <v>100</v>
      </c>
      <c r="F351" s="1">
        <f>VLOOKUP(B351,BDREGISTROASAMBLEA2025[],8,FALSE)</f>
        <v>0</v>
      </c>
      <c r="G351" s="1">
        <f>VLOOKUP(B351,BDREGISTROMINGA2025[],6,FALSE)</f>
        <v>0</v>
      </c>
      <c r="H351" s="1">
        <v>0</v>
      </c>
      <c r="I351" s="1">
        <v>0</v>
      </c>
      <c r="J351" s="1">
        <f>BDOBLIGACIONES[[#This Row],[ASAMBLEA]]+BDOBLIGACIONES[[#This Row],[MINGA]]+BDOBLIGACIONES[[#This Row],[DELEGADOS]]+BDOBLIGACIONES[[#This Row],[CURSO]]+BDOBLIGACIONES[[#This Row],[APORTE]]+BDOBLIGACIONES[[#This Row],[BTH]]</f>
        <v>265</v>
      </c>
    </row>
    <row r="352" spans="2:10" x14ac:dyDescent="0.3">
      <c r="B352" s="1">
        <f t="shared" si="5"/>
        <v>347</v>
      </c>
      <c r="C352" t="str">
        <f>IFERROR(VLOOKUP(BDOBLIGACIONES[[#This Row],[NROKARDEX]],BDPADRES[],8,FALSE),"Sin registrado")</f>
        <v>CONCEPCION MARINA MAMANI VALLEJOS</v>
      </c>
      <c r="D352" s="1">
        <f>IF(VLOOKUP(B352,BDREGISTROAPORTES2025[],5,FALSE)="165",0,"165")</f>
        <v>0</v>
      </c>
      <c r="E352" s="1">
        <f>IF(VLOOKUP(B352,BDREGISTROBTH2025[],5,FALSE)="100",0,"100")</f>
        <v>0</v>
      </c>
      <c r="F352" s="1">
        <f>VLOOKUP(B352,BDREGISTROASAMBLEA2025[],8,FALSE)</f>
        <v>0</v>
      </c>
      <c r="G352" s="1">
        <f>VLOOKUP(B352,BDREGISTROMINGA2025[],6,FALSE)</f>
        <v>0</v>
      </c>
      <c r="H352" s="1">
        <v>0</v>
      </c>
      <c r="I352" s="1">
        <v>0</v>
      </c>
      <c r="J352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353" spans="2:10" x14ac:dyDescent="0.3">
      <c r="B353" s="1">
        <f t="shared" si="5"/>
        <v>348</v>
      </c>
      <c r="C353" t="str">
        <f>IFERROR(VLOOKUP(BDOBLIGACIONES[[#This Row],[NROKARDEX]],BDPADRES[],8,FALSE),"Sin registrado")</f>
        <v>MARY LOURDES COLQUE QUISPE</v>
      </c>
      <c r="D353" s="1">
        <f>IF(VLOOKUP(B353,BDREGISTROAPORTES2025[],5,FALSE)="165",0,"165")</f>
        <v>0</v>
      </c>
      <c r="E353" s="1">
        <f>IF(VLOOKUP(B353,BDREGISTROBTH2025[],5,FALSE)="100",0,"100")</f>
        <v>0</v>
      </c>
      <c r="F353" s="1">
        <f>VLOOKUP(B353,BDREGISTROASAMBLEA2025[],8,FALSE)</f>
        <v>0</v>
      </c>
      <c r="G353" s="1">
        <f>VLOOKUP(B353,BDREGISTROMINGA2025[],6,FALSE)</f>
        <v>0</v>
      </c>
      <c r="H353" s="1">
        <v>0</v>
      </c>
      <c r="I353" s="1">
        <v>0</v>
      </c>
      <c r="J353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354" spans="2:10" x14ac:dyDescent="0.3">
      <c r="B354" s="1">
        <f t="shared" si="5"/>
        <v>349</v>
      </c>
      <c r="C354" t="str">
        <f>IFERROR(VLOOKUP(BDOBLIGACIONES[[#This Row],[NROKARDEX]],BDPADRES[],8,FALSE),"Sin registrado")</f>
        <v>VITALIA CONDORI CRISPIN</v>
      </c>
      <c r="D354" s="1">
        <f>IF(VLOOKUP(B354,BDREGISTROAPORTES2025[],5,FALSE)="165",0,"165")</f>
        <v>0</v>
      </c>
      <c r="E354" s="1" t="str">
        <f>IF(VLOOKUP(B354,BDREGISTROBTH2025[],5,FALSE)="100",0,"100")</f>
        <v>100</v>
      </c>
      <c r="F354" s="1">
        <f>VLOOKUP(B354,BDREGISTROASAMBLEA2025[],8,FALSE)</f>
        <v>0</v>
      </c>
      <c r="G354" s="1">
        <f>VLOOKUP(B354,BDREGISTROMINGA2025[],6,FALSE)</f>
        <v>0</v>
      </c>
      <c r="H354" s="1">
        <v>0</v>
      </c>
      <c r="I354" s="1">
        <v>0</v>
      </c>
      <c r="J354" s="1">
        <f>BDOBLIGACIONES[[#This Row],[ASAMBLEA]]+BDOBLIGACIONES[[#This Row],[MINGA]]+BDOBLIGACIONES[[#This Row],[DELEGADOS]]+BDOBLIGACIONES[[#This Row],[CURSO]]+BDOBLIGACIONES[[#This Row],[APORTE]]+BDOBLIGACIONES[[#This Row],[BTH]]</f>
        <v>100</v>
      </c>
    </row>
    <row r="355" spans="2:10" x14ac:dyDescent="0.3">
      <c r="B355" s="1">
        <f t="shared" si="5"/>
        <v>350</v>
      </c>
      <c r="C355" t="str">
        <f>IFERROR(VLOOKUP(BDOBLIGACIONES[[#This Row],[NROKARDEX]],BDPADRES[],8,FALSE),"Sin registrado")</f>
        <v>JUANA PACHACOPA TARDIO</v>
      </c>
      <c r="D355" s="1">
        <f>IF(VLOOKUP(B355,BDREGISTROAPORTES2025[],5,FALSE)="165",0,"165")</f>
        <v>0</v>
      </c>
      <c r="E355" s="1">
        <f>IF(VLOOKUP(B355,BDREGISTROBTH2025[],5,FALSE)="100",0,"100")</f>
        <v>0</v>
      </c>
      <c r="F355" s="1">
        <f>VLOOKUP(B355,BDREGISTROASAMBLEA2025[],8,FALSE)</f>
        <v>0</v>
      </c>
      <c r="G355" s="1">
        <f>VLOOKUP(B355,BDREGISTROMINGA2025[],6,FALSE)</f>
        <v>0</v>
      </c>
      <c r="H355" s="1">
        <v>0</v>
      </c>
      <c r="I355" s="1">
        <v>0</v>
      </c>
      <c r="J355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356" spans="2:10" x14ac:dyDescent="0.3">
      <c r="B356" s="1">
        <f t="shared" si="5"/>
        <v>351</v>
      </c>
      <c r="C356" t="str">
        <f>IFERROR(VLOOKUP(BDOBLIGACIONES[[#This Row],[NROKARDEX]],BDPADRES[],8,FALSE),"Sin registrado")</f>
        <v>ROSMERY MORALES RENTERIA</v>
      </c>
      <c r="D356" s="1">
        <f>IF(VLOOKUP(B356,BDREGISTROAPORTES2025[],5,FALSE)="165",0,"165")</f>
        <v>0</v>
      </c>
      <c r="E356" s="1" t="str">
        <f>IF(VLOOKUP(B356,BDREGISTROBTH2025[],5,FALSE)="100",0,"100")</f>
        <v>100</v>
      </c>
      <c r="F356" s="1">
        <f>VLOOKUP(B356,BDREGISTROASAMBLEA2025[],8,FALSE)</f>
        <v>0</v>
      </c>
      <c r="G356" s="1">
        <f>VLOOKUP(B356,BDREGISTROMINGA2025[],6,FALSE)</f>
        <v>0</v>
      </c>
      <c r="H356" s="1">
        <v>0</v>
      </c>
      <c r="I356" s="1">
        <v>0</v>
      </c>
      <c r="J356" s="1">
        <f>BDOBLIGACIONES[[#This Row],[ASAMBLEA]]+BDOBLIGACIONES[[#This Row],[MINGA]]+BDOBLIGACIONES[[#This Row],[DELEGADOS]]+BDOBLIGACIONES[[#This Row],[CURSO]]+BDOBLIGACIONES[[#This Row],[APORTE]]+BDOBLIGACIONES[[#This Row],[BTH]]</f>
        <v>100</v>
      </c>
    </row>
    <row r="357" spans="2:10" x14ac:dyDescent="0.3">
      <c r="B357" s="1">
        <f t="shared" si="5"/>
        <v>352</v>
      </c>
      <c r="C357" t="str">
        <f>IFERROR(VLOOKUP(BDOBLIGACIONES[[#This Row],[NROKARDEX]],BDPADRES[],8,FALSE),"Sin registrado")</f>
        <v>FLORA COPA MAMANI</v>
      </c>
      <c r="D357" s="1">
        <f>IF(VLOOKUP(B357,BDREGISTROAPORTES2025[],5,FALSE)="165",0,"165")</f>
        <v>0</v>
      </c>
      <c r="E357" s="1">
        <f>IF(VLOOKUP(B357,BDREGISTROBTH2025[],5,FALSE)="100",0,"100")</f>
        <v>0</v>
      </c>
      <c r="F357" s="1">
        <f>VLOOKUP(B357,BDREGISTROASAMBLEA2025[],8,FALSE)</f>
        <v>0</v>
      </c>
      <c r="G357" s="1">
        <f>VLOOKUP(B357,BDREGISTROMINGA2025[],6,FALSE)</f>
        <v>0</v>
      </c>
      <c r="H357" s="1">
        <v>0</v>
      </c>
      <c r="I357" s="1">
        <v>0</v>
      </c>
      <c r="J357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358" spans="2:10" x14ac:dyDescent="0.3">
      <c r="B358" s="1">
        <f t="shared" si="5"/>
        <v>353</v>
      </c>
      <c r="C358" t="str">
        <f>IFERROR(VLOOKUP(BDOBLIGACIONES[[#This Row],[NROKARDEX]],BDPADRES[],8,FALSE),"Sin registrado")</f>
        <v>LORENZA GONZALES SERRANO</v>
      </c>
      <c r="D358" s="1">
        <f>IF(VLOOKUP(B358,BDREGISTROAPORTES2025[],5,FALSE)="165",0,"165")</f>
        <v>0</v>
      </c>
      <c r="E358" s="1" t="str">
        <f>IF(VLOOKUP(B358,BDREGISTROBTH2025[],5,FALSE)="100",0,"100")</f>
        <v>100</v>
      </c>
      <c r="F358" s="1">
        <f>VLOOKUP(B358,BDREGISTROASAMBLEA2025[],8,FALSE)</f>
        <v>0</v>
      </c>
      <c r="G358" s="1">
        <f>VLOOKUP(B358,BDREGISTROMINGA2025[],6,FALSE)</f>
        <v>0</v>
      </c>
      <c r="H358" s="1">
        <v>0</v>
      </c>
      <c r="I358" s="1">
        <v>0</v>
      </c>
      <c r="J358" s="1">
        <f>BDOBLIGACIONES[[#This Row],[ASAMBLEA]]+BDOBLIGACIONES[[#This Row],[MINGA]]+BDOBLIGACIONES[[#This Row],[DELEGADOS]]+BDOBLIGACIONES[[#This Row],[CURSO]]+BDOBLIGACIONES[[#This Row],[APORTE]]+BDOBLIGACIONES[[#This Row],[BTH]]</f>
        <v>100</v>
      </c>
    </row>
    <row r="359" spans="2:10" x14ac:dyDescent="0.3">
      <c r="B359" s="1">
        <f t="shared" si="5"/>
        <v>354</v>
      </c>
      <c r="C359" t="str">
        <f>IFERROR(VLOOKUP(BDOBLIGACIONES[[#This Row],[NROKARDEX]],BDPADRES[],8,FALSE),"Sin registrado")</f>
        <v>SAVINA LLANOS GUZMAN</v>
      </c>
      <c r="D359" s="1">
        <f>IF(VLOOKUP(B359,BDREGISTROAPORTES2025[],5,FALSE)="165",0,"165")</f>
        <v>0</v>
      </c>
      <c r="E359" s="1">
        <f>IF(VLOOKUP(B359,BDREGISTROBTH2025[],5,FALSE)="100",0,"100")</f>
        <v>0</v>
      </c>
      <c r="F359" s="1">
        <f>VLOOKUP(B359,BDREGISTROASAMBLEA2025[],8,FALSE)</f>
        <v>0</v>
      </c>
      <c r="G359" s="1">
        <f>VLOOKUP(B359,BDREGISTROMINGA2025[],6,FALSE)</f>
        <v>0</v>
      </c>
      <c r="H359" s="1">
        <v>0</v>
      </c>
      <c r="I359" s="1">
        <v>0</v>
      </c>
      <c r="J359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360" spans="2:10" x14ac:dyDescent="0.3">
      <c r="B360" s="1">
        <f t="shared" si="5"/>
        <v>355</v>
      </c>
      <c r="C360" t="str">
        <f>IFERROR(VLOOKUP(BDOBLIGACIONES[[#This Row],[NROKARDEX]],BDPADRES[],8,FALSE),"Sin registrado")</f>
        <v>FELICIDAD PUMA ROSAS</v>
      </c>
      <c r="D360" s="1">
        <f>IF(VLOOKUP(B360,BDREGISTROAPORTES2025[],5,FALSE)="165",0,"165")</f>
        <v>0</v>
      </c>
      <c r="E360" s="1">
        <f>IF(VLOOKUP(B360,BDREGISTROBTH2025[],5,FALSE)="100",0,"100")</f>
        <v>0</v>
      </c>
      <c r="F360" s="1">
        <f>VLOOKUP(B360,BDREGISTROASAMBLEA2025[],8,FALSE)</f>
        <v>0</v>
      </c>
      <c r="G360" s="1">
        <f>VLOOKUP(B360,BDREGISTROMINGA2025[],6,FALSE)</f>
        <v>0</v>
      </c>
      <c r="H360" s="1">
        <v>0</v>
      </c>
      <c r="I360" s="1">
        <v>0</v>
      </c>
      <c r="J360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361" spans="2:10" x14ac:dyDescent="0.3">
      <c r="B361" s="1">
        <f t="shared" si="5"/>
        <v>356</v>
      </c>
      <c r="C361" t="str">
        <f>IFERROR(VLOOKUP(BDOBLIGACIONES[[#This Row],[NROKARDEX]],BDPADRES[],8,FALSE),"Sin registrado")</f>
        <v>LAURA ARACELY GOMEZ HIDALGO</v>
      </c>
      <c r="D361" s="1">
        <f>IF(VLOOKUP(B361,BDREGISTROAPORTES2025[],5,FALSE)="165",0,"165")</f>
        <v>0</v>
      </c>
      <c r="E361" s="1">
        <f>IF(VLOOKUP(B361,BDREGISTROBTH2025[],5,FALSE)="100",0,"100")</f>
        <v>0</v>
      </c>
      <c r="F361" s="1">
        <f>VLOOKUP(B361,BDREGISTROASAMBLEA2025[],8,FALSE)</f>
        <v>0</v>
      </c>
      <c r="G361" s="1">
        <f>VLOOKUP(B361,BDREGISTROMINGA2025[],6,FALSE)</f>
        <v>0</v>
      </c>
      <c r="H361" s="1">
        <v>0</v>
      </c>
      <c r="I361" s="1">
        <v>0</v>
      </c>
      <c r="J361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362" spans="2:10" x14ac:dyDescent="0.3">
      <c r="B362" s="1">
        <f t="shared" si="5"/>
        <v>357</v>
      </c>
      <c r="C362" s="8" t="str">
        <f>IFERROR(VLOOKUP(BDOBLIGACIONES[[#This Row],[NROKARDEX]],BDPADRES[],8,FALSE),"Sin registrado")</f>
        <v>Sin registrado</v>
      </c>
      <c r="D362" s="1" t="str">
        <f>IF(VLOOKUP(B362,BDREGISTROAPORTES2025[],5,FALSE)="165",0,"165")</f>
        <v>165</v>
      </c>
      <c r="E362" s="1" t="str">
        <f>IF(VLOOKUP(B362,BDREGISTROBTH2025[],5,FALSE)="100",0,"100")</f>
        <v>100</v>
      </c>
      <c r="F362" s="1">
        <f>VLOOKUP(B362,BDREGISTROASAMBLEA2025[],8,FALSE)</f>
        <v>0</v>
      </c>
      <c r="G362" s="1">
        <f>VLOOKUP(B362,BDREGISTROMINGA2025[],6,FALSE)</f>
        <v>0</v>
      </c>
      <c r="H362" s="1">
        <v>0</v>
      </c>
      <c r="I362" s="1">
        <v>0</v>
      </c>
      <c r="J362" s="1">
        <f>BDOBLIGACIONES[[#This Row],[ASAMBLEA]]+BDOBLIGACIONES[[#This Row],[MINGA]]+BDOBLIGACIONES[[#This Row],[DELEGADOS]]+BDOBLIGACIONES[[#This Row],[CURSO]]+BDOBLIGACIONES[[#This Row],[APORTE]]+BDOBLIGACIONES[[#This Row],[BTH]]</f>
        <v>265</v>
      </c>
    </row>
    <row r="363" spans="2:10" x14ac:dyDescent="0.3">
      <c r="B363" s="1">
        <f t="shared" si="5"/>
        <v>358</v>
      </c>
      <c r="C363" t="str">
        <f>IFERROR(VLOOKUP(BDOBLIGACIONES[[#This Row],[NROKARDEX]],BDPADRES[],8,FALSE),"Sin registrado")</f>
        <v>NELFY RODAS</v>
      </c>
      <c r="D363" s="1">
        <f>IF(VLOOKUP(B363,BDREGISTROAPORTES2025[],5,FALSE)="165",0,"165")</f>
        <v>0</v>
      </c>
      <c r="E363" s="1">
        <f>IF(VLOOKUP(B363,BDREGISTROBTH2025[],5,FALSE)="100",0,"100")</f>
        <v>0</v>
      </c>
      <c r="F363" s="1">
        <f>VLOOKUP(B363,BDREGISTROASAMBLEA2025[],8,FALSE)</f>
        <v>0</v>
      </c>
      <c r="G363" s="1">
        <f>VLOOKUP(B363,BDREGISTROMINGA2025[],6,FALSE)</f>
        <v>0</v>
      </c>
      <c r="H363" s="1">
        <v>0</v>
      </c>
      <c r="I363" s="1">
        <v>0</v>
      </c>
      <c r="J363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364" spans="2:10" x14ac:dyDescent="0.3">
      <c r="B364" s="1">
        <f t="shared" si="5"/>
        <v>359</v>
      </c>
      <c r="C364" s="8" t="str">
        <f>IFERROR(VLOOKUP(BDOBLIGACIONES[[#This Row],[NROKARDEX]],BDPADRES[],8,FALSE),"Sin registrado")</f>
        <v>Sin registrado</v>
      </c>
      <c r="D364" s="1" t="str">
        <f>IF(VLOOKUP(B364,BDREGISTROAPORTES2025[],5,FALSE)="165",0,"165")</f>
        <v>165</v>
      </c>
      <c r="E364" s="1" t="str">
        <f>IF(VLOOKUP(B364,BDREGISTROBTH2025[],5,FALSE)="100",0,"100")</f>
        <v>100</v>
      </c>
      <c r="F364" s="1">
        <f>VLOOKUP(B364,BDREGISTROASAMBLEA2025[],8,FALSE)</f>
        <v>0</v>
      </c>
      <c r="G364" s="1">
        <f>VLOOKUP(B364,BDREGISTROMINGA2025[],6,FALSE)</f>
        <v>0</v>
      </c>
      <c r="H364" s="1">
        <v>0</v>
      </c>
      <c r="I364" s="1">
        <v>0</v>
      </c>
      <c r="J364" s="1">
        <f>BDOBLIGACIONES[[#This Row],[ASAMBLEA]]+BDOBLIGACIONES[[#This Row],[MINGA]]+BDOBLIGACIONES[[#This Row],[DELEGADOS]]+BDOBLIGACIONES[[#This Row],[CURSO]]+BDOBLIGACIONES[[#This Row],[APORTE]]+BDOBLIGACIONES[[#This Row],[BTH]]</f>
        <v>265</v>
      </c>
    </row>
    <row r="365" spans="2:10" x14ac:dyDescent="0.3">
      <c r="B365" s="1">
        <f t="shared" si="5"/>
        <v>360</v>
      </c>
      <c r="C365" t="str">
        <f>IFERROR(VLOOKUP(BDOBLIGACIONES[[#This Row],[NROKARDEX]],BDPADRES[],8,FALSE),"Sin registrado")</f>
        <v>NOEMY TORRICO DAZA</v>
      </c>
      <c r="D365" s="1">
        <f>IF(VLOOKUP(B365,BDREGISTROAPORTES2025[],5,FALSE)="165",0,"165")</f>
        <v>0</v>
      </c>
      <c r="E365" s="1" t="str">
        <f>IF(VLOOKUP(B365,BDREGISTROBTH2025[],5,FALSE)="100",0,"100")</f>
        <v>100</v>
      </c>
      <c r="F365" s="1">
        <f>VLOOKUP(B365,BDREGISTROASAMBLEA2025[],8,FALSE)</f>
        <v>0</v>
      </c>
      <c r="G365" s="1">
        <f>VLOOKUP(B365,BDREGISTROMINGA2025[],6,FALSE)</f>
        <v>0</v>
      </c>
      <c r="H365" s="1">
        <v>0</v>
      </c>
      <c r="I365" s="1">
        <v>0</v>
      </c>
      <c r="J365" s="1">
        <f>BDOBLIGACIONES[[#This Row],[ASAMBLEA]]+BDOBLIGACIONES[[#This Row],[MINGA]]+BDOBLIGACIONES[[#This Row],[DELEGADOS]]+BDOBLIGACIONES[[#This Row],[CURSO]]+BDOBLIGACIONES[[#This Row],[APORTE]]+BDOBLIGACIONES[[#This Row],[BTH]]</f>
        <v>100</v>
      </c>
    </row>
    <row r="366" spans="2:10" x14ac:dyDescent="0.3">
      <c r="B366" s="1">
        <f t="shared" si="5"/>
        <v>361</v>
      </c>
      <c r="C366" s="8" t="str">
        <f>IFERROR(VLOOKUP(BDOBLIGACIONES[[#This Row],[NROKARDEX]],BDPADRES[],8,FALSE),"Sin registrado")</f>
        <v>Sin registrado</v>
      </c>
      <c r="D366" s="1" t="str">
        <f>IF(VLOOKUP(B366,BDREGISTROAPORTES2025[],5,FALSE)="165",0,"165")</f>
        <v>165</v>
      </c>
      <c r="E366" s="1" t="str">
        <f>IF(VLOOKUP(B366,BDREGISTROBTH2025[],5,FALSE)="100",0,"100")</f>
        <v>100</v>
      </c>
      <c r="F366" s="1">
        <f>VLOOKUP(B366,BDREGISTROASAMBLEA2025[],8,FALSE)</f>
        <v>0</v>
      </c>
      <c r="G366" s="1">
        <f>VLOOKUP(B366,BDREGISTROMINGA2025[],6,FALSE)</f>
        <v>0</v>
      </c>
      <c r="H366" s="1">
        <v>0</v>
      </c>
      <c r="I366" s="1">
        <v>0</v>
      </c>
      <c r="J366" s="1">
        <f>BDOBLIGACIONES[[#This Row],[ASAMBLEA]]+BDOBLIGACIONES[[#This Row],[MINGA]]+BDOBLIGACIONES[[#This Row],[DELEGADOS]]+BDOBLIGACIONES[[#This Row],[CURSO]]+BDOBLIGACIONES[[#This Row],[APORTE]]+BDOBLIGACIONES[[#This Row],[BTH]]</f>
        <v>265</v>
      </c>
    </row>
    <row r="367" spans="2:10" x14ac:dyDescent="0.3">
      <c r="B367" s="1">
        <f t="shared" si="5"/>
        <v>362</v>
      </c>
      <c r="C367" t="str">
        <f>IFERROR(VLOOKUP(BDOBLIGACIONES[[#This Row],[NROKARDEX]],BDPADRES[],8,FALSE),"Sin registrado")</f>
        <v>ROSALIA CONDORI ALANES</v>
      </c>
      <c r="D367" s="1">
        <f>IF(VLOOKUP(B367,BDREGISTROAPORTES2025[],5,FALSE)="165",0,"165")</f>
        <v>0</v>
      </c>
      <c r="E367" s="1">
        <f>IF(VLOOKUP(B367,BDREGISTROBTH2025[],5,FALSE)="100",0,"100")</f>
        <v>0</v>
      </c>
      <c r="F367" s="1">
        <f>VLOOKUP(B367,BDREGISTROASAMBLEA2025[],8,FALSE)</f>
        <v>0</v>
      </c>
      <c r="G367" s="1">
        <f>VLOOKUP(B367,BDREGISTROMINGA2025[],6,FALSE)</f>
        <v>0</v>
      </c>
      <c r="H367" s="1">
        <v>0</v>
      </c>
      <c r="I367" s="1">
        <v>0</v>
      </c>
      <c r="J367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368" spans="2:10" x14ac:dyDescent="0.3">
      <c r="B368" s="1">
        <f t="shared" si="5"/>
        <v>363</v>
      </c>
      <c r="C368" t="str">
        <f>IFERROR(VLOOKUP(BDOBLIGACIONES[[#This Row],[NROKARDEX]],BDPADRES[],8,FALSE),"Sin registrado")</f>
        <v>MARGARITA ABALOS</v>
      </c>
      <c r="D368" s="1">
        <f>IF(VLOOKUP(B368,BDREGISTROAPORTES2025[],5,FALSE)="165",0,"165")</f>
        <v>0</v>
      </c>
      <c r="E368" s="1">
        <f>IF(VLOOKUP(B368,BDREGISTROBTH2025[],5,FALSE)="100",0,"100")</f>
        <v>0</v>
      </c>
      <c r="F368" s="1">
        <f>VLOOKUP(B368,BDREGISTROASAMBLEA2025[],8,FALSE)</f>
        <v>0</v>
      </c>
      <c r="G368" s="1">
        <f>VLOOKUP(B368,BDREGISTROMINGA2025[],6,FALSE)</f>
        <v>0</v>
      </c>
      <c r="H368" s="1">
        <v>0</v>
      </c>
      <c r="I368" s="1">
        <v>0</v>
      </c>
      <c r="J368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369" spans="2:10" x14ac:dyDescent="0.3">
      <c r="B369" s="1">
        <f t="shared" si="5"/>
        <v>364</v>
      </c>
      <c r="C369" t="str">
        <f>IFERROR(VLOOKUP(BDOBLIGACIONES[[#This Row],[NROKARDEX]],BDPADRES[],8,FALSE),"Sin registrado")</f>
        <v>BENITA CUBA ROMERO</v>
      </c>
      <c r="D369" s="1">
        <f>IF(VLOOKUP(B369,BDREGISTROAPORTES2025[],5,FALSE)="165",0,"165")</f>
        <v>0</v>
      </c>
      <c r="E369" s="1">
        <f>IF(VLOOKUP(B369,BDREGISTROBTH2025[],5,FALSE)="100",0,"100")</f>
        <v>0</v>
      </c>
      <c r="F369" s="1">
        <f>VLOOKUP(B369,BDREGISTROASAMBLEA2025[],8,FALSE)</f>
        <v>0</v>
      </c>
      <c r="G369" s="1">
        <f>VLOOKUP(B369,BDREGISTROMINGA2025[],6,FALSE)</f>
        <v>0</v>
      </c>
      <c r="H369" s="1">
        <v>0</v>
      </c>
      <c r="I369" s="1">
        <v>0</v>
      </c>
      <c r="J369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370" spans="2:10" x14ac:dyDescent="0.3">
      <c r="B370" s="1">
        <f t="shared" si="5"/>
        <v>365</v>
      </c>
      <c r="C370" t="str">
        <f>IFERROR(VLOOKUP(BDOBLIGACIONES[[#This Row],[NROKARDEX]],BDPADRES[],8,FALSE),"Sin registrado")</f>
        <v>ROXANA RENGIPO ZAPATA</v>
      </c>
      <c r="D370" s="1">
        <f>IF(VLOOKUP(B370,BDREGISTROAPORTES2025[],5,FALSE)="165",0,"165")</f>
        <v>0</v>
      </c>
      <c r="E370" s="1">
        <f>IF(VLOOKUP(B370,BDREGISTROBTH2025[],5,FALSE)="100",0,"100")</f>
        <v>0</v>
      </c>
      <c r="F370" s="1">
        <f>VLOOKUP(B370,BDREGISTROASAMBLEA2025[],8,FALSE)</f>
        <v>0</v>
      </c>
      <c r="G370" s="1">
        <f>VLOOKUP(B370,BDREGISTROMINGA2025[],6,FALSE)</f>
        <v>0</v>
      </c>
      <c r="H370" s="1">
        <v>0</v>
      </c>
      <c r="I370" s="1">
        <v>0</v>
      </c>
      <c r="J370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371" spans="2:10" x14ac:dyDescent="0.3">
      <c r="B371" s="1">
        <f t="shared" si="5"/>
        <v>366</v>
      </c>
      <c r="C371" t="str">
        <f>IFERROR(VLOOKUP(BDOBLIGACIONES[[#This Row],[NROKARDEX]],BDPADRES[],8,FALSE),"Sin registrado")</f>
        <v>YAQUELIN CARRISALES GUTIERRES</v>
      </c>
      <c r="D371" s="1">
        <f>IF(VLOOKUP(B371,BDREGISTROAPORTES2025[],5,FALSE)="165",0,"165")</f>
        <v>0</v>
      </c>
      <c r="E371" s="1" t="str">
        <f>IF(VLOOKUP(B371,BDREGISTROBTH2025[],5,FALSE)="100",0,"100")</f>
        <v>100</v>
      </c>
      <c r="F371" s="1">
        <f>VLOOKUP(B371,BDREGISTROASAMBLEA2025[],8,FALSE)</f>
        <v>0</v>
      </c>
      <c r="G371" s="1">
        <f>VLOOKUP(B371,BDREGISTROMINGA2025[],6,FALSE)</f>
        <v>0</v>
      </c>
      <c r="H371" s="1">
        <v>0</v>
      </c>
      <c r="I371" s="1">
        <v>0</v>
      </c>
      <c r="J371" s="1">
        <f>BDOBLIGACIONES[[#This Row],[ASAMBLEA]]+BDOBLIGACIONES[[#This Row],[MINGA]]+BDOBLIGACIONES[[#This Row],[DELEGADOS]]+BDOBLIGACIONES[[#This Row],[CURSO]]+BDOBLIGACIONES[[#This Row],[APORTE]]+BDOBLIGACIONES[[#This Row],[BTH]]</f>
        <v>100</v>
      </c>
    </row>
    <row r="372" spans="2:10" x14ac:dyDescent="0.3">
      <c r="B372" s="1">
        <f t="shared" si="5"/>
        <v>367</v>
      </c>
      <c r="C372" t="str">
        <f>IFERROR(VLOOKUP(BDOBLIGACIONES[[#This Row],[NROKARDEX]],BDPADRES[],8,FALSE),"Sin registrado")</f>
        <v>CRISTINA  DIAZ ALVAREZ</v>
      </c>
      <c r="D372" s="1">
        <f>IF(VLOOKUP(B372,BDREGISTROAPORTES2025[],5,FALSE)="165",0,"165")</f>
        <v>0</v>
      </c>
      <c r="E372" s="1">
        <f>IF(VLOOKUP(B372,BDREGISTROBTH2025[],5,FALSE)="100",0,"100")</f>
        <v>0</v>
      </c>
      <c r="F372" s="1">
        <f>VLOOKUP(B372,BDREGISTROASAMBLEA2025[],8,FALSE)</f>
        <v>0</v>
      </c>
      <c r="G372" s="1">
        <f>VLOOKUP(B372,BDREGISTROMINGA2025[],6,FALSE)</f>
        <v>0</v>
      </c>
      <c r="H372" s="1">
        <v>0</v>
      </c>
      <c r="I372" s="1">
        <v>0</v>
      </c>
      <c r="J372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373" spans="2:10" x14ac:dyDescent="0.3">
      <c r="B373" s="1">
        <f t="shared" si="5"/>
        <v>368</v>
      </c>
      <c r="C373" t="str">
        <f>IFERROR(VLOOKUP(BDOBLIGACIONES[[#This Row],[NROKARDEX]],BDPADRES[],8,FALSE),"Sin registrado")</f>
        <v>SULMA TERESA COLQUE MIRANDA</v>
      </c>
      <c r="D373" s="1">
        <f>IF(VLOOKUP(B373,BDREGISTROAPORTES2025[],5,FALSE)="165",0,"165")</f>
        <v>0</v>
      </c>
      <c r="E373" s="1">
        <f>IF(VLOOKUP(B373,BDREGISTROBTH2025[],5,FALSE)="100",0,"100")</f>
        <v>0</v>
      </c>
      <c r="F373" s="1">
        <f>VLOOKUP(B373,BDREGISTROASAMBLEA2025[],8,FALSE)</f>
        <v>0</v>
      </c>
      <c r="G373" s="1">
        <f>VLOOKUP(B373,BDREGISTROMINGA2025[],6,FALSE)</f>
        <v>0</v>
      </c>
      <c r="H373" s="1">
        <v>0</v>
      </c>
      <c r="I373" s="1">
        <v>0</v>
      </c>
      <c r="J373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374" spans="2:10" x14ac:dyDescent="0.3">
      <c r="B374" s="1">
        <f t="shared" si="5"/>
        <v>369</v>
      </c>
      <c r="C374" t="str">
        <f>IFERROR(VLOOKUP(BDOBLIGACIONES[[#This Row],[NROKARDEX]],BDPADRES[],8,FALSE),"Sin registrado")</f>
        <v>ISABEL CRUZ BAUTISTA</v>
      </c>
      <c r="D374" s="1">
        <f>IF(VLOOKUP(B374,BDREGISTROAPORTES2025[],5,FALSE)="165",0,"165")</f>
        <v>0</v>
      </c>
      <c r="E374" s="1">
        <f>IF(VLOOKUP(B374,BDREGISTROBTH2025[],5,FALSE)="100",0,"100")</f>
        <v>0</v>
      </c>
      <c r="F374" s="1">
        <f>VLOOKUP(B374,BDREGISTROASAMBLEA2025[],8,FALSE)</f>
        <v>0</v>
      </c>
      <c r="G374" s="1">
        <f>VLOOKUP(B374,BDREGISTROMINGA2025[],6,FALSE)</f>
        <v>0</v>
      </c>
      <c r="H374" s="1">
        <v>0</v>
      </c>
      <c r="I374" s="1">
        <v>0</v>
      </c>
      <c r="J374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375" spans="2:10" x14ac:dyDescent="0.3">
      <c r="B375" s="1">
        <f t="shared" si="5"/>
        <v>370</v>
      </c>
      <c r="C375" t="str">
        <f>IFERROR(VLOOKUP(BDOBLIGACIONES[[#This Row],[NROKARDEX]],BDPADRES[],8,FALSE),"Sin registrado")</f>
        <v>MELVY EUGENIA SARACHO VILLAGOMEZ</v>
      </c>
      <c r="D375" s="1">
        <f>IF(VLOOKUP(B375,BDREGISTROAPORTES2025[],5,FALSE)="165",0,"165")</f>
        <v>0</v>
      </c>
      <c r="E375" s="1">
        <f>IF(VLOOKUP(B375,BDREGISTROBTH2025[],5,FALSE)="100",0,"100")</f>
        <v>0</v>
      </c>
      <c r="F375" s="1">
        <f>VLOOKUP(B375,BDREGISTROASAMBLEA2025[],8,FALSE)</f>
        <v>0</v>
      </c>
      <c r="G375" s="1">
        <f>VLOOKUP(B375,BDREGISTROMINGA2025[],6,FALSE)</f>
        <v>0</v>
      </c>
      <c r="H375" s="1">
        <v>0</v>
      </c>
      <c r="I375" s="1">
        <v>0</v>
      </c>
      <c r="J375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376" spans="2:10" x14ac:dyDescent="0.3">
      <c r="B376" s="1">
        <f t="shared" si="5"/>
        <v>371</v>
      </c>
      <c r="C376" s="8" t="str">
        <f>IFERROR(VLOOKUP(BDOBLIGACIONES[[#This Row],[NROKARDEX]],BDPADRES[],8,FALSE),"Sin registrado")</f>
        <v>Sin registrado</v>
      </c>
      <c r="D376" s="1" t="str">
        <f>IF(VLOOKUP(B376,BDREGISTROAPORTES2025[],5,FALSE)="165",0,"165")</f>
        <v>165</v>
      </c>
      <c r="E376" s="1" t="str">
        <f>IF(VLOOKUP(B376,BDREGISTROBTH2025[],5,FALSE)="100",0,"100")</f>
        <v>100</v>
      </c>
      <c r="F376" s="1">
        <f>VLOOKUP(B376,BDREGISTROASAMBLEA2025[],8,FALSE)</f>
        <v>0</v>
      </c>
      <c r="G376" s="1">
        <f>VLOOKUP(B376,BDREGISTROMINGA2025[],6,FALSE)</f>
        <v>0</v>
      </c>
      <c r="H376" s="1">
        <v>0</v>
      </c>
      <c r="I376" s="1">
        <v>0</v>
      </c>
      <c r="J376" s="1">
        <f>BDOBLIGACIONES[[#This Row],[ASAMBLEA]]+BDOBLIGACIONES[[#This Row],[MINGA]]+BDOBLIGACIONES[[#This Row],[DELEGADOS]]+BDOBLIGACIONES[[#This Row],[CURSO]]+BDOBLIGACIONES[[#This Row],[APORTE]]+BDOBLIGACIONES[[#This Row],[BTH]]</f>
        <v>265</v>
      </c>
    </row>
    <row r="377" spans="2:10" x14ac:dyDescent="0.3">
      <c r="B377" s="1">
        <f t="shared" si="5"/>
        <v>372</v>
      </c>
      <c r="C377" t="str">
        <f>IFERROR(VLOOKUP(BDOBLIGACIONES[[#This Row],[NROKARDEX]],BDPADRES[],8,FALSE),"Sin registrado")</f>
        <v>SANDRA ANDRADE ROBLES</v>
      </c>
      <c r="D377" s="1">
        <f>IF(VLOOKUP(B377,BDREGISTROAPORTES2025[],5,FALSE)="165",0,"165")</f>
        <v>0</v>
      </c>
      <c r="E377" s="1">
        <f>IF(VLOOKUP(B377,BDREGISTROBTH2025[],5,FALSE)="100",0,"100")</f>
        <v>0</v>
      </c>
      <c r="F377" s="1">
        <f>VLOOKUP(B377,BDREGISTROASAMBLEA2025[],8,FALSE)</f>
        <v>0</v>
      </c>
      <c r="G377" s="1">
        <f>VLOOKUP(B377,BDREGISTROMINGA2025[],6,FALSE)</f>
        <v>0</v>
      </c>
      <c r="H377" s="1">
        <v>0</v>
      </c>
      <c r="I377" s="1">
        <v>0</v>
      </c>
      <c r="J377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378" spans="2:10" x14ac:dyDescent="0.3">
      <c r="B378" s="1">
        <f t="shared" si="5"/>
        <v>373</v>
      </c>
      <c r="C378" t="str">
        <f>IFERROR(VLOOKUP(BDOBLIGACIONES[[#This Row],[NROKARDEX]],BDPADRES[],8,FALSE),"Sin registrado")</f>
        <v>NANCY MOJICA GONZALES</v>
      </c>
      <c r="D378" s="1">
        <f>IF(VLOOKUP(B378,BDREGISTROAPORTES2025[],5,FALSE)="165",0,"165")</f>
        <v>0</v>
      </c>
      <c r="E378" s="1">
        <f>IF(VLOOKUP(B378,BDREGISTROBTH2025[],5,FALSE)="100",0,"100")</f>
        <v>0</v>
      </c>
      <c r="F378" s="1">
        <f>VLOOKUP(B378,BDREGISTROASAMBLEA2025[],8,FALSE)</f>
        <v>0</v>
      </c>
      <c r="G378" s="1">
        <f>VLOOKUP(B378,BDREGISTROMINGA2025[],6,FALSE)</f>
        <v>0</v>
      </c>
      <c r="H378" s="1">
        <v>0</v>
      </c>
      <c r="I378" s="1">
        <v>0</v>
      </c>
      <c r="J378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379" spans="2:10" x14ac:dyDescent="0.3">
      <c r="B379" s="1">
        <f t="shared" si="5"/>
        <v>374</v>
      </c>
      <c r="C379" t="str">
        <f>IFERROR(VLOOKUP(BDOBLIGACIONES[[#This Row],[NROKARDEX]],BDPADRES[],8,FALSE),"Sin registrado")</f>
        <v>FILOMENA CABRERA PANOZO</v>
      </c>
      <c r="D379" s="1">
        <f>IF(VLOOKUP(B379,BDREGISTROAPORTES2025[],5,FALSE)="165",0,"165")</f>
        <v>0</v>
      </c>
      <c r="E379" s="1">
        <f>IF(VLOOKUP(B379,BDREGISTROBTH2025[],5,FALSE)="100",0,"100")</f>
        <v>0</v>
      </c>
      <c r="F379" s="1">
        <f>VLOOKUP(B379,BDREGISTROASAMBLEA2025[],8,FALSE)</f>
        <v>0</v>
      </c>
      <c r="G379" s="1">
        <f>VLOOKUP(B379,BDREGISTROMINGA2025[],6,FALSE)</f>
        <v>0</v>
      </c>
      <c r="H379" s="1">
        <v>0</v>
      </c>
      <c r="I379" s="1">
        <v>0</v>
      </c>
      <c r="J379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380" spans="2:10" x14ac:dyDescent="0.3">
      <c r="B380" s="1">
        <f t="shared" si="5"/>
        <v>375</v>
      </c>
      <c r="C380" s="8" t="str">
        <f>IFERROR(VLOOKUP(BDOBLIGACIONES[[#This Row],[NROKARDEX]],BDPADRES[],8,FALSE),"Sin registrado")</f>
        <v>Sin registrado</v>
      </c>
      <c r="D380" s="1" t="str">
        <f>IF(VLOOKUP(B380,BDREGISTROAPORTES2025[],5,FALSE)="165",0,"165")</f>
        <v>165</v>
      </c>
      <c r="E380" s="1" t="str">
        <f>IF(VLOOKUP(B380,BDREGISTROBTH2025[],5,FALSE)="100",0,"100")</f>
        <v>100</v>
      </c>
      <c r="F380" s="1">
        <f>VLOOKUP(B380,BDREGISTROASAMBLEA2025[],8,FALSE)</f>
        <v>0</v>
      </c>
      <c r="G380" s="1">
        <f>VLOOKUP(B380,BDREGISTROMINGA2025[],6,FALSE)</f>
        <v>0</v>
      </c>
      <c r="H380" s="1">
        <v>0</v>
      </c>
      <c r="I380" s="1">
        <v>0</v>
      </c>
      <c r="J380" s="1">
        <f>BDOBLIGACIONES[[#This Row],[ASAMBLEA]]+BDOBLIGACIONES[[#This Row],[MINGA]]+BDOBLIGACIONES[[#This Row],[DELEGADOS]]+BDOBLIGACIONES[[#This Row],[CURSO]]+BDOBLIGACIONES[[#This Row],[APORTE]]+BDOBLIGACIONES[[#This Row],[BTH]]</f>
        <v>265</v>
      </c>
    </row>
    <row r="381" spans="2:10" x14ac:dyDescent="0.3">
      <c r="B381" s="1">
        <f t="shared" si="5"/>
        <v>376</v>
      </c>
      <c r="C381" t="str">
        <f>IFERROR(VLOOKUP(BDOBLIGACIONES[[#This Row],[NROKARDEX]],BDPADRES[],8,FALSE),"Sin registrado")</f>
        <v>ISILDA ASILLO MAMANI</v>
      </c>
      <c r="D381" s="1">
        <f>IF(VLOOKUP(B381,BDREGISTROAPORTES2025[],5,FALSE)="165",0,"165")</f>
        <v>0</v>
      </c>
      <c r="E381" s="1">
        <f>IF(VLOOKUP(B381,BDREGISTROBTH2025[],5,FALSE)="100",0,"100")</f>
        <v>0</v>
      </c>
      <c r="F381" s="1">
        <f>VLOOKUP(B381,BDREGISTROASAMBLEA2025[],8,FALSE)</f>
        <v>0</v>
      </c>
      <c r="G381" s="1">
        <f>VLOOKUP(B381,BDREGISTROMINGA2025[],6,FALSE)</f>
        <v>0</v>
      </c>
      <c r="H381" s="1">
        <v>0</v>
      </c>
      <c r="I381" s="1">
        <v>0</v>
      </c>
      <c r="J381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382" spans="2:10" x14ac:dyDescent="0.3">
      <c r="B382" s="1">
        <f t="shared" si="5"/>
        <v>377</v>
      </c>
      <c r="C382" t="str">
        <f>IFERROR(VLOOKUP(BDOBLIGACIONES[[#This Row],[NROKARDEX]],BDPADRES[],8,FALSE),"Sin registrado")</f>
        <v>FELICIDAD MAMANI DE FLORES</v>
      </c>
      <c r="D382" s="1">
        <f>IF(VLOOKUP(B382,BDREGISTROAPORTES2025[],5,FALSE)="165",0,"165")</f>
        <v>0</v>
      </c>
      <c r="E382" s="1" t="str">
        <f>IF(VLOOKUP(B382,BDREGISTROBTH2025[],5,FALSE)="100",0,"100")</f>
        <v>100</v>
      </c>
      <c r="F382" s="1">
        <f>VLOOKUP(B382,BDREGISTROASAMBLEA2025[],8,FALSE)</f>
        <v>0</v>
      </c>
      <c r="G382" s="1">
        <f>VLOOKUP(B382,BDREGISTROMINGA2025[],6,FALSE)</f>
        <v>0</v>
      </c>
      <c r="H382" s="1">
        <v>0</v>
      </c>
      <c r="I382" s="1">
        <v>0</v>
      </c>
      <c r="J382" s="1">
        <f>BDOBLIGACIONES[[#This Row],[ASAMBLEA]]+BDOBLIGACIONES[[#This Row],[MINGA]]+BDOBLIGACIONES[[#This Row],[DELEGADOS]]+BDOBLIGACIONES[[#This Row],[CURSO]]+BDOBLIGACIONES[[#This Row],[APORTE]]+BDOBLIGACIONES[[#This Row],[BTH]]</f>
        <v>100</v>
      </c>
    </row>
    <row r="383" spans="2:10" x14ac:dyDescent="0.3">
      <c r="B383" s="1">
        <f t="shared" si="5"/>
        <v>378</v>
      </c>
      <c r="C383" t="str">
        <f>IFERROR(VLOOKUP(BDOBLIGACIONES[[#This Row],[NROKARDEX]],BDPADRES[],8,FALSE),"Sin registrado")</f>
        <v>OLGA ROQUE TARAÑA</v>
      </c>
      <c r="D383" s="1">
        <f>IF(VLOOKUP(B383,BDREGISTROAPORTES2025[],5,FALSE)="165",0,"165")</f>
        <v>0</v>
      </c>
      <c r="E383" s="1" t="str">
        <f>IF(VLOOKUP(B383,BDREGISTROBTH2025[],5,FALSE)="100",0,"100")</f>
        <v>100</v>
      </c>
      <c r="F383" s="1">
        <f>VLOOKUP(B383,BDREGISTROASAMBLEA2025[],8,FALSE)</f>
        <v>0</v>
      </c>
      <c r="G383" s="1">
        <f>VLOOKUP(B383,BDREGISTROMINGA2025[],6,FALSE)</f>
        <v>0</v>
      </c>
      <c r="H383" s="1">
        <v>0</v>
      </c>
      <c r="I383" s="1">
        <v>0</v>
      </c>
      <c r="J383" s="1">
        <f>BDOBLIGACIONES[[#This Row],[ASAMBLEA]]+BDOBLIGACIONES[[#This Row],[MINGA]]+BDOBLIGACIONES[[#This Row],[DELEGADOS]]+BDOBLIGACIONES[[#This Row],[CURSO]]+BDOBLIGACIONES[[#This Row],[APORTE]]+BDOBLIGACIONES[[#This Row],[BTH]]</f>
        <v>100</v>
      </c>
    </row>
    <row r="384" spans="2:10" x14ac:dyDescent="0.3">
      <c r="B384" s="1">
        <f t="shared" si="5"/>
        <v>379</v>
      </c>
      <c r="C384" t="str">
        <f>IFERROR(VLOOKUP(BDOBLIGACIONES[[#This Row],[NROKARDEX]],BDPADRES[],8,FALSE),"Sin registrado")</f>
        <v>MARLENY VALVERDE CHOQUE</v>
      </c>
      <c r="D384" s="1">
        <f>IF(VLOOKUP(B384,BDREGISTROAPORTES2025[],5,FALSE)="165",0,"165")</f>
        <v>0</v>
      </c>
      <c r="E384" s="1">
        <f>IF(VLOOKUP(B384,BDREGISTROBTH2025[],5,FALSE)="100",0,"100")</f>
        <v>0</v>
      </c>
      <c r="F384" s="1">
        <f>VLOOKUP(B384,BDREGISTROASAMBLEA2025[],8,FALSE)</f>
        <v>0</v>
      </c>
      <c r="G384" s="1">
        <f>VLOOKUP(B384,BDREGISTROMINGA2025[],6,FALSE)</f>
        <v>0</v>
      </c>
      <c r="H384" s="1">
        <v>0</v>
      </c>
      <c r="I384" s="1">
        <v>0</v>
      </c>
      <c r="J384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385" spans="2:10" x14ac:dyDescent="0.3">
      <c r="B385" s="1">
        <f t="shared" si="5"/>
        <v>380</v>
      </c>
      <c r="C385" t="str">
        <f>IFERROR(VLOOKUP(BDOBLIGACIONES[[#This Row],[NROKARDEX]],BDPADRES[],8,FALSE),"Sin registrado")</f>
        <v>GUEDY MARTINEZ ROMERO</v>
      </c>
      <c r="D385" s="1">
        <f>IF(VLOOKUP(B385,BDREGISTROAPORTES2025[],5,FALSE)="165",0,"165")</f>
        <v>0</v>
      </c>
      <c r="E385" s="1">
        <f>IF(VLOOKUP(B385,BDREGISTROBTH2025[],5,FALSE)="100",0,"100")</f>
        <v>0</v>
      </c>
      <c r="F385" s="1">
        <f>VLOOKUP(B385,BDREGISTROASAMBLEA2025[],8,FALSE)</f>
        <v>0</v>
      </c>
      <c r="G385" s="1">
        <f>VLOOKUP(B385,BDREGISTROMINGA2025[],6,FALSE)</f>
        <v>0</v>
      </c>
      <c r="H385" s="1">
        <v>0</v>
      </c>
      <c r="I385" s="1">
        <v>0</v>
      </c>
      <c r="J385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386" spans="2:10" x14ac:dyDescent="0.3">
      <c r="B386" s="1">
        <f t="shared" si="5"/>
        <v>381</v>
      </c>
      <c r="C386" s="8" t="str">
        <f>IFERROR(VLOOKUP(BDOBLIGACIONES[[#This Row],[NROKARDEX]],BDPADRES[],8,FALSE),"Sin registrado")</f>
        <v>Sin registrado</v>
      </c>
      <c r="D386" s="1" t="str">
        <f>IF(VLOOKUP(B386,BDREGISTROAPORTES2025[],5,FALSE)="165",0,"165")</f>
        <v>165</v>
      </c>
      <c r="E386" s="1" t="str">
        <f>IF(VLOOKUP(B386,BDREGISTROBTH2025[],5,FALSE)="100",0,"100")</f>
        <v>100</v>
      </c>
      <c r="F386" s="1">
        <f>VLOOKUP(B386,BDREGISTROASAMBLEA2025[],8,FALSE)</f>
        <v>0</v>
      </c>
      <c r="G386" s="1">
        <f>VLOOKUP(B386,BDREGISTROMINGA2025[],6,FALSE)</f>
        <v>0</v>
      </c>
      <c r="H386" s="1">
        <v>0</v>
      </c>
      <c r="I386" s="1">
        <v>0</v>
      </c>
      <c r="J386" s="1">
        <f>BDOBLIGACIONES[[#This Row],[ASAMBLEA]]+BDOBLIGACIONES[[#This Row],[MINGA]]+BDOBLIGACIONES[[#This Row],[DELEGADOS]]+BDOBLIGACIONES[[#This Row],[CURSO]]+BDOBLIGACIONES[[#This Row],[APORTE]]+BDOBLIGACIONES[[#This Row],[BTH]]</f>
        <v>265</v>
      </c>
    </row>
    <row r="387" spans="2:10" x14ac:dyDescent="0.3">
      <c r="B387" s="1">
        <f t="shared" si="5"/>
        <v>382</v>
      </c>
      <c r="C387" t="str">
        <f>IFERROR(VLOOKUP(BDOBLIGACIONES[[#This Row],[NROKARDEX]],BDPADRES[],8,FALSE),"Sin registrado")</f>
        <v>FANNY MARTINEZ AGUANTA</v>
      </c>
      <c r="D387" s="1">
        <f>IF(VLOOKUP(B387,BDREGISTROAPORTES2025[],5,FALSE)="165",0,"165")</f>
        <v>0</v>
      </c>
      <c r="E387" s="1">
        <f>IF(VLOOKUP(B387,BDREGISTROBTH2025[],5,FALSE)="100",0,"100")</f>
        <v>0</v>
      </c>
      <c r="F387" s="1">
        <f>VLOOKUP(B387,BDREGISTROASAMBLEA2025[],8,FALSE)</f>
        <v>0</v>
      </c>
      <c r="G387" s="1">
        <f>VLOOKUP(B387,BDREGISTROMINGA2025[],6,FALSE)</f>
        <v>0</v>
      </c>
      <c r="H387" s="1">
        <v>0</v>
      </c>
      <c r="I387" s="1">
        <v>0</v>
      </c>
      <c r="J387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388" spans="2:10" x14ac:dyDescent="0.3">
      <c r="B388" s="1">
        <f t="shared" si="5"/>
        <v>383</v>
      </c>
      <c r="C388" t="str">
        <f>IFERROR(VLOOKUP(BDOBLIGACIONES[[#This Row],[NROKARDEX]],BDPADRES[],8,FALSE),"Sin registrado")</f>
        <v>FRANCISCA  FIGUEROA LOAIZA</v>
      </c>
      <c r="D388" s="1">
        <f>IF(VLOOKUP(B388,BDREGISTROAPORTES2025[],5,FALSE)="165",0,"165")</f>
        <v>0</v>
      </c>
      <c r="E388" s="1">
        <f>IF(VLOOKUP(B388,BDREGISTROBTH2025[],5,FALSE)="100",0,"100")</f>
        <v>0</v>
      </c>
      <c r="F388" s="1">
        <f>VLOOKUP(B388,BDREGISTROASAMBLEA2025[],8,FALSE)</f>
        <v>0</v>
      </c>
      <c r="G388" s="1">
        <f>VLOOKUP(B388,BDREGISTROMINGA2025[],6,FALSE)</f>
        <v>0</v>
      </c>
      <c r="H388" s="1">
        <v>0</v>
      </c>
      <c r="I388" s="1">
        <v>0</v>
      </c>
      <c r="J388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389" spans="2:10" x14ac:dyDescent="0.3">
      <c r="B389" s="1">
        <f t="shared" si="5"/>
        <v>384</v>
      </c>
      <c r="C389" t="str">
        <f>IFERROR(VLOOKUP(BDOBLIGACIONES[[#This Row],[NROKARDEX]],BDPADRES[],8,FALSE),"Sin registrado")</f>
        <v>ARACELY RODRIGUEZ HURTADO</v>
      </c>
      <c r="D389" s="1">
        <f>IF(VLOOKUP(B389,BDREGISTROAPORTES2025[],5,FALSE)="165",0,"165")</f>
        <v>0</v>
      </c>
      <c r="E389" s="1" t="str">
        <f>IF(VLOOKUP(B389,BDREGISTROBTH2025[],5,FALSE)="100",0,"100")</f>
        <v>100</v>
      </c>
      <c r="F389" s="1">
        <f>VLOOKUP(B389,BDREGISTROASAMBLEA2025[],8,FALSE)</f>
        <v>0</v>
      </c>
      <c r="G389" s="1">
        <f>VLOOKUP(B389,BDREGISTROMINGA2025[],6,FALSE)</f>
        <v>0</v>
      </c>
      <c r="H389" s="1">
        <v>0</v>
      </c>
      <c r="I389" s="1">
        <v>0</v>
      </c>
      <c r="J389" s="1">
        <f>BDOBLIGACIONES[[#This Row],[ASAMBLEA]]+BDOBLIGACIONES[[#This Row],[MINGA]]+BDOBLIGACIONES[[#This Row],[DELEGADOS]]+BDOBLIGACIONES[[#This Row],[CURSO]]+BDOBLIGACIONES[[#This Row],[APORTE]]+BDOBLIGACIONES[[#This Row],[BTH]]</f>
        <v>100</v>
      </c>
    </row>
    <row r="390" spans="2:10" x14ac:dyDescent="0.3">
      <c r="B390" s="1">
        <f t="shared" si="5"/>
        <v>385</v>
      </c>
      <c r="C390" t="str">
        <f>IFERROR(VLOOKUP(BDOBLIGACIONES[[#This Row],[NROKARDEX]],BDPADRES[],8,FALSE),"Sin registrado")</f>
        <v>EMI LENI MONTAÑO CARDENAS</v>
      </c>
      <c r="D390" s="1">
        <f>IF(VLOOKUP(B390,BDREGISTROAPORTES2025[],5,FALSE)="165",0,"165")</f>
        <v>0</v>
      </c>
      <c r="E390" s="1">
        <f>IF(VLOOKUP(B390,BDREGISTROBTH2025[],5,FALSE)="100",0,"100")</f>
        <v>0</v>
      </c>
      <c r="F390" s="1">
        <f>VLOOKUP(B390,BDREGISTROASAMBLEA2025[],8,FALSE)</f>
        <v>0</v>
      </c>
      <c r="G390" s="1">
        <f>VLOOKUP(B390,BDREGISTROMINGA2025[],6,FALSE)</f>
        <v>0</v>
      </c>
      <c r="H390" s="1">
        <v>0</v>
      </c>
      <c r="I390" s="1">
        <v>0</v>
      </c>
      <c r="J390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391" spans="2:10" x14ac:dyDescent="0.3">
      <c r="B391" s="1">
        <f t="shared" si="5"/>
        <v>386</v>
      </c>
      <c r="C391" t="str">
        <f>IFERROR(VLOOKUP(BDOBLIGACIONES[[#This Row],[NROKARDEX]],BDPADRES[],8,FALSE),"Sin registrado")</f>
        <v>FLORA GARCIA GOMEZ</v>
      </c>
      <c r="D391" s="1">
        <f>IF(VLOOKUP(B391,BDREGISTROAPORTES2025[],5,FALSE)="165",0,"165")</f>
        <v>0</v>
      </c>
      <c r="E391" s="1" t="str">
        <f>IF(VLOOKUP(B391,BDREGISTROBTH2025[],5,FALSE)="100",0,"100")</f>
        <v>100</v>
      </c>
      <c r="F391" s="1">
        <f>VLOOKUP(B391,BDREGISTROASAMBLEA2025[],8,FALSE)</f>
        <v>0</v>
      </c>
      <c r="G391" s="1">
        <f>VLOOKUP(B391,BDREGISTROMINGA2025[],6,FALSE)</f>
        <v>0</v>
      </c>
      <c r="H391" s="1">
        <v>0</v>
      </c>
      <c r="I391" s="1">
        <v>0</v>
      </c>
      <c r="J391" s="1">
        <f>BDOBLIGACIONES[[#This Row],[ASAMBLEA]]+BDOBLIGACIONES[[#This Row],[MINGA]]+BDOBLIGACIONES[[#This Row],[DELEGADOS]]+BDOBLIGACIONES[[#This Row],[CURSO]]+BDOBLIGACIONES[[#This Row],[APORTE]]+BDOBLIGACIONES[[#This Row],[BTH]]</f>
        <v>100</v>
      </c>
    </row>
    <row r="392" spans="2:10" x14ac:dyDescent="0.3">
      <c r="B392" s="1">
        <f t="shared" si="5"/>
        <v>387</v>
      </c>
      <c r="C392" t="str">
        <f>IFERROR(VLOOKUP(BDOBLIGACIONES[[#This Row],[NROKARDEX]],BDPADRES[],8,FALSE),"Sin registrado")</f>
        <v xml:space="preserve">SIN NOMBRE LLANOS  </v>
      </c>
      <c r="D392" s="1">
        <f>IF(VLOOKUP(B392,BDREGISTROAPORTES2025[],5,FALSE)="165",0,"165")</f>
        <v>0</v>
      </c>
      <c r="E392" s="1" t="str">
        <f>IF(VLOOKUP(B392,BDREGISTROBTH2025[],5,FALSE)="100",0,"100")</f>
        <v>100</v>
      </c>
      <c r="F392" s="1">
        <f>VLOOKUP(B392,BDREGISTROASAMBLEA2025[],8,FALSE)</f>
        <v>0</v>
      </c>
      <c r="G392" s="1">
        <f>VLOOKUP(B392,BDREGISTROMINGA2025[],6,FALSE)</f>
        <v>0</v>
      </c>
      <c r="H392" s="1">
        <v>0</v>
      </c>
      <c r="I392" s="1">
        <v>0</v>
      </c>
      <c r="J392" s="1">
        <f>BDOBLIGACIONES[[#This Row],[ASAMBLEA]]+BDOBLIGACIONES[[#This Row],[MINGA]]+BDOBLIGACIONES[[#This Row],[DELEGADOS]]+BDOBLIGACIONES[[#This Row],[CURSO]]+BDOBLIGACIONES[[#This Row],[APORTE]]+BDOBLIGACIONES[[#This Row],[BTH]]</f>
        <v>100</v>
      </c>
    </row>
    <row r="393" spans="2:10" x14ac:dyDescent="0.3">
      <c r="B393" s="1">
        <f t="shared" ref="B393:B456" si="6">ROW(A388)</f>
        <v>388</v>
      </c>
      <c r="C393" t="str">
        <f>IFERROR(VLOOKUP(BDOBLIGACIONES[[#This Row],[NROKARDEX]],BDPADRES[],8,FALSE),"Sin registrado")</f>
        <v>ANGELICA CUELLAR MENDOZA</v>
      </c>
      <c r="D393" s="1">
        <f>IF(VLOOKUP(B393,BDREGISTROAPORTES2025[],5,FALSE)="165",0,"165")</f>
        <v>0</v>
      </c>
      <c r="E393" s="1">
        <f>IF(VLOOKUP(B393,BDREGISTROBTH2025[],5,FALSE)="100",0,"100")</f>
        <v>0</v>
      </c>
      <c r="F393" s="1">
        <f>VLOOKUP(B393,BDREGISTROASAMBLEA2025[],8,FALSE)</f>
        <v>0</v>
      </c>
      <c r="G393" s="1">
        <f>VLOOKUP(B393,BDREGISTROMINGA2025[],6,FALSE)</f>
        <v>0</v>
      </c>
      <c r="H393" s="1">
        <v>0</v>
      </c>
      <c r="I393" s="1">
        <v>0</v>
      </c>
      <c r="J393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394" spans="2:10" x14ac:dyDescent="0.3">
      <c r="B394" s="1">
        <f t="shared" si="6"/>
        <v>389</v>
      </c>
      <c r="C394" t="str">
        <f>IFERROR(VLOOKUP(BDOBLIGACIONES[[#This Row],[NROKARDEX]],BDPADRES[],8,FALSE),"Sin registrado")</f>
        <v>ELVA FLORES POLANCO</v>
      </c>
      <c r="D394" s="1">
        <f>IF(VLOOKUP(B394,BDREGISTROAPORTES2025[],5,FALSE)="165",0,"165")</f>
        <v>0</v>
      </c>
      <c r="E394" s="1" t="str">
        <f>IF(VLOOKUP(B394,BDREGISTROBTH2025[],5,FALSE)="100",0,"100")</f>
        <v>100</v>
      </c>
      <c r="F394" s="1">
        <f>VLOOKUP(B394,BDREGISTROASAMBLEA2025[],8,FALSE)</f>
        <v>0</v>
      </c>
      <c r="G394" s="1">
        <f>VLOOKUP(B394,BDREGISTROMINGA2025[],6,FALSE)</f>
        <v>0</v>
      </c>
      <c r="H394" s="1">
        <v>0</v>
      </c>
      <c r="I394" s="1">
        <v>0</v>
      </c>
      <c r="J394" s="1">
        <f>BDOBLIGACIONES[[#This Row],[ASAMBLEA]]+BDOBLIGACIONES[[#This Row],[MINGA]]+BDOBLIGACIONES[[#This Row],[DELEGADOS]]+BDOBLIGACIONES[[#This Row],[CURSO]]+BDOBLIGACIONES[[#This Row],[APORTE]]+BDOBLIGACIONES[[#This Row],[BTH]]</f>
        <v>100</v>
      </c>
    </row>
    <row r="395" spans="2:10" x14ac:dyDescent="0.3">
      <c r="B395" s="1">
        <f t="shared" si="6"/>
        <v>390</v>
      </c>
      <c r="C395" t="str">
        <f>IFERROR(VLOOKUP(BDOBLIGACIONES[[#This Row],[NROKARDEX]],BDPADRES[],8,FALSE),"Sin registrado")</f>
        <v>MARIA RODRIGUEZ CORTEZ</v>
      </c>
      <c r="D395" s="1">
        <f>IF(VLOOKUP(B395,BDREGISTROAPORTES2025[],5,FALSE)="165",0,"165")</f>
        <v>0</v>
      </c>
      <c r="E395" s="1" t="str">
        <f>IF(VLOOKUP(B395,BDREGISTROBTH2025[],5,FALSE)="100",0,"100")</f>
        <v>100</v>
      </c>
      <c r="F395" s="1">
        <f>VLOOKUP(B395,BDREGISTROASAMBLEA2025[],8,FALSE)</f>
        <v>0</v>
      </c>
      <c r="G395" s="1">
        <f>VLOOKUP(B395,BDREGISTROMINGA2025[],6,FALSE)</f>
        <v>0</v>
      </c>
      <c r="H395" s="1">
        <v>0</v>
      </c>
      <c r="I395" s="1">
        <v>0</v>
      </c>
      <c r="J395" s="1">
        <f>BDOBLIGACIONES[[#This Row],[ASAMBLEA]]+BDOBLIGACIONES[[#This Row],[MINGA]]+BDOBLIGACIONES[[#This Row],[DELEGADOS]]+BDOBLIGACIONES[[#This Row],[CURSO]]+BDOBLIGACIONES[[#This Row],[APORTE]]+BDOBLIGACIONES[[#This Row],[BTH]]</f>
        <v>100</v>
      </c>
    </row>
    <row r="396" spans="2:10" x14ac:dyDescent="0.3">
      <c r="B396" s="1">
        <f t="shared" si="6"/>
        <v>391</v>
      </c>
      <c r="C396" t="str">
        <f>IFERROR(VLOOKUP(BDOBLIGACIONES[[#This Row],[NROKARDEX]],BDPADRES[],8,FALSE),"Sin registrado")</f>
        <v>LEISY AGUADO CORTEZ</v>
      </c>
      <c r="D396" s="1">
        <f>IF(VLOOKUP(B396,BDREGISTROAPORTES2025[],5,FALSE)="165",0,"165")</f>
        <v>0</v>
      </c>
      <c r="E396" s="1">
        <f>IF(VLOOKUP(B396,BDREGISTROBTH2025[],5,FALSE)="100",0,"100")</f>
        <v>0</v>
      </c>
      <c r="F396" s="1">
        <f>VLOOKUP(B396,BDREGISTROASAMBLEA2025[],8,FALSE)</f>
        <v>0</v>
      </c>
      <c r="G396" s="1">
        <f>VLOOKUP(B396,BDREGISTROMINGA2025[],6,FALSE)</f>
        <v>0</v>
      </c>
      <c r="H396" s="1">
        <v>0</v>
      </c>
      <c r="I396" s="1">
        <v>0</v>
      </c>
      <c r="J396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397" spans="2:10" x14ac:dyDescent="0.3">
      <c r="B397" s="1">
        <f t="shared" si="6"/>
        <v>392</v>
      </c>
      <c r="C397" t="str">
        <f>IFERROR(VLOOKUP(BDOBLIGACIONES[[#This Row],[NROKARDEX]],BDPADRES[],8,FALSE),"Sin registrado")</f>
        <v>IRENIA RODRIGUEZ CORTEZ</v>
      </c>
      <c r="D397" s="1">
        <f>IF(VLOOKUP(B397,BDREGISTROAPORTES2025[],5,FALSE)="165",0,"165")</f>
        <v>0</v>
      </c>
      <c r="E397" s="1">
        <f>IF(VLOOKUP(B397,BDREGISTROBTH2025[],5,FALSE)="100",0,"100")</f>
        <v>0</v>
      </c>
      <c r="F397" s="1">
        <f>VLOOKUP(B397,BDREGISTROASAMBLEA2025[],8,FALSE)</f>
        <v>0</v>
      </c>
      <c r="G397" s="1">
        <f>VLOOKUP(B397,BDREGISTROMINGA2025[],6,FALSE)</f>
        <v>0</v>
      </c>
      <c r="H397" s="1">
        <v>0</v>
      </c>
      <c r="I397" s="1">
        <v>0</v>
      </c>
      <c r="J397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398" spans="2:10" x14ac:dyDescent="0.3">
      <c r="B398" s="1">
        <f t="shared" si="6"/>
        <v>393</v>
      </c>
      <c r="C398" t="str">
        <f>IFERROR(VLOOKUP(BDOBLIGACIONES[[#This Row],[NROKARDEX]],BDPADRES[],8,FALSE),"Sin registrado")</f>
        <v>AVIGAIL ELEYDE CIFUENTES</v>
      </c>
      <c r="D398" s="1">
        <f>IF(VLOOKUP(B398,BDREGISTROAPORTES2025[],5,FALSE)="165",0,"165")</f>
        <v>0</v>
      </c>
      <c r="E398" s="1" t="str">
        <f>IF(VLOOKUP(B398,BDREGISTROBTH2025[],5,FALSE)="100",0,"100")</f>
        <v>100</v>
      </c>
      <c r="F398" s="1">
        <f>VLOOKUP(B398,BDREGISTROASAMBLEA2025[],8,FALSE)</f>
        <v>0</v>
      </c>
      <c r="G398" s="1">
        <f>VLOOKUP(B398,BDREGISTROMINGA2025[],6,FALSE)</f>
        <v>0</v>
      </c>
      <c r="H398" s="1">
        <v>0</v>
      </c>
      <c r="I398" s="1">
        <v>0</v>
      </c>
      <c r="J398" s="1">
        <f>BDOBLIGACIONES[[#This Row],[ASAMBLEA]]+BDOBLIGACIONES[[#This Row],[MINGA]]+BDOBLIGACIONES[[#This Row],[DELEGADOS]]+BDOBLIGACIONES[[#This Row],[CURSO]]+BDOBLIGACIONES[[#This Row],[APORTE]]+BDOBLIGACIONES[[#This Row],[BTH]]</f>
        <v>100</v>
      </c>
    </row>
    <row r="399" spans="2:10" x14ac:dyDescent="0.3">
      <c r="B399" s="1">
        <f t="shared" si="6"/>
        <v>394</v>
      </c>
      <c r="C399" t="str">
        <f>IFERROR(VLOOKUP(BDOBLIGACIONES[[#This Row],[NROKARDEX]],BDPADRES[],8,FALSE),"Sin registrado")</f>
        <v>NILCA LEAÑO VERGARA</v>
      </c>
      <c r="D399" s="1">
        <f>IF(VLOOKUP(B399,BDREGISTROAPORTES2025[],5,FALSE)="165",0,"165")</f>
        <v>0</v>
      </c>
      <c r="E399" s="1" t="str">
        <f>IF(VLOOKUP(B399,BDREGISTROBTH2025[],5,FALSE)="100",0,"100")</f>
        <v>100</v>
      </c>
      <c r="F399" s="1">
        <f>VLOOKUP(B399,BDREGISTROASAMBLEA2025[],8,FALSE)</f>
        <v>0</v>
      </c>
      <c r="G399" s="1">
        <f>VLOOKUP(B399,BDREGISTROMINGA2025[],6,FALSE)</f>
        <v>0</v>
      </c>
      <c r="H399" s="1">
        <v>0</v>
      </c>
      <c r="I399" s="1">
        <v>0</v>
      </c>
      <c r="J399" s="1">
        <f>BDOBLIGACIONES[[#This Row],[ASAMBLEA]]+BDOBLIGACIONES[[#This Row],[MINGA]]+BDOBLIGACIONES[[#This Row],[DELEGADOS]]+BDOBLIGACIONES[[#This Row],[CURSO]]+BDOBLIGACIONES[[#This Row],[APORTE]]+BDOBLIGACIONES[[#This Row],[BTH]]</f>
        <v>100</v>
      </c>
    </row>
    <row r="400" spans="2:10" x14ac:dyDescent="0.3">
      <c r="B400" s="1">
        <f t="shared" si="6"/>
        <v>395</v>
      </c>
      <c r="C400" t="str">
        <f>IFERROR(VLOOKUP(BDOBLIGACIONES[[#This Row],[NROKARDEX]],BDPADRES[],8,FALSE),"Sin registrado")</f>
        <v>KARLA MICHELLE MENACHO MELGAR</v>
      </c>
      <c r="D400" s="1">
        <f>IF(VLOOKUP(B400,BDREGISTROAPORTES2025[],5,FALSE)="165",0,"165")</f>
        <v>0</v>
      </c>
      <c r="E400" s="1">
        <f>IF(VLOOKUP(B400,BDREGISTROBTH2025[],5,FALSE)="100",0,"100")</f>
        <v>0</v>
      </c>
      <c r="F400" s="1">
        <f>VLOOKUP(B400,BDREGISTROASAMBLEA2025[],8,FALSE)</f>
        <v>0</v>
      </c>
      <c r="G400" s="1">
        <f>VLOOKUP(B400,BDREGISTROMINGA2025[],6,FALSE)</f>
        <v>0</v>
      </c>
      <c r="H400" s="1">
        <v>0</v>
      </c>
      <c r="I400" s="1">
        <v>0</v>
      </c>
      <c r="J400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401" spans="2:10" x14ac:dyDescent="0.3">
      <c r="B401" s="1">
        <f t="shared" si="6"/>
        <v>396</v>
      </c>
      <c r="C401" t="str">
        <f>IFERROR(VLOOKUP(BDOBLIGACIONES[[#This Row],[NROKARDEX]],BDPADRES[],8,FALSE),"Sin registrado")</f>
        <v>ERLINDA MARTINEZ CRUZ</v>
      </c>
      <c r="D401" s="1">
        <f>IF(VLOOKUP(B401,BDREGISTROAPORTES2025[],5,FALSE)="165",0,"165")</f>
        <v>0</v>
      </c>
      <c r="E401" s="1">
        <f>IF(VLOOKUP(B401,BDREGISTROBTH2025[],5,FALSE)="100",0,"100")</f>
        <v>0</v>
      </c>
      <c r="F401" s="1">
        <f>VLOOKUP(B401,BDREGISTROASAMBLEA2025[],8,FALSE)</f>
        <v>0</v>
      </c>
      <c r="G401" s="1">
        <f>VLOOKUP(B401,BDREGISTROMINGA2025[],6,FALSE)</f>
        <v>0</v>
      </c>
      <c r="H401" s="1">
        <v>0</v>
      </c>
      <c r="I401" s="1">
        <v>0</v>
      </c>
      <c r="J401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402" spans="2:10" x14ac:dyDescent="0.3">
      <c r="B402" s="1">
        <f t="shared" si="6"/>
        <v>397</v>
      </c>
      <c r="C402" t="str">
        <f>IFERROR(VLOOKUP(BDOBLIGACIONES[[#This Row],[NROKARDEX]],BDPADRES[],8,FALSE),"Sin registrado")</f>
        <v xml:space="preserve">ZONIA VEDIA   </v>
      </c>
      <c r="D402" s="1">
        <f>IF(VLOOKUP(B402,BDREGISTROAPORTES2025[],5,FALSE)="165",0,"165")</f>
        <v>0</v>
      </c>
      <c r="E402" s="1">
        <f>IF(VLOOKUP(B402,BDREGISTROBTH2025[],5,FALSE)="100",0,"100")</f>
        <v>0</v>
      </c>
      <c r="F402" s="1">
        <f>VLOOKUP(B402,BDREGISTROASAMBLEA2025[],8,FALSE)</f>
        <v>0</v>
      </c>
      <c r="G402" s="1">
        <f>VLOOKUP(B402,BDREGISTROMINGA2025[],6,FALSE)</f>
        <v>0</v>
      </c>
      <c r="H402" s="1">
        <v>0</v>
      </c>
      <c r="I402" s="1">
        <v>0</v>
      </c>
      <c r="J402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403" spans="2:10" x14ac:dyDescent="0.3">
      <c r="B403" s="1">
        <f t="shared" si="6"/>
        <v>398</v>
      </c>
      <c r="C403" t="str">
        <f>IFERROR(VLOOKUP(BDOBLIGACIONES[[#This Row],[NROKARDEX]],BDPADRES[],8,FALSE),"Sin registrado")</f>
        <v>EULALIA  CORREA ZORAIDE</v>
      </c>
      <c r="D403" s="1">
        <f>IF(VLOOKUP(B403,BDREGISTROAPORTES2025[],5,FALSE)="165",0,"165")</f>
        <v>0</v>
      </c>
      <c r="E403" s="1">
        <f>IF(VLOOKUP(B403,BDREGISTROBTH2025[],5,FALSE)="100",0,"100")</f>
        <v>0</v>
      </c>
      <c r="F403" s="1">
        <f>VLOOKUP(B403,BDREGISTROASAMBLEA2025[],8,FALSE)</f>
        <v>0</v>
      </c>
      <c r="G403" s="1">
        <f>VLOOKUP(B403,BDREGISTROMINGA2025[],6,FALSE)</f>
        <v>0</v>
      </c>
      <c r="H403" s="1">
        <v>0</v>
      </c>
      <c r="I403" s="1">
        <v>0</v>
      </c>
      <c r="J403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404" spans="2:10" x14ac:dyDescent="0.3">
      <c r="B404" s="1">
        <f t="shared" si="6"/>
        <v>399</v>
      </c>
      <c r="C404" t="str">
        <f>IFERROR(VLOOKUP(BDOBLIGACIONES[[#This Row],[NROKARDEX]],BDPADRES[],8,FALSE),"Sin registrado")</f>
        <v>DELMA RAMIREZ PEREZ</v>
      </c>
      <c r="D404" s="1">
        <f>IF(VLOOKUP(B404,BDREGISTROAPORTES2025[],5,FALSE)="165",0,"165")</f>
        <v>0</v>
      </c>
      <c r="E404" s="1">
        <f>IF(VLOOKUP(B404,BDREGISTROBTH2025[],5,FALSE)="100",0,"100")</f>
        <v>0</v>
      </c>
      <c r="F404" s="1">
        <f>VLOOKUP(B404,BDREGISTROASAMBLEA2025[],8,FALSE)</f>
        <v>0</v>
      </c>
      <c r="G404" s="1">
        <f>VLOOKUP(B404,BDREGISTROMINGA2025[],6,FALSE)</f>
        <v>0</v>
      </c>
      <c r="H404" s="1">
        <v>0</v>
      </c>
      <c r="I404" s="1">
        <v>0</v>
      </c>
      <c r="J404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405" spans="2:10" x14ac:dyDescent="0.3">
      <c r="B405" s="1">
        <f t="shared" si="6"/>
        <v>400</v>
      </c>
      <c r="C405" t="str">
        <f>IFERROR(VLOOKUP(BDOBLIGACIONES[[#This Row],[NROKARDEX]],BDPADRES[],8,FALSE),"Sin registrado")</f>
        <v>VERONICA FERNANDEZ SANTILLAN</v>
      </c>
      <c r="D405" s="1">
        <f>IF(VLOOKUP(B405,BDREGISTROAPORTES2025[],5,FALSE)="165",0,"165")</f>
        <v>0</v>
      </c>
      <c r="E405" s="1">
        <f>IF(VLOOKUP(B405,BDREGISTROBTH2025[],5,FALSE)="100",0,"100")</f>
        <v>0</v>
      </c>
      <c r="F405" s="1">
        <f>VLOOKUP(B405,BDREGISTROASAMBLEA2025[],8,FALSE)</f>
        <v>0</v>
      </c>
      <c r="G405" s="1">
        <f>VLOOKUP(B405,BDREGISTROMINGA2025[],6,FALSE)</f>
        <v>0</v>
      </c>
      <c r="H405" s="1">
        <v>0</v>
      </c>
      <c r="I405" s="1">
        <v>0</v>
      </c>
      <c r="J405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406" spans="2:10" x14ac:dyDescent="0.3">
      <c r="B406" s="1">
        <f t="shared" si="6"/>
        <v>401</v>
      </c>
      <c r="C406" t="str">
        <f>IFERROR(VLOOKUP(BDOBLIGACIONES[[#This Row],[NROKARDEX]],BDPADRES[],8,FALSE),"Sin registrado")</f>
        <v>MIRIAM FUENTES HEREDIA</v>
      </c>
      <c r="D406" s="1">
        <f>IF(VLOOKUP(B406,BDREGISTROAPORTES2025[],5,FALSE)="165",0,"165")</f>
        <v>0</v>
      </c>
      <c r="E406" s="1">
        <f>IF(VLOOKUP(B406,BDREGISTROBTH2025[],5,FALSE)="100",0,"100")</f>
        <v>0</v>
      </c>
      <c r="F406" s="1">
        <f>VLOOKUP(B406,BDREGISTROASAMBLEA2025[],8,FALSE)</f>
        <v>0</v>
      </c>
      <c r="G406" s="1">
        <f>VLOOKUP(B406,BDREGISTROMINGA2025[],6,FALSE)</f>
        <v>0</v>
      </c>
      <c r="H406" s="1">
        <v>0</v>
      </c>
      <c r="I406" s="1">
        <v>0</v>
      </c>
      <c r="J406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407" spans="2:10" x14ac:dyDescent="0.3">
      <c r="B407" s="1">
        <f t="shared" si="6"/>
        <v>402</v>
      </c>
      <c r="C407" t="str">
        <f>IFERROR(VLOOKUP(BDOBLIGACIONES[[#This Row],[NROKARDEX]],BDPADRES[],8,FALSE),"Sin registrado")</f>
        <v>ERLINDA VARON ARANCIBIA</v>
      </c>
      <c r="D407" s="1">
        <f>IF(VLOOKUP(B407,BDREGISTROAPORTES2025[],5,FALSE)="165",0,"165")</f>
        <v>0</v>
      </c>
      <c r="E407" s="1">
        <f>IF(VLOOKUP(B407,BDREGISTROBTH2025[],5,FALSE)="100",0,"100")</f>
        <v>0</v>
      </c>
      <c r="F407" s="1">
        <f>VLOOKUP(B407,BDREGISTROASAMBLEA2025[],8,FALSE)</f>
        <v>0</v>
      </c>
      <c r="G407" s="1">
        <f>VLOOKUP(B407,BDREGISTROMINGA2025[],6,FALSE)</f>
        <v>0</v>
      </c>
      <c r="H407" s="1">
        <v>0</v>
      </c>
      <c r="I407" s="1">
        <v>0</v>
      </c>
      <c r="J407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408" spans="2:10" x14ac:dyDescent="0.3">
      <c r="B408" s="1">
        <f t="shared" si="6"/>
        <v>403</v>
      </c>
      <c r="C408" t="str">
        <f>IFERROR(VLOOKUP(BDOBLIGACIONES[[#This Row],[NROKARDEX]],BDPADRES[],8,FALSE),"Sin registrado")</f>
        <v>ANGELICA GARCIA MOSTACEDO</v>
      </c>
      <c r="D408" s="1">
        <f>IF(VLOOKUP(B408,BDREGISTROAPORTES2025[],5,FALSE)="165",0,"165")</f>
        <v>0</v>
      </c>
      <c r="E408" s="1" t="str">
        <f>IF(VLOOKUP(B408,BDREGISTROBTH2025[],5,FALSE)="100",0,"100")</f>
        <v>100</v>
      </c>
      <c r="F408" s="1">
        <f>VLOOKUP(B408,BDREGISTROASAMBLEA2025[],8,FALSE)</f>
        <v>0</v>
      </c>
      <c r="G408" s="1">
        <f>VLOOKUP(B408,BDREGISTROMINGA2025[],6,FALSE)</f>
        <v>0</v>
      </c>
      <c r="H408" s="1">
        <v>0</v>
      </c>
      <c r="I408" s="1">
        <v>0</v>
      </c>
      <c r="J408" s="1">
        <f>BDOBLIGACIONES[[#This Row],[ASAMBLEA]]+BDOBLIGACIONES[[#This Row],[MINGA]]+BDOBLIGACIONES[[#This Row],[DELEGADOS]]+BDOBLIGACIONES[[#This Row],[CURSO]]+BDOBLIGACIONES[[#This Row],[APORTE]]+BDOBLIGACIONES[[#This Row],[BTH]]</f>
        <v>100</v>
      </c>
    </row>
    <row r="409" spans="2:10" x14ac:dyDescent="0.3">
      <c r="B409" s="1">
        <f t="shared" si="6"/>
        <v>404</v>
      </c>
      <c r="C409" t="str">
        <f>IFERROR(VLOOKUP(BDOBLIGACIONES[[#This Row],[NROKARDEX]],BDPADRES[],8,FALSE),"Sin registrado")</f>
        <v>TANIA ANDREINA BURGOS ROBLES</v>
      </c>
      <c r="D409" s="1">
        <f>IF(VLOOKUP(B409,BDREGISTROAPORTES2025[],5,FALSE)="165",0,"165")</f>
        <v>0</v>
      </c>
      <c r="E409" s="1">
        <f>IF(VLOOKUP(B409,BDREGISTROBTH2025[],5,FALSE)="100",0,"100")</f>
        <v>0</v>
      </c>
      <c r="F409" s="1">
        <f>VLOOKUP(B409,BDREGISTROASAMBLEA2025[],8,FALSE)</f>
        <v>0</v>
      </c>
      <c r="G409" s="1">
        <f>VLOOKUP(B409,BDREGISTROMINGA2025[],6,FALSE)</f>
        <v>0</v>
      </c>
      <c r="H409" s="1">
        <v>0</v>
      </c>
      <c r="I409" s="1">
        <v>0</v>
      </c>
      <c r="J409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410" spans="2:10" x14ac:dyDescent="0.3">
      <c r="B410" s="1">
        <f t="shared" si="6"/>
        <v>405</v>
      </c>
      <c r="C410" t="str">
        <f>IFERROR(VLOOKUP(BDOBLIGACIONES[[#This Row],[NROKARDEX]],BDPADRES[],8,FALSE),"Sin registrado")</f>
        <v>YOUSELIN CRUZ LEAÑOS</v>
      </c>
      <c r="D410" s="1">
        <f>IF(VLOOKUP(B410,BDREGISTROAPORTES2025[],5,FALSE)="165",0,"165")</f>
        <v>0</v>
      </c>
      <c r="E410" s="1">
        <f>IF(VLOOKUP(B410,BDREGISTROBTH2025[],5,FALSE)="100",0,"100")</f>
        <v>0</v>
      </c>
      <c r="F410" s="1">
        <f>VLOOKUP(B410,BDREGISTROASAMBLEA2025[],8,FALSE)</f>
        <v>0</v>
      </c>
      <c r="G410" s="1">
        <f>VLOOKUP(B410,BDREGISTROMINGA2025[],6,FALSE)</f>
        <v>0</v>
      </c>
      <c r="H410" s="1">
        <v>0</v>
      </c>
      <c r="I410" s="1">
        <v>0</v>
      </c>
      <c r="J410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411" spans="2:10" x14ac:dyDescent="0.3">
      <c r="B411" s="1">
        <f t="shared" si="6"/>
        <v>406</v>
      </c>
      <c r="C411" t="str">
        <f>IFERROR(VLOOKUP(BDOBLIGACIONES[[#This Row],[NROKARDEX]],BDPADRES[],8,FALSE),"Sin registrado")</f>
        <v>ERLINDA PALENQUE BARRIGA</v>
      </c>
      <c r="D411" s="1">
        <f>IF(VLOOKUP(B411,BDREGISTROAPORTES2025[],5,FALSE)="165",0,"165")</f>
        <v>0</v>
      </c>
      <c r="E411" s="1">
        <f>IF(VLOOKUP(B411,BDREGISTROBTH2025[],5,FALSE)="100",0,"100")</f>
        <v>0</v>
      </c>
      <c r="F411" s="1">
        <f>VLOOKUP(B411,BDREGISTROASAMBLEA2025[],8,FALSE)</f>
        <v>0</v>
      </c>
      <c r="G411" s="1">
        <f>VLOOKUP(B411,BDREGISTROMINGA2025[],6,FALSE)</f>
        <v>0</v>
      </c>
      <c r="H411" s="1">
        <v>0</v>
      </c>
      <c r="I411" s="1">
        <v>0</v>
      </c>
      <c r="J411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412" spans="2:10" x14ac:dyDescent="0.3">
      <c r="B412" s="1">
        <f t="shared" si="6"/>
        <v>407</v>
      </c>
      <c r="C412" t="str">
        <f>IFERROR(VLOOKUP(BDOBLIGACIONES[[#This Row],[NROKARDEX]],BDPADRES[],8,FALSE),"Sin registrado")</f>
        <v>MARY LUZ CUCHALLO DURAN</v>
      </c>
      <c r="D412" s="1">
        <f>IF(VLOOKUP(B412,BDREGISTROAPORTES2025[],5,FALSE)="165",0,"165")</f>
        <v>0</v>
      </c>
      <c r="E412" s="1">
        <f>IF(VLOOKUP(B412,BDREGISTROBTH2025[],5,FALSE)="100",0,"100")</f>
        <v>0</v>
      </c>
      <c r="F412" s="1">
        <f>VLOOKUP(B412,BDREGISTROASAMBLEA2025[],8,FALSE)</f>
        <v>0</v>
      </c>
      <c r="G412" s="1">
        <f>VLOOKUP(B412,BDREGISTROMINGA2025[],6,FALSE)</f>
        <v>0</v>
      </c>
      <c r="H412" s="1">
        <v>0</v>
      </c>
      <c r="I412" s="1">
        <v>0</v>
      </c>
      <c r="J412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413" spans="2:10" x14ac:dyDescent="0.3">
      <c r="B413" s="1">
        <f t="shared" si="6"/>
        <v>408</v>
      </c>
      <c r="C413" t="str">
        <f>IFERROR(VLOOKUP(BDOBLIGACIONES[[#This Row],[NROKARDEX]],BDPADRES[],8,FALSE),"Sin registrado")</f>
        <v>RUBILINDA MORON CONTRERAS</v>
      </c>
      <c r="D413" s="1">
        <f>IF(VLOOKUP(B413,BDREGISTROAPORTES2025[],5,FALSE)="165",0,"165")</f>
        <v>0</v>
      </c>
      <c r="E413" s="1" t="str">
        <f>IF(VLOOKUP(B413,BDREGISTROBTH2025[],5,FALSE)="100",0,"100")</f>
        <v>100</v>
      </c>
      <c r="F413" s="1">
        <f>VLOOKUP(B413,BDREGISTROASAMBLEA2025[],8,FALSE)</f>
        <v>0</v>
      </c>
      <c r="G413" s="1">
        <f>VLOOKUP(B413,BDREGISTROMINGA2025[],6,FALSE)</f>
        <v>0</v>
      </c>
      <c r="H413" s="1">
        <v>0</v>
      </c>
      <c r="I413" s="1">
        <v>0</v>
      </c>
      <c r="J413" s="1">
        <f>BDOBLIGACIONES[[#This Row],[ASAMBLEA]]+BDOBLIGACIONES[[#This Row],[MINGA]]+BDOBLIGACIONES[[#This Row],[DELEGADOS]]+BDOBLIGACIONES[[#This Row],[CURSO]]+BDOBLIGACIONES[[#This Row],[APORTE]]+BDOBLIGACIONES[[#This Row],[BTH]]</f>
        <v>100</v>
      </c>
    </row>
    <row r="414" spans="2:10" x14ac:dyDescent="0.3">
      <c r="B414" s="1">
        <f t="shared" si="6"/>
        <v>409</v>
      </c>
      <c r="C414" t="str">
        <f>IFERROR(VLOOKUP(BDOBLIGACIONES[[#This Row],[NROKARDEX]],BDPADRES[],8,FALSE),"Sin registrado")</f>
        <v>TERESA FLORES CRUZ</v>
      </c>
      <c r="D414" s="1">
        <f>IF(VLOOKUP(B414,BDREGISTROAPORTES2025[],5,FALSE)="165",0,"165")</f>
        <v>0</v>
      </c>
      <c r="E414" s="1">
        <f>IF(VLOOKUP(B414,BDREGISTROBTH2025[],5,FALSE)="100",0,"100")</f>
        <v>0</v>
      </c>
      <c r="F414" s="1">
        <f>VLOOKUP(B414,BDREGISTROASAMBLEA2025[],8,FALSE)</f>
        <v>0</v>
      </c>
      <c r="G414" s="1">
        <f>VLOOKUP(B414,BDREGISTROMINGA2025[],6,FALSE)</f>
        <v>0</v>
      </c>
      <c r="H414" s="1">
        <v>0</v>
      </c>
      <c r="I414" s="1">
        <v>0</v>
      </c>
      <c r="J414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415" spans="2:10" x14ac:dyDescent="0.3">
      <c r="B415" s="1">
        <f t="shared" si="6"/>
        <v>410</v>
      </c>
      <c r="C415" t="str">
        <f>IFERROR(VLOOKUP(BDOBLIGACIONES[[#This Row],[NROKARDEX]],BDPADRES[],8,FALSE),"Sin registrado")</f>
        <v>RITA GONZALES FLORES</v>
      </c>
      <c r="D415" s="1">
        <f>IF(VLOOKUP(B415,BDREGISTROAPORTES2025[],5,FALSE)="165",0,"165")</f>
        <v>0</v>
      </c>
      <c r="E415" s="1">
        <f>IF(VLOOKUP(B415,BDREGISTROBTH2025[],5,FALSE)="100",0,"100")</f>
        <v>0</v>
      </c>
      <c r="F415" s="1">
        <f>VLOOKUP(B415,BDREGISTROASAMBLEA2025[],8,FALSE)</f>
        <v>0</v>
      </c>
      <c r="G415" s="1">
        <f>VLOOKUP(B415,BDREGISTROMINGA2025[],6,FALSE)</f>
        <v>0</v>
      </c>
      <c r="H415" s="1">
        <v>0</v>
      </c>
      <c r="I415" s="1">
        <v>0</v>
      </c>
      <c r="J415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416" spans="2:10" x14ac:dyDescent="0.3">
      <c r="B416" s="1">
        <f t="shared" si="6"/>
        <v>411</v>
      </c>
      <c r="C416" t="str">
        <f>IFERROR(VLOOKUP(BDOBLIGACIONES[[#This Row],[NROKARDEX]],BDPADRES[],8,FALSE),"Sin registrado")</f>
        <v>EDUVID OSINAGA NOVA</v>
      </c>
      <c r="D416" s="1">
        <f>IF(VLOOKUP(B416,BDREGISTROAPORTES2025[],5,FALSE)="165",0,"165")</f>
        <v>0</v>
      </c>
      <c r="E416" s="1" t="str">
        <f>IF(VLOOKUP(B416,BDREGISTROBTH2025[],5,FALSE)="100",0,"100")</f>
        <v>100</v>
      </c>
      <c r="F416" s="1">
        <f>VLOOKUP(B416,BDREGISTROASAMBLEA2025[],8,FALSE)</f>
        <v>0</v>
      </c>
      <c r="G416" s="1">
        <f>VLOOKUP(B416,BDREGISTROMINGA2025[],6,FALSE)</f>
        <v>0</v>
      </c>
      <c r="H416" s="1">
        <v>0</v>
      </c>
      <c r="I416" s="1">
        <v>0</v>
      </c>
      <c r="J416" s="1">
        <f>BDOBLIGACIONES[[#This Row],[ASAMBLEA]]+BDOBLIGACIONES[[#This Row],[MINGA]]+BDOBLIGACIONES[[#This Row],[DELEGADOS]]+BDOBLIGACIONES[[#This Row],[CURSO]]+BDOBLIGACIONES[[#This Row],[APORTE]]+BDOBLIGACIONES[[#This Row],[BTH]]</f>
        <v>100</v>
      </c>
    </row>
    <row r="417" spans="2:10" x14ac:dyDescent="0.3">
      <c r="B417" s="1">
        <f t="shared" si="6"/>
        <v>412</v>
      </c>
      <c r="C417" t="str">
        <f>IFERROR(VLOOKUP(BDOBLIGACIONES[[#This Row],[NROKARDEX]],BDPADRES[],8,FALSE),"Sin registrado")</f>
        <v>SANDRA JUANA FERNANDEZ CESPEDES</v>
      </c>
      <c r="D417" s="1">
        <f>IF(VLOOKUP(B417,BDREGISTROAPORTES2025[],5,FALSE)="165",0,"165")</f>
        <v>0</v>
      </c>
      <c r="E417" s="1" t="str">
        <f>IF(VLOOKUP(B417,BDREGISTROBTH2025[],5,FALSE)="100",0,"100")</f>
        <v>100</v>
      </c>
      <c r="F417" s="1">
        <f>VLOOKUP(B417,BDREGISTROASAMBLEA2025[],8,FALSE)</f>
        <v>0</v>
      </c>
      <c r="G417" s="1">
        <f>VLOOKUP(B417,BDREGISTROMINGA2025[],6,FALSE)</f>
        <v>0</v>
      </c>
      <c r="H417" s="1">
        <v>0</v>
      </c>
      <c r="I417" s="1">
        <v>0</v>
      </c>
      <c r="J417" s="1">
        <f>BDOBLIGACIONES[[#This Row],[ASAMBLEA]]+BDOBLIGACIONES[[#This Row],[MINGA]]+BDOBLIGACIONES[[#This Row],[DELEGADOS]]+BDOBLIGACIONES[[#This Row],[CURSO]]+BDOBLIGACIONES[[#This Row],[APORTE]]+BDOBLIGACIONES[[#This Row],[BTH]]</f>
        <v>100</v>
      </c>
    </row>
    <row r="418" spans="2:10" x14ac:dyDescent="0.3">
      <c r="B418" s="1">
        <f t="shared" si="6"/>
        <v>413</v>
      </c>
      <c r="C418" t="str">
        <f>IFERROR(VLOOKUP(BDOBLIGACIONES[[#This Row],[NROKARDEX]],BDPADRES[],8,FALSE),"Sin registrado")</f>
        <v>MARIA YANINE PRADO</v>
      </c>
      <c r="D418" s="1">
        <f>IF(VLOOKUP(B418,BDREGISTROAPORTES2025[],5,FALSE)="165",0,"165")</f>
        <v>0</v>
      </c>
      <c r="E418" s="1">
        <f>IF(VLOOKUP(B418,BDREGISTROBTH2025[],5,FALSE)="100",0,"100")</f>
        <v>0</v>
      </c>
      <c r="F418" s="1">
        <f>VLOOKUP(B418,BDREGISTROASAMBLEA2025[],8,FALSE)</f>
        <v>0</v>
      </c>
      <c r="G418" s="1">
        <f>VLOOKUP(B418,BDREGISTROMINGA2025[],6,FALSE)</f>
        <v>0</v>
      </c>
      <c r="H418" s="1">
        <v>0</v>
      </c>
      <c r="I418" s="1">
        <v>0</v>
      </c>
      <c r="J418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419" spans="2:10" x14ac:dyDescent="0.3">
      <c r="B419" s="1">
        <f t="shared" si="6"/>
        <v>414</v>
      </c>
      <c r="C419" t="str">
        <f>IFERROR(VLOOKUP(BDOBLIGACIONES[[#This Row],[NROKARDEX]],BDPADRES[],8,FALSE),"Sin registrado")</f>
        <v>MARIA NELA BARROZO ANGULO</v>
      </c>
      <c r="D419" s="1">
        <f>IF(VLOOKUP(B419,BDREGISTROAPORTES2025[],5,FALSE)="165",0,"165")</f>
        <v>0</v>
      </c>
      <c r="E419" s="1" t="str">
        <f>IF(VLOOKUP(B419,BDREGISTROBTH2025[],5,FALSE)="100",0,"100")</f>
        <v>100</v>
      </c>
      <c r="F419" s="1">
        <f>VLOOKUP(B419,BDREGISTROASAMBLEA2025[],8,FALSE)</f>
        <v>0</v>
      </c>
      <c r="G419" s="1">
        <f>VLOOKUP(B419,BDREGISTROMINGA2025[],6,FALSE)</f>
        <v>0</v>
      </c>
      <c r="H419" s="1">
        <v>0</v>
      </c>
      <c r="I419" s="1">
        <v>0</v>
      </c>
      <c r="J419" s="1">
        <f>BDOBLIGACIONES[[#This Row],[ASAMBLEA]]+BDOBLIGACIONES[[#This Row],[MINGA]]+BDOBLIGACIONES[[#This Row],[DELEGADOS]]+BDOBLIGACIONES[[#This Row],[CURSO]]+BDOBLIGACIONES[[#This Row],[APORTE]]+BDOBLIGACIONES[[#This Row],[BTH]]</f>
        <v>100</v>
      </c>
    </row>
    <row r="420" spans="2:10" x14ac:dyDescent="0.3">
      <c r="B420" s="1">
        <f t="shared" si="6"/>
        <v>415</v>
      </c>
      <c r="C420" t="str">
        <f>IFERROR(VLOOKUP(BDOBLIGACIONES[[#This Row],[NROKARDEX]],BDPADRES[],8,FALSE),"Sin registrado")</f>
        <v>CLAUDIA RAMIREZ CHOQUE</v>
      </c>
      <c r="D420" s="1">
        <f>IF(VLOOKUP(B420,BDREGISTROAPORTES2025[],5,FALSE)="165",0,"165")</f>
        <v>0</v>
      </c>
      <c r="E420" s="1">
        <f>IF(VLOOKUP(B420,BDREGISTROBTH2025[],5,FALSE)="100",0,"100")</f>
        <v>0</v>
      </c>
      <c r="F420" s="1">
        <f>VLOOKUP(B420,BDREGISTROASAMBLEA2025[],8,FALSE)</f>
        <v>0</v>
      </c>
      <c r="G420" s="1">
        <f>VLOOKUP(B420,BDREGISTROMINGA2025[],6,FALSE)</f>
        <v>0</v>
      </c>
      <c r="H420" s="1">
        <v>0</v>
      </c>
      <c r="I420" s="1">
        <v>0</v>
      </c>
      <c r="J420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421" spans="2:10" x14ac:dyDescent="0.3">
      <c r="B421" s="1">
        <f t="shared" si="6"/>
        <v>416</v>
      </c>
      <c r="C421" t="str">
        <f>IFERROR(VLOOKUP(BDOBLIGACIONES[[#This Row],[NROKARDEX]],BDPADRES[],8,FALSE),"Sin registrado")</f>
        <v>PAULITA ORTIZ MENDEZ</v>
      </c>
      <c r="D421" s="1">
        <f>IF(VLOOKUP(B421,BDREGISTROAPORTES2025[],5,FALSE)="165",0,"165")</f>
        <v>0</v>
      </c>
      <c r="E421" s="1" t="str">
        <f>IF(VLOOKUP(B421,BDREGISTROBTH2025[],5,FALSE)="100",0,"100")</f>
        <v>100</v>
      </c>
      <c r="F421" s="1">
        <f>VLOOKUP(B421,BDREGISTROASAMBLEA2025[],8,FALSE)</f>
        <v>0</v>
      </c>
      <c r="G421" s="1">
        <f>VLOOKUP(B421,BDREGISTROMINGA2025[],6,FALSE)</f>
        <v>0</v>
      </c>
      <c r="H421" s="1">
        <v>0</v>
      </c>
      <c r="I421" s="1">
        <v>0</v>
      </c>
      <c r="J421" s="1">
        <f>BDOBLIGACIONES[[#This Row],[ASAMBLEA]]+BDOBLIGACIONES[[#This Row],[MINGA]]+BDOBLIGACIONES[[#This Row],[DELEGADOS]]+BDOBLIGACIONES[[#This Row],[CURSO]]+BDOBLIGACIONES[[#This Row],[APORTE]]+BDOBLIGACIONES[[#This Row],[BTH]]</f>
        <v>100</v>
      </c>
    </row>
    <row r="422" spans="2:10" x14ac:dyDescent="0.3">
      <c r="B422" s="1">
        <f t="shared" si="6"/>
        <v>417</v>
      </c>
      <c r="C422" t="str">
        <f>IFERROR(VLOOKUP(BDOBLIGACIONES[[#This Row],[NROKARDEX]],BDPADRES[],8,FALSE),"Sin registrado")</f>
        <v>MARIA MAGDALENA FERNANDEZ ROJAS</v>
      </c>
      <c r="D422" s="1">
        <f>IF(VLOOKUP(B422,BDREGISTROAPORTES2025[],5,FALSE)="165",0,"165")</f>
        <v>0</v>
      </c>
      <c r="E422" s="1">
        <f>IF(VLOOKUP(B422,BDREGISTROBTH2025[],5,FALSE)="100",0,"100")</f>
        <v>0</v>
      </c>
      <c r="F422" s="1">
        <f>VLOOKUP(B422,BDREGISTROASAMBLEA2025[],8,FALSE)</f>
        <v>0</v>
      </c>
      <c r="G422" s="1">
        <f>VLOOKUP(B422,BDREGISTROMINGA2025[],6,FALSE)</f>
        <v>0</v>
      </c>
      <c r="H422" s="1">
        <v>0</v>
      </c>
      <c r="I422" s="1">
        <v>0</v>
      </c>
      <c r="J422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423" spans="2:10" x14ac:dyDescent="0.3">
      <c r="B423" s="1">
        <f t="shared" si="6"/>
        <v>418</v>
      </c>
      <c r="C423" t="str">
        <f>IFERROR(VLOOKUP(BDOBLIGACIONES[[#This Row],[NROKARDEX]],BDPADRES[],8,FALSE),"Sin registrado")</f>
        <v>TANIA MARCELA DELGADILLO RAMOS</v>
      </c>
      <c r="D423" s="1">
        <f>IF(VLOOKUP(B423,BDREGISTROAPORTES2025[],5,FALSE)="165",0,"165")</f>
        <v>0</v>
      </c>
      <c r="E423" s="1" t="str">
        <f>IF(VLOOKUP(B423,BDREGISTROBTH2025[],5,FALSE)="100",0,"100")</f>
        <v>100</v>
      </c>
      <c r="F423" s="1">
        <f>VLOOKUP(B423,BDREGISTROASAMBLEA2025[],8,FALSE)</f>
        <v>0</v>
      </c>
      <c r="G423" s="1">
        <f>VLOOKUP(B423,BDREGISTROMINGA2025[],6,FALSE)</f>
        <v>0</v>
      </c>
      <c r="H423" s="1">
        <v>0</v>
      </c>
      <c r="I423" s="1">
        <v>0</v>
      </c>
      <c r="J423" s="1">
        <f>BDOBLIGACIONES[[#This Row],[ASAMBLEA]]+BDOBLIGACIONES[[#This Row],[MINGA]]+BDOBLIGACIONES[[#This Row],[DELEGADOS]]+BDOBLIGACIONES[[#This Row],[CURSO]]+BDOBLIGACIONES[[#This Row],[APORTE]]+BDOBLIGACIONES[[#This Row],[BTH]]</f>
        <v>100</v>
      </c>
    </row>
    <row r="424" spans="2:10" x14ac:dyDescent="0.3">
      <c r="B424" s="1">
        <f t="shared" si="6"/>
        <v>419</v>
      </c>
      <c r="C424" t="str">
        <f>IFERROR(VLOOKUP(BDOBLIGACIONES[[#This Row],[NROKARDEX]],BDPADRES[],8,FALSE),"Sin registrado")</f>
        <v>CAROLITA GUZMAN GUZMAN</v>
      </c>
      <c r="D424" s="1">
        <f>IF(VLOOKUP(B424,BDREGISTROAPORTES2025[],5,FALSE)="165",0,"165")</f>
        <v>0</v>
      </c>
      <c r="E424" s="1" t="str">
        <f>IF(VLOOKUP(B424,BDREGISTROBTH2025[],5,FALSE)="100",0,"100")</f>
        <v>100</v>
      </c>
      <c r="F424" s="1">
        <f>VLOOKUP(B424,BDREGISTROASAMBLEA2025[],8,FALSE)</f>
        <v>0</v>
      </c>
      <c r="G424" s="1">
        <f>VLOOKUP(B424,BDREGISTROMINGA2025[],6,FALSE)</f>
        <v>0</v>
      </c>
      <c r="H424" s="1">
        <v>0</v>
      </c>
      <c r="I424" s="1">
        <v>0</v>
      </c>
      <c r="J424" s="1">
        <f>BDOBLIGACIONES[[#This Row],[ASAMBLEA]]+BDOBLIGACIONES[[#This Row],[MINGA]]+BDOBLIGACIONES[[#This Row],[DELEGADOS]]+BDOBLIGACIONES[[#This Row],[CURSO]]+BDOBLIGACIONES[[#This Row],[APORTE]]+BDOBLIGACIONES[[#This Row],[BTH]]</f>
        <v>100</v>
      </c>
    </row>
    <row r="425" spans="2:10" x14ac:dyDescent="0.3">
      <c r="B425" s="1">
        <f t="shared" si="6"/>
        <v>420</v>
      </c>
      <c r="C425" t="str">
        <f>IFERROR(VLOOKUP(BDOBLIGACIONES[[#This Row],[NROKARDEX]],BDPADRES[],8,FALSE),"Sin registrado")</f>
        <v>YULEIDY FERNANDEZ OSINAGA</v>
      </c>
      <c r="D425" s="1">
        <f>IF(VLOOKUP(B425,BDREGISTROAPORTES2025[],5,FALSE)="165",0,"165")</f>
        <v>0</v>
      </c>
      <c r="E425" s="1">
        <f>IF(VLOOKUP(B425,BDREGISTROBTH2025[],5,FALSE)="100",0,"100")</f>
        <v>0</v>
      </c>
      <c r="F425" s="1">
        <f>VLOOKUP(B425,BDREGISTROASAMBLEA2025[],8,FALSE)</f>
        <v>0</v>
      </c>
      <c r="G425" s="1">
        <f>VLOOKUP(B425,BDREGISTROMINGA2025[],6,FALSE)</f>
        <v>0</v>
      </c>
      <c r="H425" s="1">
        <v>0</v>
      </c>
      <c r="I425" s="1">
        <v>0</v>
      </c>
      <c r="J425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426" spans="2:10" x14ac:dyDescent="0.3">
      <c r="B426" s="1">
        <f t="shared" si="6"/>
        <v>421</v>
      </c>
      <c r="C426" t="str">
        <f>IFERROR(VLOOKUP(BDOBLIGACIONES[[#This Row],[NROKARDEX]],BDPADRES[],8,FALSE),"Sin registrado")</f>
        <v>NELIDA MARTINEZ PEREZ</v>
      </c>
      <c r="D426" s="1">
        <f>IF(VLOOKUP(B426,BDREGISTROAPORTES2025[],5,FALSE)="165",0,"165")</f>
        <v>0</v>
      </c>
      <c r="E426" s="1">
        <f>IF(VLOOKUP(B426,BDREGISTROBTH2025[],5,FALSE)="100",0,"100")</f>
        <v>0</v>
      </c>
      <c r="F426" s="1">
        <f>VLOOKUP(B426,BDREGISTROASAMBLEA2025[],8,FALSE)</f>
        <v>0</v>
      </c>
      <c r="G426" s="1">
        <f>VLOOKUP(B426,BDREGISTROMINGA2025[],6,FALSE)</f>
        <v>0</v>
      </c>
      <c r="H426" s="1">
        <v>0</v>
      </c>
      <c r="I426" s="1">
        <v>0</v>
      </c>
      <c r="J426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427" spans="2:10" x14ac:dyDescent="0.3">
      <c r="B427" s="1">
        <f t="shared" si="6"/>
        <v>422</v>
      </c>
      <c r="C427" t="str">
        <f>IFERROR(VLOOKUP(BDOBLIGACIONES[[#This Row],[NROKARDEX]],BDPADRES[],8,FALSE),"Sin registrado")</f>
        <v>ELFY MORALES MOSCOSO</v>
      </c>
      <c r="D427" s="1">
        <f>IF(VLOOKUP(B427,BDREGISTROAPORTES2025[],5,FALSE)="165",0,"165")</f>
        <v>0</v>
      </c>
      <c r="E427" s="1" t="str">
        <f>IF(VLOOKUP(B427,BDREGISTROBTH2025[],5,FALSE)="100",0,"100")</f>
        <v>100</v>
      </c>
      <c r="F427" s="1">
        <f>VLOOKUP(B427,BDREGISTROASAMBLEA2025[],8,FALSE)</f>
        <v>0</v>
      </c>
      <c r="G427" s="1">
        <f>VLOOKUP(B427,BDREGISTROMINGA2025[],6,FALSE)</f>
        <v>0</v>
      </c>
      <c r="H427" s="1">
        <v>0</v>
      </c>
      <c r="I427" s="1">
        <v>0</v>
      </c>
      <c r="J427" s="1">
        <f>BDOBLIGACIONES[[#This Row],[ASAMBLEA]]+BDOBLIGACIONES[[#This Row],[MINGA]]+BDOBLIGACIONES[[#This Row],[DELEGADOS]]+BDOBLIGACIONES[[#This Row],[CURSO]]+BDOBLIGACIONES[[#This Row],[APORTE]]+BDOBLIGACIONES[[#This Row],[BTH]]</f>
        <v>100</v>
      </c>
    </row>
    <row r="428" spans="2:10" x14ac:dyDescent="0.3">
      <c r="B428" s="1">
        <f t="shared" si="6"/>
        <v>423</v>
      </c>
      <c r="C428" t="str">
        <f>IFERROR(VLOOKUP(BDOBLIGACIONES[[#This Row],[NROKARDEX]],BDPADRES[],8,FALSE),"Sin registrado")</f>
        <v>SILVIA  CHOQUE ESPINOZA</v>
      </c>
      <c r="D428" s="1">
        <f>IF(VLOOKUP(B428,BDREGISTROAPORTES2025[],5,FALSE)="165",0,"165")</f>
        <v>0</v>
      </c>
      <c r="E428" s="1" t="str">
        <f>IF(VLOOKUP(B428,BDREGISTROBTH2025[],5,FALSE)="100",0,"100")</f>
        <v>100</v>
      </c>
      <c r="F428" s="1">
        <f>VLOOKUP(B428,BDREGISTROASAMBLEA2025[],8,FALSE)</f>
        <v>0</v>
      </c>
      <c r="G428" s="1">
        <f>VLOOKUP(B428,BDREGISTROMINGA2025[],6,FALSE)</f>
        <v>0</v>
      </c>
      <c r="H428" s="1">
        <v>0</v>
      </c>
      <c r="I428" s="1">
        <v>0</v>
      </c>
      <c r="J428" s="1">
        <f>BDOBLIGACIONES[[#This Row],[ASAMBLEA]]+BDOBLIGACIONES[[#This Row],[MINGA]]+BDOBLIGACIONES[[#This Row],[DELEGADOS]]+BDOBLIGACIONES[[#This Row],[CURSO]]+BDOBLIGACIONES[[#This Row],[APORTE]]+BDOBLIGACIONES[[#This Row],[BTH]]</f>
        <v>100</v>
      </c>
    </row>
    <row r="429" spans="2:10" x14ac:dyDescent="0.3">
      <c r="B429" s="1">
        <f t="shared" si="6"/>
        <v>424</v>
      </c>
      <c r="C429" s="8" t="str">
        <f>IFERROR(VLOOKUP(BDOBLIGACIONES[[#This Row],[NROKARDEX]],BDPADRES[],8,FALSE),"Sin registrado")</f>
        <v>Sin registrado</v>
      </c>
      <c r="D429" s="1" t="str">
        <f>IF(VLOOKUP(B429,BDREGISTROAPORTES2025[],5,FALSE)="165",0,"165")</f>
        <v>165</v>
      </c>
      <c r="E429" s="1" t="str">
        <f>IF(VLOOKUP(B429,BDREGISTROBTH2025[],5,FALSE)="100",0,"100")</f>
        <v>100</v>
      </c>
      <c r="F429" s="1">
        <f>VLOOKUP(B429,BDREGISTROASAMBLEA2025[],8,FALSE)</f>
        <v>0</v>
      </c>
      <c r="G429" s="1">
        <f>VLOOKUP(B429,BDREGISTROMINGA2025[],6,FALSE)</f>
        <v>0</v>
      </c>
      <c r="H429" s="1">
        <v>0</v>
      </c>
      <c r="I429" s="1">
        <v>0</v>
      </c>
      <c r="J429" s="1">
        <f>BDOBLIGACIONES[[#This Row],[ASAMBLEA]]+BDOBLIGACIONES[[#This Row],[MINGA]]+BDOBLIGACIONES[[#This Row],[DELEGADOS]]+BDOBLIGACIONES[[#This Row],[CURSO]]+BDOBLIGACIONES[[#This Row],[APORTE]]+BDOBLIGACIONES[[#This Row],[BTH]]</f>
        <v>265</v>
      </c>
    </row>
    <row r="430" spans="2:10" x14ac:dyDescent="0.3">
      <c r="B430" s="1">
        <f t="shared" si="6"/>
        <v>425</v>
      </c>
      <c r="C430" t="str">
        <f>IFERROR(VLOOKUP(BDOBLIGACIONES[[#This Row],[NROKARDEX]],BDPADRES[],8,FALSE),"Sin registrado")</f>
        <v>ALICIA MAMANI GARCIA</v>
      </c>
      <c r="D430" s="1">
        <f>IF(VLOOKUP(B430,BDREGISTROAPORTES2025[],5,FALSE)="165",0,"165")</f>
        <v>0</v>
      </c>
      <c r="E430" s="1" t="str">
        <f>IF(VLOOKUP(B430,BDREGISTROBTH2025[],5,FALSE)="100",0,"100")</f>
        <v>100</v>
      </c>
      <c r="F430" s="1">
        <f>VLOOKUP(B430,BDREGISTROASAMBLEA2025[],8,FALSE)</f>
        <v>0</v>
      </c>
      <c r="G430" s="1">
        <f>VLOOKUP(B430,BDREGISTROMINGA2025[],6,FALSE)</f>
        <v>0</v>
      </c>
      <c r="H430" s="1">
        <v>0</v>
      </c>
      <c r="I430" s="1">
        <v>0</v>
      </c>
      <c r="J430" s="1">
        <f>BDOBLIGACIONES[[#This Row],[ASAMBLEA]]+BDOBLIGACIONES[[#This Row],[MINGA]]+BDOBLIGACIONES[[#This Row],[DELEGADOS]]+BDOBLIGACIONES[[#This Row],[CURSO]]+BDOBLIGACIONES[[#This Row],[APORTE]]+BDOBLIGACIONES[[#This Row],[BTH]]</f>
        <v>100</v>
      </c>
    </row>
    <row r="431" spans="2:10" x14ac:dyDescent="0.3">
      <c r="B431" s="1">
        <f t="shared" si="6"/>
        <v>426</v>
      </c>
      <c r="C431" t="str">
        <f>IFERROR(VLOOKUP(BDOBLIGACIONES[[#This Row],[NROKARDEX]],BDPADRES[],8,FALSE),"Sin registrado")</f>
        <v>ELIANA CONDORI QUISPE</v>
      </c>
      <c r="D431" s="1">
        <f>IF(VLOOKUP(B431,BDREGISTROAPORTES2025[],5,FALSE)="165",0,"165")</f>
        <v>0</v>
      </c>
      <c r="E431" s="1" t="str">
        <f>IF(VLOOKUP(B431,BDREGISTROBTH2025[],5,FALSE)="100",0,"100")</f>
        <v>100</v>
      </c>
      <c r="F431" s="1">
        <f>VLOOKUP(B431,BDREGISTROASAMBLEA2025[],8,FALSE)</f>
        <v>0</v>
      </c>
      <c r="G431" s="1">
        <f>VLOOKUP(B431,BDREGISTROMINGA2025[],6,FALSE)</f>
        <v>0</v>
      </c>
      <c r="H431" s="1">
        <v>0</v>
      </c>
      <c r="I431" s="1">
        <v>0</v>
      </c>
      <c r="J431" s="1">
        <f>BDOBLIGACIONES[[#This Row],[ASAMBLEA]]+BDOBLIGACIONES[[#This Row],[MINGA]]+BDOBLIGACIONES[[#This Row],[DELEGADOS]]+BDOBLIGACIONES[[#This Row],[CURSO]]+BDOBLIGACIONES[[#This Row],[APORTE]]+BDOBLIGACIONES[[#This Row],[BTH]]</f>
        <v>100</v>
      </c>
    </row>
    <row r="432" spans="2:10" x14ac:dyDescent="0.3">
      <c r="B432" s="1">
        <f t="shared" si="6"/>
        <v>427</v>
      </c>
      <c r="C432" s="8" t="str">
        <f>IFERROR(VLOOKUP(BDOBLIGACIONES[[#This Row],[NROKARDEX]],BDPADRES[],8,FALSE),"Sin registrado")</f>
        <v>Sin registrado</v>
      </c>
      <c r="D432" s="1" t="str">
        <f>IF(VLOOKUP(B432,BDREGISTROAPORTES2025[],5,FALSE)="165",0,"165")</f>
        <v>165</v>
      </c>
      <c r="E432" s="1" t="str">
        <f>IF(VLOOKUP(B432,BDREGISTROBTH2025[],5,FALSE)="100",0,"100")</f>
        <v>100</v>
      </c>
      <c r="F432" s="1">
        <f>VLOOKUP(B432,BDREGISTROASAMBLEA2025[],8,FALSE)</f>
        <v>0</v>
      </c>
      <c r="G432" s="1">
        <f>VLOOKUP(B432,BDREGISTROMINGA2025[],6,FALSE)</f>
        <v>0</v>
      </c>
      <c r="H432" s="1">
        <v>0</v>
      </c>
      <c r="I432" s="1">
        <v>0</v>
      </c>
      <c r="J432" s="1">
        <f>BDOBLIGACIONES[[#This Row],[ASAMBLEA]]+BDOBLIGACIONES[[#This Row],[MINGA]]+BDOBLIGACIONES[[#This Row],[DELEGADOS]]+BDOBLIGACIONES[[#This Row],[CURSO]]+BDOBLIGACIONES[[#This Row],[APORTE]]+BDOBLIGACIONES[[#This Row],[BTH]]</f>
        <v>265</v>
      </c>
    </row>
    <row r="433" spans="2:10" x14ac:dyDescent="0.3">
      <c r="B433" s="1">
        <f t="shared" si="6"/>
        <v>428</v>
      </c>
      <c r="C433" t="str">
        <f>IFERROR(VLOOKUP(BDOBLIGACIONES[[#This Row],[NROKARDEX]],BDPADRES[],8,FALSE),"Sin registrado")</f>
        <v>VIVIANA RIVERA AVALOS</v>
      </c>
      <c r="D433" s="1">
        <f>IF(VLOOKUP(B433,BDREGISTROAPORTES2025[],5,FALSE)="165",0,"165")</f>
        <v>0</v>
      </c>
      <c r="E433" s="1">
        <f>IF(VLOOKUP(B433,BDREGISTROBTH2025[],5,FALSE)="100",0,"100")</f>
        <v>0</v>
      </c>
      <c r="F433" s="1">
        <f>VLOOKUP(B433,BDREGISTROASAMBLEA2025[],8,FALSE)</f>
        <v>0</v>
      </c>
      <c r="G433" s="1">
        <f>VLOOKUP(B433,BDREGISTROMINGA2025[],6,FALSE)</f>
        <v>0</v>
      </c>
      <c r="H433" s="1">
        <v>0</v>
      </c>
      <c r="I433" s="1">
        <v>0</v>
      </c>
      <c r="J433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434" spans="2:10" x14ac:dyDescent="0.3">
      <c r="B434" s="1">
        <f t="shared" si="6"/>
        <v>429</v>
      </c>
      <c r="C434" t="str">
        <f>IFERROR(VLOOKUP(BDOBLIGACIONES[[#This Row],[NROKARDEX]],BDPADRES[],8,FALSE),"Sin registrado")</f>
        <v>SALOME CASTRO PINTO</v>
      </c>
      <c r="D434" s="1">
        <f>IF(VLOOKUP(B434,BDREGISTROAPORTES2025[],5,FALSE)="165",0,"165")</f>
        <v>0</v>
      </c>
      <c r="E434" s="1" t="str">
        <f>IF(VLOOKUP(B434,BDREGISTROBTH2025[],5,FALSE)="100",0,"100")</f>
        <v>100</v>
      </c>
      <c r="F434" s="1">
        <f>VLOOKUP(B434,BDREGISTROASAMBLEA2025[],8,FALSE)</f>
        <v>0</v>
      </c>
      <c r="G434" s="1">
        <f>VLOOKUP(B434,BDREGISTROMINGA2025[],6,FALSE)</f>
        <v>0</v>
      </c>
      <c r="H434" s="1">
        <v>0</v>
      </c>
      <c r="I434" s="1">
        <v>0</v>
      </c>
      <c r="J434" s="1">
        <f>BDOBLIGACIONES[[#This Row],[ASAMBLEA]]+BDOBLIGACIONES[[#This Row],[MINGA]]+BDOBLIGACIONES[[#This Row],[DELEGADOS]]+BDOBLIGACIONES[[#This Row],[CURSO]]+BDOBLIGACIONES[[#This Row],[APORTE]]+BDOBLIGACIONES[[#This Row],[BTH]]</f>
        <v>100</v>
      </c>
    </row>
    <row r="435" spans="2:10" x14ac:dyDescent="0.3">
      <c r="B435" s="1">
        <f t="shared" si="6"/>
        <v>430</v>
      </c>
      <c r="C435" t="str">
        <f>IFERROR(VLOOKUP(BDOBLIGACIONES[[#This Row],[NROKARDEX]],BDPADRES[],8,FALSE),"Sin registrado")</f>
        <v>SANDRA MATURANO GARCIA</v>
      </c>
      <c r="D435" s="1">
        <f>IF(VLOOKUP(B435,BDREGISTROAPORTES2025[],5,FALSE)="165",0,"165")</f>
        <v>0</v>
      </c>
      <c r="E435" s="1">
        <f>IF(VLOOKUP(B435,BDREGISTROBTH2025[],5,FALSE)="100",0,"100")</f>
        <v>0</v>
      </c>
      <c r="F435" s="1">
        <f>VLOOKUP(B435,BDREGISTROASAMBLEA2025[],8,FALSE)</f>
        <v>0</v>
      </c>
      <c r="G435" s="1">
        <f>VLOOKUP(B435,BDREGISTROMINGA2025[],6,FALSE)</f>
        <v>0</v>
      </c>
      <c r="H435" s="1">
        <v>0</v>
      </c>
      <c r="I435" s="1">
        <v>0</v>
      </c>
      <c r="J435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436" spans="2:10" x14ac:dyDescent="0.3">
      <c r="B436" s="1">
        <f t="shared" si="6"/>
        <v>431</v>
      </c>
      <c r="C436" t="str">
        <f>IFERROR(VLOOKUP(BDOBLIGACIONES[[#This Row],[NROKARDEX]],BDPADRES[],8,FALSE),"Sin registrado")</f>
        <v>MARIBEL  ARROYO ESCOBAR</v>
      </c>
      <c r="D436" s="1">
        <f>IF(VLOOKUP(B436,BDREGISTROAPORTES2025[],5,FALSE)="165",0,"165")</f>
        <v>0</v>
      </c>
      <c r="E436" s="1">
        <f>IF(VLOOKUP(B436,BDREGISTROBTH2025[],5,FALSE)="100",0,"100")</f>
        <v>0</v>
      </c>
      <c r="F436" s="1">
        <f>VLOOKUP(B436,BDREGISTROASAMBLEA2025[],8,FALSE)</f>
        <v>0</v>
      </c>
      <c r="G436" s="1">
        <f>VLOOKUP(B436,BDREGISTROMINGA2025[],6,FALSE)</f>
        <v>0</v>
      </c>
      <c r="H436" s="1">
        <v>0</v>
      </c>
      <c r="I436" s="1">
        <v>0</v>
      </c>
      <c r="J436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437" spans="2:10" x14ac:dyDescent="0.3">
      <c r="B437" s="1">
        <f t="shared" si="6"/>
        <v>432</v>
      </c>
      <c r="C437" t="str">
        <f>IFERROR(VLOOKUP(BDOBLIGACIONES[[#This Row],[NROKARDEX]],BDPADRES[],8,FALSE),"Sin registrado")</f>
        <v>CONSUELO VANESA GARCIA ALVAREZ</v>
      </c>
      <c r="D437" s="1">
        <f>IF(VLOOKUP(B437,BDREGISTROAPORTES2025[],5,FALSE)="165",0,"165")</f>
        <v>0</v>
      </c>
      <c r="E437" s="1">
        <f>IF(VLOOKUP(B437,BDREGISTROBTH2025[],5,FALSE)="100",0,"100")</f>
        <v>0</v>
      </c>
      <c r="F437" s="1">
        <f>VLOOKUP(B437,BDREGISTROASAMBLEA2025[],8,FALSE)</f>
        <v>0</v>
      </c>
      <c r="G437" s="1">
        <f>VLOOKUP(B437,BDREGISTROMINGA2025[],6,FALSE)</f>
        <v>0</v>
      </c>
      <c r="H437" s="1">
        <v>0</v>
      </c>
      <c r="I437" s="1">
        <v>0</v>
      </c>
      <c r="J437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438" spans="2:10" x14ac:dyDescent="0.3">
      <c r="B438" s="1">
        <f t="shared" si="6"/>
        <v>433</v>
      </c>
      <c r="C438" t="str">
        <f>IFERROR(VLOOKUP(BDOBLIGACIONES[[#This Row],[NROKARDEX]],BDPADRES[],8,FALSE),"Sin registrado")</f>
        <v>ERCILIA PACHA ARCIBIA</v>
      </c>
      <c r="D438" s="1">
        <f>IF(VLOOKUP(B438,BDREGISTROAPORTES2025[],5,FALSE)="165",0,"165")</f>
        <v>0</v>
      </c>
      <c r="E438" s="1">
        <f>IF(VLOOKUP(B438,BDREGISTROBTH2025[],5,FALSE)="100",0,"100")</f>
        <v>0</v>
      </c>
      <c r="F438" s="1">
        <f>VLOOKUP(B438,BDREGISTROASAMBLEA2025[],8,FALSE)</f>
        <v>0</v>
      </c>
      <c r="G438" s="1">
        <f>VLOOKUP(B438,BDREGISTROMINGA2025[],6,FALSE)</f>
        <v>0</v>
      </c>
      <c r="H438" s="1">
        <v>0</v>
      </c>
      <c r="I438" s="1">
        <v>0</v>
      </c>
      <c r="J438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439" spans="2:10" x14ac:dyDescent="0.3">
      <c r="B439" s="1">
        <f t="shared" si="6"/>
        <v>434</v>
      </c>
      <c r="C439" t="str">
        <f>IFERROR(VLOOKUP(BDOBLIGACIONES[[#This Row],[NROKARDEX]],BDPADRES[],8,FALSE),"Sin registrado")</f>
        <v>IDE RODRIGUEZ LIZO</v>
      </c>
      <c r="D439" s="1">
        <f>IF(VLOOKUP(B439,BDREGISTROAPORTES2025[],5,FALSE)="165",0,"165")</f>
        <v>0</v>
      </c>
      <c r="E439" s="1">
        <f>IF(VLOOKUP(B439,BDREGISTROBTH2025[],5,FALSE)="100",0,"100")</f>
        <v>0</v>
      </c>
      <c r="F439" s="1">
        <f>VLOOKUP(B439,BDREGISTROASAMBLEA2025[],8,FALSE)</f>
        <v>0</v>
      </c>
      <c r="G439" s="1">
        <f>VLOOKUP(B439,BDREGISTROMINGA2025[],6,FALSE)</f>
        <v>0</v>
      </c>
      <c r="H439" s="1">
        <v>0</v>
      </c>
      <c r="I439" s="1">
        <v>0</v>
      </c>
      <c r="J439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440" spans="2:10" x14ac:dyDescent="0.3">
      <c r="B440" s="1">
        <f t="shared" si="6"/>
        <v>435</v>
      </c>
      <c r="C440" t="str">
        <f>IFERROR(VLOOKUP(BDOBLIGACIONES[[#This Row],[NROKARDEX]],BDPADRES[],8,FALSE),"Sin registrado")</f>
        <v>RUTH VIDAL</v>
      </c>
      <c r="D440" s="1">
        <f>IF(VLOOKUP(B440,BDREGISTROAPORTES2025[],5,FALSE)="165",0,"165")</f>
        <v>0</v>
      </c>
      <c r="E440" s="1">
        <f>IF(VLOOKUP(B440,BDREGISTROBTH2025[],5,FALSE)="100",0,"100")</f>
        <v>0</v>
      </c>
      <c r="F440" s="1">
        <f>VLOOKUP(B440,BDREGISTROASAMBLEA2025[],8,FALSE)</f>
        <v>0</v>
      </c>
      <c r="G440" s="1">
        <f>VLOOKUP(B440,BDREGISTROMINGA2025[],6,FALSE)</f>
        <v>0</v>
      </c>
      <c r="H440" s="1">
        <v>0</v>
      </c>
      <c r="I440" s="1">
        <v>0</v>
      </c>
      <c r="J440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441" spans="2:10" x14ac:dyDescent="0.3">
      <c r="B441" s="1">
        <f t="shared" si="6"/>
        <v>436</v>
      </c>
      <c r="C441" t="str">
        <f>IFERROR(VLOOKUP(BDOBLIGACIONES[[#This Row],[NROKARDEX]],BDPADRES[],8,FALSE),"Sin registrado")</f>
        <v>MARTHA HUISA ROMAN</v>
      </c>
      <c r="D441" s="1">
        <f>IF(VLOOKUP(B441,BDREGISTROAPORTES2025[],5,FALSE)="165",0,"165")</f>
        <v>0</v>
      </c>
      <c r="E441" s="1" t="str">
        <f>IF(VLOOKUP(B441,BDREGISTROBTH2025[],5,FALSE)="100",0,"100")</f>
        <v>100</v>
      </c>
      <c r="F441" s="1">
        <f>VLOOKUP(B441,BDREGISTROASAMBLEA2025[],8,FALSE)</f>
        <v>0</v>
      </c>
      <c r="G441" s="1">
        <f>VLOOKUP(B441,BDREGISTROMINGA2025[],6,FALSE)</f>
        <v>0</v>
      </c>
      <c r="H441" s="1">
        <v>0</v>
      </c>
      <c r="I441" s="1">
        <v>0</v>
      </c>
      <c r="J441" s="1">
        <f>BDOBLIGACIONES[[#This Row],[ASAMBLEA]]+BDOBLIGACIONES[[#This Row],[MINGA]]+BDOBLIGACIONES[[#This Row],[DELEGADOS]]+BDOBLIGACIONES[[#This Row],[CURSO]]+BDOBLIGACIONES[[#This Row],[APORTE]]+BDOBLIGACIONES[[#This Row],[BTH]]</f>
        <v>100</v>
      </c>
    </row>
    <row r="442" spans="2:10" x14ac:dyDescent="0.3">
      <c r="B442" s="1">
        <f t="shared" si="6"/>
        <v>437</v>
      </c>
      <c r="C442" t="str">
        <f>IFERROR(VLOOKUP(BDOBLIGACIONES[[#This Row],[NROKARDEX]],BDPADRES[],8,FALSE),"Sin registrado")</f>
        <v>SANTUSA MONCADA AMADOR</v>
      </c>
      <c r="D442" s="1">
        <f>IF(VLOOKUP(B442,BDREGISTROAPORTES2025[],5,FALSE)="165",0,"165")</f>
        <v>0</v>
      </c>
      <c r="E442" s="1">
        <f>IF(VLOOKUP(B442,BDREGISTROBTH2025[],5,FALSE)="100",0,"100")</f>
        <v>0</v>
      </c>
      <c r="F442" s="1">
        <f>VLOOKUP(B442,BDREGISTROASAMBLEA2025[],8,FALSE)</f>
        <v>0</v>
      </c>
      <c r="G442" s="1">
        <f>VLOOKUP(B442,BDREGISTROMINGA2025[],6,FALSE)</f>
        <v>0</v>
      </c>
      <c r="H442" s="1">
        <v>0</v>
      </c>
      <c r="I442" s="1">
        <v>0</v>
      </c>
      <c r="J442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443" spans="2:10" x14ac:dyDescent="0.3">
      <c r="B443" s="1">
        <f t="shared" si="6"/>
        <v>438</v>
      </c>
      <c r="C443" t="str">
        <f>IFERROR(VLOOKUP(BDOBLIGACIONES[[#This Row],[NROKARDEX]],BDPADRES[],8,FALSE),"Sin registrado")</f>
        <v>SABINA PADILLA ZENTENO</v>
      </c>
      <c r="D443" s="1">
        <f>IF(VLOOKUP(B443,BDREGISTROAPORTES2025[],5,FALSE)="165",0,"165")</f>
        <v>0</v>
      </c>
      <c r="E443" s="1" t="str">
        <f>IF(VLOOKUP(B443,BDREGISTROBTH2025[],5,FALSE)="100",0,"100")</f>
        <v>100</v>
      </c>
      <c r="F443" s="1">
        <f>VLOOKUP(B443,BDREGISTROASAMBLEA2025[],8,FALSE)</f>
        <v>0</v>
      </c>
      <c r="G443" s="1">
        <f>VLOOKUP(B443,BDREGISTROMINGA2025[],6,FALSE)</f>
        <v>0</v>
      </c>
      <c r="H443" s="1">
        <v>0</v>
      </c>
      <c r="I443" s="1">
        <v>0</v>
      </c>
      <c r="J443" s="1">
        <f>BDOBLIGACIONES[[#This Row],[ASAMBLEA]]+BDOBLIGACIONES[[#This Row],[MINGA]]+BDOBLIGACIONES[[#This Row],[DELEGADOS]]+BDOBLIGACIONES[[#This Row],[CURSO]]+BDOBLIGACIONES[[#This Row],[APORTE]]+BDOBLIGACIONES[[#This Row],[BTH]]</f>
        <v>100</v>
      </c>
    </row>
    <row r="444" spans="2:10" x14ac:dyDescent="0.3">
      <c r="B444" s="1">
        <f t="shared" si="6"/>
        <v>439</v>
      </c>
      <c r="C444" t="str">
        <f>IFERROR(VLOOKUP(BDOBLIGACIONES[[#This Row],[NROKARDEX]],BDPADRES[],8,FALSE),"Sin registrado")</f>
        <v>GIOVANA  MOREIRA VARGAS</v>
      </c>
      <c r="D444" s="1">
        <f>IF(VLOOKUP(B444,BDREGISTROAPORTES2025[],5,FALSE)="165",0,"165")</f>
        <v>0</v>
      </c>
      <c r="E444" s="1">
        <f>IF(VLOOKUP(B444,BDREGISTROBTH2025[],5,FALSE)="100",0,"100")</f>
        <v>0</v>
      </c>
      <c r="F444" s="1">
        <f>VLOOKUP(B444,BDREGISTROASAMBLEA2025[],8,FALSE)</f>
        <v>0</v>
      </c>
      <c r="G444" s="1">
        <f>VLOOKUP(B444,BDREGISTROMINGA2025[],6,FALSE)</f>
        <v>0</v>
      </c>
      <c r="H444" s="1">
        <v>0</v>
      </c>
      <c r="I444" s="1">
        <v>0</v>
      </c>
      <c r="J444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445" spans="2:10" x14ac:dyDescent="0.3">
      <c r="B445" s="1">
        <f t="shared" si="6"/>
        <v>440</v>
      </c>
      <c r="C445" t="str">
        <f>IFERROR(VLOOKUP(BDOBLIGACIONES[[#This Row],[NROKARDEX]],BDPADRES[],8,FALSE),"Sin registrado")</f>
        <v>GETHZY IVETH MAMANI FIGUEROA</v>
      </c>
      <c r="D445" s="1">
        <f>IF(VLOOKUP(B445,BDREGISTROAPORTES2025[],5,FALSE)="165",0,"165")</f>
        <v>0</v>
      </c>
      <c r="E445" s="1">
        <f>IF(VLOOKUP(B445,BDREGISTROBTH2025[],5,FALSE)="100",0,"100")</f>
        <v>0</v>
      </c>
      <c r="F445" s="1">
        <f>VLOOKUP(B445,BDREGISTROASAMBLEA2025[],8,FALSE)</f>
        <v>0</v>
      </c>
      <c r="G445" s="1">
        <f>VLOOKUP(B445,BDREGISTROMINGA2025[],6,FALSE)</f>
        <v>0</v>
      </c>
      <c r="H445" s="1">
        <v>0</v>
      </c>
      <c r="I445" s="1">
        <v>0</v>
      </c>
      <c r="J445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446" spans="2:10" x14ac:dyDescent="0.3">
      <c r="B446" s="1">
        <f t="shared" si="6"/>
        <v>441</v>
      </c>
      <c r="C446" t="str">
        <f>IFERROR(VLOOKUP(BDOBLIGACIONES[[#This Row],[NROKARDEX]],BDPADRES[],8,FALSE),"Sin registrado")</f>
        <v>DANIELA PEÑA PACHI</v>
      </c>
      <c r="D446" s="1">
        <f>IF(VLOOKUP(B446,BDREGISTROAPORTES2025[],5,FALSE)="165",0,"165")</f>
        <v>0</v>
      </c>
      <c r="E446" s="1">
        <f>IF(VLOOKUP(B446,BDREGISTROBTH2025[],5,FALSE)="100",0,"100")</f>
        <v>0</v>
      </c>
      <c r="F446" s="1">
        <f>VLOOKUP(B446,BDREGISTROASAMBLEA2025[],8,FALSE)</f>
        <v>0</v>
      </c>
      <c r="G446" s="1">
        <f>VLOOKUP(B446,BDREGISTROMINGA2025[],6,FALSE)</f>
        <v>0</v>
      </c>
      <c r="H446" s="1">
        <v>0</v>
      </c>
      <c r="I446" s="1">
        <v>0</v>
      </c>
      <c r="J446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447" spans="2:10" x14ac:dyDescent="0.3">
      <c r="B447" s="1">
        <f t="shared" si="6"/>
        <v>442</v>
      </c>
      <c r="C447" t="str">
        <f>IFERROR(VLOOKUP(BDOBLIGACIONES[[#This Row],[NROKARDEX]],BDPADRES[],8,FALSE),"Sin registrado")</f>
        <v>RILMA FIGUEROA HINOJOSA</v>
      </c>
      <c r="D447" s="1">
        <f>IF(VLOOKUP(B447,BDREGISTROAPORTES2025[],5,FALSE)="165",0,"165")</f>
        <v>0</v>
      </c>
      <c r="E447" s="1" t="str">
        <f>IF(VLOOKUP(B447,BDREGISTROBTH2025[],5,FALSE)="100",0,"100")</f>
        <v>100</v>
      </c>
      <c r="F447" s="1">
        <f>VLOOKUP(B447,BDREGISTROASAMBLEA2025[],8,FALSE)</f>
        <v>0</v>
      </c>
      <c r="G447" s="1">
        <f>VLOOKUP(B447,BDREGISTROMINGA2025[],6,FALSE)</f>
        <v>0</v>
      </c>
      <c r="H447" s="1">
        <v>0</v>
      </c>
      <c r="I447" s="1">
        <v>0</v>
      </c>
      <c r="J447" s="1">
        <f>BDOBLIGACIONES[[#This Row],[ASAMBLEA]]+BDOBLIGACIONES[[#This Row],[MINGA]]+BDOBLIGACIONES[[#This Row],[DELEGADOS]]+BDOBLIGACIONES[[#This Row],[CURSO]]+BDOBLIGACIONES[[#This Row],[APORTE]]+BDOBLIGACIONES[[#This Row],[BTH]]</f>
        <v>100</v>
      </c>
    </row>
    <row r="448" spans="2:10" x14ac:dyDescent="0.3">
      <c r="B448" s="1">
        <f t="shared" si="6"/>
        <v>443</v>
      </c>
      <c r="C448" t="str">
        <f>IFERROR(VLOOKUP(BDOBLIGACIONES[[#This Row],[NROKARDEX]],BDPADRES[],8,FALSE),"Sin registrado")</f>
        <v>KARINA CHURATA LAMAS</v>
      </c>
      <c r="D448" s="1">
        <f>IF(VLOOKUP(B448,BDREGISTROAPORTES2025[],5,FALSE)="165",0,"165")</f>
        <v>0</v>
      </c>
      <c r="E448" s="1">
        <f>IF(VLOOKUP(B448,BDREGISTROBTH2025[],5,FALSE)="100",0,"100")</f>
        <v>0</v>
      </c>
      <c r="F448" s="1">
        <f>VLOOKUP(B448,BDREGISTROASAMBLEA2025[],8,FALSE)</f>
        <v>0</v>
      </c>
      <c r="G448" s="1">
        <f>VLOOKUP(B448,BDREGISTROMINGA2025[],6,FALSE)</f>
        <v>0</v>
      </c>
      <c r="H448" s="1">
        <v>0</v>
      </c>
      <c r="I448" s="1">
        <v>0</v>
      </c>
      <c r="J448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449" spans="2:10" x14ac:dyDescent="0.3">
      <c r="B449" s="1">
        <f t="shared" si="6"/>
        <v>444</v>
      </c>
      <c r="C449" t="str">
        <f>IFERROR(VLOOKUP(BDOBLIGACIONES[[#This Row],[NROKARDEX]],BDPADRES[],8,FALSE),"Sin registrado")</f>
        <v>JAHEL  ROMERO ACHO</v>
      </c>
      <c r="D449" s="1">
        <f>IF(VLOOKUP(B449,BDREGISTROAPORTES2025[],5,FALSE)="165",0,"165")</f>
        <v>0</v>
      </c>
      <c r="E449" s="1">
        <f>IF(VLOOKUP(B449,BDREGISTROBTH2025[],5,FALSE)="100",0,"100")</f>
        <v>0</v>
      </c>
      <c r="F449" s="1">
        <f>VLOOKUP(B449,BDREGISTROASAMBLEA2025[],8,FALSE)</f>
        <v>0</v>
      </c>
      <c r="G449" s="1">
        <f>VLOOKUP(B449,BDREGISTROMINGA2025[],6,FALSE)</f>
        <v>0</v>
      </c>
      <c r="H449" s="1">
        <v>0</v>
      </c>
      <c r="I449" s="1">
        <v>0</v>
      </c>
      <c r="J449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450" spans="2:10" x14ac:dyDescent="0.3">
      <c r="B450" s="1">
        <f t="shared" si="6"/>
        <v>445</v>
      </c>
      <c r="C450" t="str">
        <f>IFERROR(VLOOKUP(BDOBLIGACIONES[[#This Row],[NROKARDEX]],BDPADRES[],8,FALSE),"Sin registrado")</f>
        <v>MARISOL CHAVARRIA SANCHEZ</v>
      </c>
      <c r="D450" s="1">
        <f>IF(VLOOKUP(B450,BDREGISTROAPORTES2025[],5,FALSE)="165",0,"165")</f>
        <v>0</v>
      </c>
      <c r="E450" s="1">
        <f>IF(VLOOKUP(B450,BDREGISTROBTH2025[],5,FALSE)="100",0,"100")</f>
        <v>0</v>
      </c>
      <c r="F450" s="1">
        <f>VLOOKUP(B450,BDREGISTROASAMBLEA2025[],8,FALSE)</f>
        <v>0</v>
      </c>
      <c r="G450" s="1">
        <f>VLOOKUP(B450,BDREGISTROMINGA2025[],6,FALSE)</f>
        <v>0</v>
      </c>
      <c r="H450" s="1">
        <v>0</v>
      </c>
      <c r="I450" s="1">
        <v>0</v>
      </c>
      <c r="J450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451" spans="2:10" x14ac:dyDescent="0.3">
      <c r="B451" s="1">
        <f t="shared" si="6"/>
        <v>446</v>
      </c>
      <c r="C451" t="str">
        <f>IFERROR(VLOOKUP(BDOBLIGACIONES[[#This Row],[NROKARDEX]],BDPADRES[],8,FALSE),"Sin registrado")</f>
        <v>JESIKA BONILLA GALVIZ</v>
      </c>
      <c r="D451" s="1" t="str">
        <f>IF(VLOOKUP(B451,BDREGISTROAPORTES2025[],5,FALSE)="165",0,"165")</f>
        <v>165</v>
      </c>
      <c r="E451" s="1">
        <f>IF(VLOOKUP(B451,BDREGISTROBTH2025[],5,FALSE)="100",0,"100")</f>
        <v>0</v>
      </c>
      <c r="F451" s="1">
        <f>VLOOKUP(B451,BDREGISTROASAMBLEA2025[],8,FALSE)</f>
        <v>0</v>
      </c>
      <c r="G451" s="1">
        <f>VLOOKUP(B451,BDREGISTROMINGA2025[],6,FALSE)</f>
        <v>0</v>
      </c>
      <c r="H451" s="1">
        <v>0</v>
      </c>
      <c r="I451" s="1">
        <v>0</v>
      </c>
      <c r="J451" s="1">
        <f>BDOBLIGACIONES[[#This Row],[ASAMBLEA]]+BDOBLIGACIONES[[#This Row],[MINGA]]+BDOBLIGACIONES[[#This Row],[DELEGADOS]]+BDOBLIGACIONES[[#This Row],[CURSO]]+BDOBLIGACIONES[[#This Row],[APORTE]]+BDOBLIGACIONES[[#This Row],[BTH]]</f>
        <v>165</v>
      </c>
    </row>
    <row r="452" spans="2:10" x14ac:dyDescent="0.3">
      <c r="B452" s="1">
        <f t="shared" si="6"/>
        <v>447</v>
      </c>
      <c r="C452" s="8" t="str">
        <f>IFERROR(VLOOKUP(BDOBLIGACIONES[[#This Row],[NROKARDEX]],BDPADRES[],8,FALSE),"Sin registrado")</f>
        <v>Sin registrado</v>
      </c>
      <c r="D452" s="1" t="str">
        <f>IF(VLOOKUP(B452,BDREGISTROAPORTES2025[],5,FALSE)="165",0,"165")</f>
        <v>165</v>
      </c>
      <c r="E452" s="1" t="str">
        <f>IF(VLOOKUP(B452,BDREGISTROBTH2025[],5,FALSE)="100",0,"100")</f>
        <v>100</v>
      </c>
      <c r="F452" s="1">
        <f>VLOOKUP(B452,BDREGISTROASAMBLEA2025[],8,FALSE)</f>
        <v>0</v>
      </c>
      <c r="G452" s="1">
        <f>VLOOKUP(B452,BDREGISTROMINGA2025[],6,FALSE)</f>
        <v>0</v>
      </c>
      <c r="H452" s="1">
        <v>0</v>
      </c>
      <c r="I452" s="1">
        <v>0</v>
      </c>
      <c r="J452" s="1">
        <f>BDOBLIGACIONES[[#This Row],[ASAMBLEA]]+BDOBLIGACIONES[[#This Row],[MINGA]]+BDOBLIGACIONES[[#This Row],[DELEGADOS]]+BDOBLIGACIONES[[#This Row],[CURSO]]+BDOBLIGACIONES[[#This Row],[APORTE]]+BDOBLIGACIONES[[#This Row],[BTH]]</f>
        <v>265</v>
      </c>
    </row>
    <row r="453" spans="2:10" x14ac:dyDescent="0.3">
      <c r="B453" s="1">
        <f t="shared" si="6"/>
        <v>448</v>
      </c>
      <c r="C453" s="8" t="str">
        <f>IFERROR(VLOOKUP(BDOBLIGACIONES[[#This Row],[NROKARDEX]],BDPADRES[],8,FALSE),"Sin registrado")</f>
        <v>Sin registrado</v>
      </c>
      <c r="D453" s="1" t="str">
        <f>IF(VLOOKUP(B453,BDREGISTROAPORTES2025[],5,FALSE)="165",0,"165")</f>
        <v>165</v>
      </c>
      <c r="E453" s="1" t="str">
        <f>IF(VLOOKUP(B453,BDREGISTROBTH2025[],5,FALSE)="100",0,"100")</f>
        <v>100</v>
      </c>
      <c r="F453" s="1">
        <f>VLOOKUP(B453,BDREGISTROASAMBLEA2025[],8,FALSE)</f>
        <v>0</v>
      </c>
      <c r="G453" s="1">
        <f>VLOOKUP(B453,BDREGISTROMINGA2025[],6,FALSE)</f>
        <v>0</v>
      </c>
      <c r="H453" s="1">
        <v>0</v>
      </c>
      <c r="I453" s="1">
        <v>0</v>
      </c>
      <c r="J453" s="1">
        <f>BDOBLIGACIONES[[#This Row],[ASAMBLEA]]+BDOBLIGACIONES[[#This Row],[MINGA]]+BDOBLIGACIONES[[#This Row],[DELEGADOS]]+BDOBLIGACIONES[[#This Row],[CURSO]]+BDOBLIGACIONES[[#This Row],[APORTE]]+BDOBLIGACIONES[[#This Row],[BTH]]</f>
        <v>265</v>
      </c>
    </row>
    <row r="454" spans="2:10" x14ac:dyDescent="0.3">
      <c r="B454" s="1">
        <f t="shared" si="6"/>
        <v>449</v>
      </c>
      <c r="C454" t="str">
        <f>IFERROR(VLOOKUP(BDOBLIGACIONES[[#This Row],[NROKARDEX]],BDPADRES[],8,FALSE),"Sin registrado")</f>
        <v>CINTHIA RODRIGUEZ MARISCAL</v>
      </c>
      <c r="D454" s="1">
        <f>IF(VLOOKUP(B454,BDREGISTROAPORTES2025[],5,FALSE)="165",0,"165")</f>
        <v>0</v>
      </c>
      <c r="E454" s="1" t="str">
        <f>IF(VLOOKUP(B454,BDREGISTROBTH2025[],5,FALSE)="100",0,"100")</f>
        <v>100</v>
      </c>
      <c r="F454" s="1">
        <f>VLOOKUP(B454,BDREGISTROASAMBLEA2025[],8,FALSE)</f>
        <v>0</v>
      </c>
      <c r="G454" s="1">
        <f>VLOOKUP(B454,BDREGISTROMINGA2025[],6,FALSE)</f>
        <v>0</v>
      </c>
      <c r="H454" s="1">
        <v>0</v>
      </c>
      <c r="I454" s="1">
        <v>0</v>
      </c>
      <c r="J454" s="1">
        <f>BDOBLIGACIONES[[#This Row],[ASAMBLEA]]+BDOBLIGACIONES[[#This Row],[MINGA]]+BDOBLIGACIONES[[#This Row],[DELEGADOS]]+BDOBLIGACIONES[[#This Row],[CURSO]]+BDOBLIGACIONES[[#This Row],[APORTE]]+BDOBLIGACIONES[[#This Row],[BTH]]</f>
        <v>100</v>
      </c>
    </row>
    <row r="455" spans="2:10" x14ac:dyDescent="0.3">
      <c r="B455" s="1">
        <f t="shared" si="6"/>
        <v>450</v>
      </c>
      <c r="C455" s="8" t="str">
        <f>IFERROR(VLOOKUP(BDOBLIGACIONES[[#This Row],[NROKARDEX]],BDPADRES[],8,FALSE),"Sin registrado")</f>
        <v>Sin registrado</v>
      </c>
      <c r="D455" s="1" t="str">
        <f>IF(VLOOKUP(B455,BDREGISTROAPORTES2025[],5,FALSE)="165",0,"165")</f>
        <v>165</v>
      </c>
      <c r="E455" s="1" t="str">
        <f>IF(VLOOKUP(B455,BDREGISTROBTH2025[],5,FALSE)="100",0,"100")</f>
        <v>100</v>
      </c>
      <c r="F455" s="1">
        <f>VLOOKUP(B455,BDREGISTROASAMBLEA2025[],8,FALSE)</f>
        <v>0</v>
      </c>
      <c r="G455" s="1">
        <f>VLOOKUP(B455,BDREGISTROMINGA2025[],6,FALSE)</f>
        <v>0</v>
      </c>
      <c r="H455" s="1">
        <v>0</v>
      </c>
      <c r="I455" s="1">
        <v>0</v>
      </c>
      <c r="J455" s="1">
        <f>BDOBLIGACIONES[[#This Row],[ASAMBLEA]]+BDOBLIGACIONES[[#This Row],[MINGA]]+BDOBLIGACIONES[[#This Row],[DELEGADOS]]+BDOBLIGACIONES[[#This Row],[CURSO]]+BDOBLIGACIONES[[#This Row],[APORTE]]+BDOBLIGACIONES[[#This Row],[BTH]]</f>
        <v>265</v>
      </c>
    </row>
    <row r="456" spans="2:10" x14ac:dyDescent="0.3">
      <c r="B456" s="1">
        <f t="shared" si="6"/>
        <v>451</v>
      </c>
      <c r="C456" s="8" t="str">
        <f>IFERROR(VLOOKUP(BDOBLIGACIONES[[#This Row],[NROKARDEX]],BDPADRES[],8,FALSE),"Sin registrado")</f>
        <v>Sin registrado</v>
      </c>
      <c r="D456" s="1" t="str">
        <f>IF(VLOOKUP(B456,BDREGISTROAPORTES2025[],5,FALSE)="165",0,"165")</f>
        <v>165</v>
      </c>
      <c r="E456" s="1" t="str">
        <f>IF(VLOOKUP(B456,BDREGISTROBTH2025[],5,FALSE)="100",0,"100")</f>
        <v>100</v>
      </c>
      <c r="F456" s="1">
        <f>VLOOKUP(B456,BDREGISTROASAMBLEA2025[],8,FALSE)</f>
        <v>0</v>
      </c>
      <c r="G456" s="1">
        <f>VLOOKUP(B456,BDREGISTROMINGA2025[],6,FALSE)</f>
        <v>0</v>
      </c>
      <c r="H456" s="1">
        <v>0</v>
      </c>
      <c r="I456" s="1">
        <v>0</v>
      </c>
      <c r="J456" s="1">
        <f>BDOBLIGACIONES[[#This Row],[ASAMBLEA]]+BDOBLIGACIONES[[#This Row],[MINGA]]+BDOBLIGACIONES[[#This Row],[DELEGADOS]]+BDOBLIGACIONES[[#This Row],[CURSO]]+BDOBLIGACIONES[[#This Row],[APORTE]]+BDOBLIGACIONES[[#This Row],[BTH]]</f>
        <v>265</v>
      </c>
    </row>
    <row r="457" spans="2:10" x14ac:dyDescent="0.3">
      <c r="B457" s="1">
        <f t="shared" ref="B457:B477" si="7">ROW(A452)</f>
        <v>452</v>
      </c>
      <c r="C457" t="str">
        <f>IFERROR(VLOOKUP(BDOBLIGACIONES[[#This Row],[NROKARDEX]],BDPADRES[],8,FALSE),"Sin registrado")</f>
        <v>LORENA RODRIGUEZ CAMACHO</v>
      </c>
      <c r="D457" s="1">
        <f>IF(VLOOKUP(B457,BDREGISTROAPORTES2025[],5,FALSE)="165",0,"165")</f>
        <v>0</v>
      </c>
      <c r="E457" s="1">
        <f>IF(VLOOKUP(B457,BDREGISTROBTH2025[],5,FALSE)="100",0,"100")</f>
        <v>0</v>
      </c>
      <c r="F457" s="1">
        <f>VLOOKUP(B457,BDREGISTROASAMBLEA2025[],8,FALSE)</f>
        <v>0</v>
      </c>
      <c r="G457" s="1">
        <f>VLOOKUP(B457,BDREGISTROMINGA2025[],6,FALSE)</f>
        <v>0</v>
      </c>
      <c r="H457" s="1">
        <v>0</v>
      </c>
      <c r="I457" s="1">
        <v>0</v>
      </c>
      <c r="J457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458" spans="2:10" x14ac:dyDescent="0.3">
      <c r="B458" s="1">
        <f t="shared" si="7"/>
        <v>453</v>
      </c>
      <c r="C458" s="8" t="str">
        <f>IFERROR(VLOOKUP(BDOBLIGACIONES[[#This Row],[NROKARDEX]],BDPADRES[],8,FALSE),"Sin registrado")</f>
        <v>Sin registrado</v>
      </c>
      <c r="D458" s="1" t="str">
        <f>IF(VLOOKUP(B458,BDREGISTROAPORTES2025[],5,FALSE)="165",0,"165")</f>
        <v>165</v>
      </c>
      <c r="E458" s="1" t="str">
        <f>IF(VLOOKUP(B458,BDREGISTROBTH2025[],5,FALSE)="100",0,"100")</f>
        <v>100</v>
      </c>
      <c r="F458" s="1">
        <f>VLOOKUP(B458,BDREGISTROASAMBLEA2025[],8,FALSE)</f>
        <v>0</v>
      </c>
      <c r="G458" s="1">
        <f>VLOOKUP(B458,BDREGISTROMINGA2025[],6,FALSE)</f>
        <v>0</v>
      </c>
      <c r="H458" s="1">
        <v>0</v>
      </c>
      <c r="I458" s="1">
        <v>0</v>
      </c>
      <c r="J458" s="1">
        <f>BDOBLIGACIONES[[#This Row],[ASAMBLEA]]+BDOBLIGACIONES[[#This Row],[MINGA]]+BDOBLIGACIONES[[#This Row],[DELEGADOS]]+BDOBLIGACIONES[[#This Row],[CURSO]]+BDOBLIGACIONES[[#This Row],[APORTE]]+BDOBLIGACIONES[[#This Row],[BTH]]</f>
        <v>265</v>
      </c>
    </row>
    <row r="459" spans="2:10" x14ac:dyDescent="0.3">
      <c r="B459" s="1">
        <f t="shared" si="7"/>
        <v>454</v>
      </c>
      <c r="C459" t="str">
        <f>IFERROR(VLOOKUP(BDOBLIGACIONES[[#This Row],[NROKARDEX]],BDPADRES[],8,FALSE),"Sin registrado")</f>
        <v>LOURDES ORIAS CALDERON</v>
      </c>
      <c r="D459" s="1">
        <f>IF(VLOOKUP(B459,BDREGISTROAPORTES2025[],5,FALSE)="165",0,"165")</f>
        <v>0</v>
      </c>
      <c r="E459" s="1">
        <f>IF(VLOOKUP(B459,BDREGISTROBTH2025[],5,FALSE)="100",0,"100")</f>
        <v>0</v>
      </c>
      <c r="F459" s="1">
        <f>VLOOKUP(B459,BDREGISTROASAMBLEA2025[],8,FALSE)</f>
        <v>0</v>
      </c>
      <c r="G459" s="1">
        <f>VLOOKUP(B459,BDREGISTROMINGA2025[],6,FALSE)</f>
        <v>0</v>
      </c>
      <c r="H459" s="1">
        <v>0</v>
      </c>
      <c r="I459" s="1">
        <v>0</v>
      </c>
      <c r="J459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460" spans="2:10" x14ac:dyDescent="0.3">
      <c r="B460" s="1">
        <f t="shared" si="7"/>
        <v>455</v>
      </c>
      <c r="C460" t="str">
        <f>IFERROR(VLOOKUP(BDOBLIGACIONES[[#This Row],[NROKARDEX]],BDPADRES[],8,FALSE),"Sin registrado")</f>
        <v>DAMIANA COLQUE QUISPE</v>
      </c>
      <c r="D460" s="1">
        <f>IF(VLOOKUP(B460,BDREGISTROAPORTES2025[],5,FALSE)="165",0,"165")</f>
        <v>0</v>
      </c>
      <c r="E460" s="1">
        <f>IF(VLOOKUP(B460,BDREGISTROBTH2025[],5,FALSE)="100",0,"100")</f>
        <v>0</v>
      </c>
      <c r="F460" s="1">
        <f>VLOOKUP(B460,BDREGISTROASAMBLEA2025[],8,FALSE)</f>
        <v>0</v>
      </c>
      <c r="G460" s="1">
        <f>VLOOKUP(B460,BDREGISTROMINGA2025[],6,FALSE)</f>
        <v>0</v>
      </c>
      <c r="H460" s="1">
        <v>0</v>
      </c>
      <c r="I460" s="1">
        <v>0</v>
      </c>
      <c r="J460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461" spans="2:10" x14ac:dyDescent="0.3">
      <c r="B461" s="1">
        <f t="shared" si="7"/>
        <v>456</v>
      </c>
      <c r="C461" s="8" t="str">
        <f>IFERROR(VLOOKUP(BDOBLIGACIONES[[#This Row],[NROKARDEX]],BDPADRES[],8,FALSE),"Sin registrado")</f>
        <v>Sin registrado</v>
      </c>
      <c r="D461" s="1" t="str">
        <f>IF(VLOOKUP(B461,BDREGISTROAPORTES2025[],5,FALSE)="165",0,"165")</f>
        <v>165</v>
      </c>
      <c r="E461" s="1" t="str">
        <f>IF(VLOOKUP(B461,BDREGISTROBTH2025[],5,FALSE)="100",0,"100")</f>
        <v>100</v>
      </c>
      <c r="F461" s="1">
        <f>VLOOKUP(B461,BDREGISTROASAMBLEA2025[],8,FALSE)</f>
        <v>0</v>
      </c>
      <c r="G461" s="1">
        <f>VLOOKUP(B461,BDREGISTROMINGA2025[],6,FALSE)</f>
        <v>0</v>
      </c>
      <c r="H461" s="1">
        <v>0</v>
      </c>
      <c r="I461" s="1">
        <v>0</v>
      </c>
      <c r="J461" s="1">
        <f>BDOBLIGACIONES[[#This Row],[ASAMBLEA]]+BDOBLIGACIONES[[#This Row],[MINGA]]+BDOBLIGACIONES[[#This Row],[DELEGADOS]]+BDOBLIGACIONES[[#This Row],[CURSO]]+BDOBLIGACIONES[[#This Row],[APORTE]]+BDOBLIGACIONES[[#This Row],[BTH]]</f>
        <v>265</v>
      </c>
    </row>
    <row r="462" spans="2:10" x14ac:dyDescent="0.3">
      <c r="B462" s="1">
        <f t="shared" si="7"/>
        <v>457</v>
      </c>
      <c r="C462" s="8" t="str">
        <f>IFERROR(VLOOKUP(BDOBLIGACIONES[[#This Row],[NROKARDEX]],BDPADRES[],8,FALSE),"Sin registrado")</f>
        <v>Sin registrado</v>
      </c>
      <c r="D462" s="1" t="str">
        <f>IF(VLOOKUP(B462,BDREGISTROAPORTES2025[],5,FALSE)="165",0,"165")</f>
        <v>165</v>
      </c>
      <c r="E462" s="1" t="str">
        <f>IF(VLOOKUP(B462,BDREGISTROBTH2025[],5,FALSE)="100",0,"100")</f>
        <v>100</v>
      </c>
      <c r="F462" s="1">
        <f>VLOOKUP(B462,BDREGISTROASAMBLEA2025[],8,FALSE)</f>
        <v>0</v>
      </c>
      <c r="G462" s="1">
        <f>VLOOKUP(B462,BDREGISTROMINGA2025[],6,FALSE)</f>
        <v>0</v>
      </c>
      <c r="H462" s="1">
        <v>0</v>
      </c>
      <c r="I462" s="1">
        <v>0</v>
      </c>
      <c r="J462" s="1">
        <f>BDOBLIGACIONES[[#This Row],[ASAMBLEA]]+BDOBLIGACIONES[[#This Row],[MINGA]]+BDOBLIGACIONES[[#This Row],[DELEGADOS]]+BDOBLIGACIONES[[#This Row],[CURSO]]+BDOBLIGACIONES[[#This Row],[APORTE]]+BDOBLIGACIONES[[#This Row],[BTH]]</f>
        <v>265</v>
      </c>
    </row>
    <row r="463" spans="2:10" x14ac:dyDescent="0.3">
      <c r="B463" s="1">
        <f t="shared" si="7"/>
        <v>458</v>
      </c>
      <c r="C463" s="8" t="str">
        <f>IFERROR(VLOOKUP(BDOBLIGACIONES[[#This Row],[NROKARDEX]],BDPADRES[],8,FALSE),"Sin registrado")</f>
        <v>Sin registrado</v>
      </c>
      <c r="D463" s="1" t="str">
        <f>IF(VLOOKUP(B463,BDREGISTROAPORTES2025[],5,FALSE)="165",0,"165")</f>
        <v>165</v>
      </c>
      <c r="E463" s="1" t="str">
        <f>IF(VLOOKUP(B463,BDREGISTROBTH2025[],5,FALSE)="100",0,"100")</f>
        <v>100</v>
      </c>
      <c r="F463" s="1">
        <f>VLOOKUP(B463,BDREGISTROASAMBLEA2025[],8,FALSE)</f>
        <v>0</v>
      </c>
      <c r="G463" s="1">
        <f>VLOOKUP(B463,BDREGISTROMINGA2025[],6,FALSE)</f>
        <v>0</v>
      </c>
      <c r="H463" s="1">
        <v>0</v>
      </c>
      <c r="I463" s="1">
        <v>0</v>
      </c>
      <c r="J463" s="1">
        <f>BDOBLIGACIONES[[#This Row],[ASAMBLEA]]+BDOBLIGACIONES[[#This Row],[MINGA]]+BDOBLIGACIONES[[#This Row],[DELEGADOS]]+BDOBLIGACIONES[[#This Row],[CURSO]]+BDOBLIGACIONES[[#This Row],[APORTE]]+BDOBLIGACIONES[[#This Row],[BTH]]</f>
        <v>265</v>
      </c>
    </row>
    <row r="464" spans="2:10" x14ac:dyDescent="0.3">
      <c r="B464" s="1">
        <f t="shared" si="7"/>
        <v>459</v>
      </c>
      <c r="C464" s="8" t="str">
        <f>IFERROR(VLOOKUP(BDOBLIGACIONES[[#This Row],[NROKARDEX]],BDPADRES[],8,FALSE),"Sin registrado")</f>
        <v>Sin registrado</v>
      </c>
      <c r="D464" s="1" t="str">
        <f>IF(VLOOKUP(B464,BDREGISTROAPORTES2025[],5,FALSE)="165",0,"165")</f>
        <v>165</v>
      </c>
      <c r="E464" s="1" t="str">
        <f>IF(VLOOKUP(B464,BDREGISTROBTH2025[],5,FALSE)="100",0,"100")</f>
        <v>100</v>
      </c>
      <c r="F464" s="1">
        <f>VLOOKUP(B464,BDREGISTROASAMBLEA2025[],8,FALSE)</f>
        <v>0</v>
      </c>
      <c r="G464" s="1">
        <f>VLOOKUP(B464,BDREGISTROMINGA2025[],6,FALSE)</f>
        <v>0</v>
      </c>
      <c r="H464" s="1">
        <v>0</v>
      </c>
      <c r="I464" s="1">
        <v>0</v>
      </c>
      <c r="J464" s="1">
        <f>BDOBLIGACIONES[[#This Row],[ASAMBLEA]]+BDOBLIGACIONES[[#This Row],[MINGA]]+BDOBLIGACIONES[[#This Row],[DELEGADOS]]+BDOBLIGACIONES[[#This Row],[CURSO]]+BDOBLIGACIONES[[#This Row],[APORTE]]+BDOBLIGACIONES[[#This Row],[BTH]]</f>
        <v>265</v>
      </c>
    </row>
    <row r="465" spans="2:10" x14ac:dyDescent="0.3">
      <c r="B465" s="1">
        <f t="shared" si="7"/>
        <v>460</v>
      </c>
      <c r="C465" s="8" t="str">
        <f>IFERROR(VLOOKUP(BDOBLIGACIONES[[#This Row],[NROKARDEX]],BDPADRES[],8,FALSE),"Sin registrado")</f>
        <v>Sin registrado</v>
      </c>
      <c r="D465" s="1" t="str">
        <f>IF(VLOOKUP(B465,BDREGISTROAPORTES2025[],5,FALSE)="165",0,"165")</f>
        <v>165</v>
      </c>
      <c r="E465" s="1" t="str">
        <f>IF(VLOOKUP(B465,BDREGISTROBTH2025[],5,FALSE)="100",0,"100")</f>
        <v>100</v>
      </c>
      <c r="F465" s="1">
        <f>VLOOKUP(B465,BDREGISTROASAMBLEA2025[],8,FALSE)</f>
        <v>0</v>
      </c>
      <c r="G465" s="1">
        <f>VLOOKUP(B465,BDREGISTROMINGA2025[],6,FALSE)</f>
        <v>0</v>
      </c>
      <c r="H465" s="1">
        <v>0</v>
      </c>
      <c r="I465" s="1">
        <v>0</v>
      </c>
      <c r="J465" s="1">
        <f>BDOBLIGACIONES[[#This Row],[ASAMBLEA]]+BDOBLIGACIONES[[#This Row],[MINGA]]+BDOBLIGACIONES[[#This Row],[DELEGADOS]]+BDOBLIGACIONES[[#This Row],[CURSO]]+BDOBLIGACIONES[[#This Row],[APORTE]]+BDOBLIGACIONES[[#This Row],[BTH]]</f>
        <v>265</v>
      </c>
    </row>
    <row r="466" spans="2:10" x14ac:dyDescent="0.3">
      <c r="B466" s="1">
        <f t="shared" si="7"/>
        <v>461</v>
      </c>
      <c r="C466" s="8" t="str">
        <f>IFERROR(VLOOKUP(BDOBLIGACIONES[[#This Row],[NROKARDEX]],BDPADRES[],8,FALSE),"Sin registrado")</f>
        <v>Sin registrado</v>
      </c>
      <c r="D466" s="1" t="str">
        <f>IF(VLOOKUP(B466,BDREGISTROAPORTES2025[],5,FALSE)="165",0,"165")</f>
        <v>165</v>
      </c>
      <c r="E466" s="1" t="str">
        <f>IF(VLOOKUP(B466,BDREGISTROBTH2025[],5,FALSE)="100",0,"100")</f>
        <v>100</v>
      </c>
      <c r="F466" s="1">
        <f>VLOOKUP(B466,BDREGISTROASAMBLEA2025[],8,FALSE)</f>
        <v>0</v>
      </c>
      <c r="G466" s="1">
        <f>VLOOKUP(B466,BDREGISTROMINGA2025[],6,FALSE)</f>
        <v>0</v>
      </c>
      <c r="H466" s="1">
        <v>0</v>
      </c>
      <c r="I466" s="1">
        <v>0</v>
      </c>
      <c r="J466" s="1">
        <f>BDOBLIGACIONES[[#This Row],[ASAMBLEA]]+BDOBLIGACIONES[[#This Row],[MINGA]]+BDOBLIGACIONES[[#This Row],[DELEGADOS]]+BDOBLIGACIONES[[#This Row],[CURSO]]+BDOBLIGACIONES[[#This Row],[APORTE]]+BDOBLIGACIONES[[#This Row],[BTH]]</f>
        <v>265</v>
      </c>
    </row>
    <row r="467" spans="2:10" x14ac:dyDescent="0.3">
      <c r="B467" s="1">
        <f t="shared" si="7"/>
        <v>462</v>
      </c>
      <c r="C467" s="8" t="str">
        <f>IFERROR(VLOOKUP(BDOBLIGACIONES[[#This Row],[NROKARDEX]],BDPADRES[],8,FALSE),"Sin registrado")</f>
        <v>Sin registrado</v>
      </c>
      <c r="D467" s="1" t="str">
        <f>IF(VLOOKUP(B467,BDREGISTROAPORTES2025[],5,FALSE)="165",0,"165")</f>
        <v>165</v>
      </c>
      <c r="E467" s="1" t="str">
        <f>IF(VLOOKUP(B467,BDREGISTROBTH2025[],5,FALSE)="100",0,"100")</f>
        <v>100</v>
      </c>
      <c r="F467" s="1">
        <f>VLOOKUP(B467,BDREGISTROASAMBLEA2025[],8,FALSE)</f>
        <v>0</v>
      </c>
      <c r="G467" s="1">
        <f>VLOOKUP(B467,BDREGISTROMINGA2025[],6,FALSE)</f>
        <v>0</v>
      </c>
      <c r="H467" s="1">
        <v>0</v>
      </c>
      <c r="I467" s="1">
        <v>0</v>
      </c>
      <c r="J467" s="1">
        <f>BDOBLIGACIONES[[#This Row],[ASAMBLEA]]+BDOBLIGACIONES[[#This Row],[MINGA]]+BDOBLIGACIONES[[#This Row],[DELEGADOS]]+BDOBLIGACIONES[[#This Row],[CURSO]]+BDOBLIGACIONES[[#This Row],[APORTE]]+BDOBLIGACIONES[[#This Row],[BTH]]</f>
        <v>265</v>
      </c>
    </row>
    <row r="468" spans="2:10" x14ac:dyDescent="0.3">
      <c r="B468" s="1">
        <f t="shared" si="7"/>
        <v>463</v>
      </c>
      <c r="C468" s="8" t="str">
        <f>IFERROR(VLOOKUP(BDOBLIGACIONES[[#This Row],[NROKARDEX]],BDPADRES[],8,FALSE),"Sin registrado")</f>
        <v>Sin registrado</v>
      </c>
      <c r="D468" s="1" t="str">
        <f>IF(VLOOKUP(B468,BDREGISTROAPORTES2025[],5,FALSE)="165",0,"165")</f>
        <v>165</v>
      </c>
      <c r="E468" s="1" t="str">
        <f>IF(VLOOKUP(B468,BDREGISTROBTH2025[],5,FALSE)="100",0,"100")</f>
        <v>100</v>
      </c>
      <c r="F468" s="1">
        <f>VLOOKUP(B468,BDREGISTROASAMBLEA2025[],8,FALSE)</f>
        <v>0</v>
      </c>
      <c r="G468" s="1">
        <f>VLOOKUP(B468,BDREGISTROMINGA2025[],6,FALSE)</f>
        <v>0</v>
      </c>
      <c r="H468" s="1">
        <v>0</v>
      </c>
      <c r="I468" s="1">
        <v>0</v>
      </c>
      <c r="J468" s="1">
        <f>BDOBLIGACIONES[[#This Row],[ASAMBLEA]]+BDOBLIGACIONES[[#This Row],[MINGA]]+BDOBLIGACIONES[[#This Row],[DELEGADOS]]+BDOBLIGACIONES[[#This Row],[CURSO]]+BDOBLIGACIONES[[#This Row],[APORTE]]+BDOBLIGACIONES[[#This Row],[BTH]]</f>
        <v>265</v>
      </c>
    </row>
    <row r="469" spans="2:10" x14ac:dyDescent="0.3">
      <c r="B469" s="1">
        <f t="shared" si="7"/>
        <v>464</v>
      </c>
      <c r="C469" s="8" t="str">
        <f>IFERROR(VLOOKUP(BDOBLIGACIONES[[#This Row],[NROKARDEX]],BDPADRES[],8,FALSE),"Sin registrado")</f>
        <v>Sin registrado</v>
      </c>
      <c r="D469" s="1" t="str">
        <f>IF(VLOOKUP(B469,BDREGISTROAPORTES2025[],5,FALSE)="165",0,"165")</f>
        <v>165</v>
      </c>
      <c r="E469" s="1" t="str">
        <f>IF(VLOOKUP(B469,BDREGISTROBTH2025[],5,FALSE)="100",0,"100")</f>
        <v>100</v>
      </c>
      <c r="F469" s="1">
        <f>VLOOKUP(B469,BDREGISTROASAMBLEA2025[],8,FALSE)</f>
        <v>0</v>
      </c>
      <c r="G469" s="1">
        <f>VLOOKUP(B469,BDREGISTROMINGA2025[],6,FALSE)</f>
        <v>0</v>
      </c>
      <c r="H469" s="1">
        <v>0</v>
      </c>
      <c r="I469" s="1">
        <v>0</v>
      </c>
      <c r="J469" s="1">
        <f>BDOBLIGACIONES[[#This Row],[ASAMBLEA]]+BDOBLIGACIONES[[#This Row],[MINGA]]+BDOBLIGACIONES[[#This Row],[DELEGADOS]]+BDOBLIGACIONES[[#This Row],[CURSO]]+BDOBLIGACIONES[[#This Row],[APORTE]]+BDOBLIGACIONES[[#This Row],[BTH]]</f>
        <v>265</v>
      </c>
    </row>
    <row r="470" spans="2:10" x14ac:dyDescent="0.3">
      <c r="B470" s="1">
        <f t="shared" si="7"/>
        <v>465</v>
      </c>
      <c r="C470" s="8" t="str">
        <f>IFERROR(VLOOKUP(BDOBLIGACIONES[[#This Row],[NROKARDEX]],BDPADRES[],8,FALSE),"Sin registrado")</f>
        <v>LINA SOLIS GARNICA</v>
      </c>
      <c r="D470" s="1" t="str">
        <f>IF(VLOOKUP(B470,BDREGISTROAPORTES2025[],5,FALSE)="165",0,"165")</f>
        <v>165</v>
      </c>
      <c r="E470" s="1" t="str">
        <f>IF(VLOOKUP(B470,BDREGISTROBTH2025[],5,FALSE)="100",0,"100")</f>
        <v>100</v>
      </c>
      <c r="F470" s="1">
        <f>VLOOKUP(B470,BDREGISTROASAMBLEA2025[],8,FALSE)</f>
        <v>0</v>
      </c>
      <c r="G470" s="1">
        <f>VLOOKUP(B470,BDREGISTROMINGA2025[],6,FALSE)</f>
        <v>0</v>
      </c>
      <c r="H470" s="1">
        <v>0</v>
      </c>
      <c r="I470" s="1">
        <v>0</v>
      </c>
      <c r="J470" s="1">
        <f>BDOBLIGACIONES[[#This Row],[ASAMBLEA]]+BDOBLIGACIONES[[#This Row],[MINGA]]+BDOBLIGACIONES[[#This Row],[DELEGADOS]]+BDOBLIGACIONES[[#This Row],[CURSO]]+BDOBLIGACIONES[[#This Row],[APORTE]]+BDOBLIGACIONES[[#This Row],[BTH]]</f>
        <v>265</v>
      </c>
    </row>
    <row r="471" spans="2:10" x14ac:dyDescent="0.3">
      <c r="B471" s="1">
        <f t="shared" si="7"/>
        <v>466</v>
      </c>
      <c r="C471" s="8" t="str">
        <f>IFERROR(VLOOKUP(BDOBLIGACIONES[[#This Row],[NROKARDEX]],BDPADRES[],8,FALSE),"Sin registrado")</f>
        <v>Sin registrado</v>
      </c>
      <c r="D471" s="1" t="str">
        <f>IF(VLOOKUP(B471,BDREGISTROAPORTES2025[],5,FALSE)="165",0,"165")</f>
        <v>165</v>
      </c>
      <c r="E471" s="1" t="str">
        <f>IF(VLOOKUP(B471,BDREGISTROBTH2025[],5,FALSE)="100",0,"100")</f>
        <v>100</v>
      </c>
      <c r="F471" s="1">
        <f>VLOOKUP(B471,BDREGISTROASAMBLEA2025[],8,FALSE)</f>
        <v>0</v>
      </c>
      <c r="G471" s="1">
        <f>VLOOKUP(B471,BDREGISTROMINGA2025[],6,FALSE)</f>
        <v>0</v>
      </c>
      <c r="H471" s="1">
        <v>0</v>
      </c>
      <c r="I471" s="1">
        <v>0</v>
      </c>
      <c r="J471" s="1">
        <f>BDOBLIGACIONES[[#This Row],[ASAMBLEA]]+BDOBLIGACIONES[[#This Row],[MINGA]]+BDOBLIGACIONES[[#This Row],[DELEGADOS]]+BDOBLIGACIONES[[#This Row],[CURSO]]+BDOBLIGACIONES[[#This Row],[APORTE]]+BDOBLIGACIONES[[#This Row],[BTH]]</f>
        <v>265</v>
      </c>
    </row>
    <row r="472" spans="2:10" x14ac:dyDescent="0.3">
      <c r="B472" s="1">
        <f t="shared" si="7"/>
        <v>467</v>
      </c>
      <c r="C472" s="8" t="str">
        <f>IFERROR(VLOOKUP(BDOBLIGACIONES[[#This Row],[NROKARDEX]],BDPADRES[],8,FALSE),"Sin registrado")</f>
        <v>Sin registrado</v>
      </c>
      <c r="D472" s="1" t="str">
        <f>IF(VLOOKUP(B472,BDREGISTROAPORTES2025[],5,FALSE)="165",0,"165")</f>
        <v>165</v>
      </c>
      <c r="E472" s="1" t="str">
        <f>IF(VLOOKUP(B472,BDREGISTROBTH2025[],5,FALSE)="100",0,"100")</f>
        <v>100</v>
      </c>
      <c r="F472" s="1">
        <f>VLOOKUP(B472,BDREGISTROASAMBLEA2025[],8,FALSE)</f>
        <v>0</v>
      </c>
      <c r="G472" s="1">
        <f>VLOOKUP(B472,BDREGISTROMINGA2025[],6,FALSE)</f>
        <v>0</v>
      </c>
      <c r="H472" s="1">
        <v>0</v>
      </c>
      <c r="I472" s="1">
        <v>0</v>
      </c>
      <c r="J472" s="1">
        <f>BDOBLIGACIONES[[#This Row],[ASAMBLEA]]+BDOBLIGACIONES[[#This Row],[MINGA]]+BDOBLIGACIONES[[#This Row],[DELEGADOS]]+BDOBLIGACIONES[[#This Row],[CURSO]]+BDOBLIGACIONES[[#This Row],[APORTE]]+BDOBLIGACIONES[[#This Row],[BTH]]</f>
        <v>265</v>
      </c>
    </row>
    <row r="473" spans="2:10" x14ac:dyDescent="0.3">
      <c r="B473" s="1">
        <f t="shared" si="7"/>
        <v>468</v>
      </c>
      <c r="C473" s="8" t="str">
        <f>IFERROR(VLOOKUP(BDOBLIGACIONES[[#This Row],[NROKARDEX]],BDPADRES[],8,FALSE),"Sin registrado")</f>
        <v>Sin registrado</v>
      </c>
      <c r="D473" s="1" t="str">
        <f>IF(VLOOKUP(B473,BDREGISTROAPORTES2025[],5,FALSE)="165",0,"165")</f>
        <v>165</v>
      </c>
      <c r="E473" s="1" t="str">
        <f>IF(VLOOKUP(B473,BDREGISTROBTH2025[],5,FALSE)="100",0,"100")</f>
        <v>100</v>
      </c>
      <c r="F473" s="1">
        <f>VLOOKUP(B473,BDREGISTROASAMBLEA2025[],8,FALSE)</f>
        <v>0</v>
      </c>
      <c r="G473" s="1">
        <f>VLOOKUP(B473,BDREGISTROMINGA2025[],6,FALSE)</f>
        <v>0</v>
      </c>
      <c r="H473" s="1">
        <v>0</v>
      </c>
      <c r="I473" s="1">
        <v>0</v>
      </c>
      <c r="J473" s="1">
        <f>BDOBLIGACIONES[[#This Row],[ASAMBLEA]]+BDOBLIGACIONES[[#This Row],[MINGA]]+BDOBLIGACIONES[[#This Row],[DELEGADOS]]+BDOBLIGACIONES[[#This Row],[CURSO]]+BDOBLIGACIONES[[#This Row],[APORTE]]+BDOBLIGACIONES[[#This Row],[BTH]]</f>
        <v>265</v>
      </c>
    </row>
    <row r="474" spans="2:10" x14ac:dyDescent="0.3">
      <c r="B474" s="1">
        <f t="shared" si="7"/>
        <v>469</v>
      </c>
      <c r="C474" s="8" t="str">
        <f>IFERROR(VLOOKUP(BDOBLIGACIONES[[#This Row],[NROKARDEX]],BDPADRES[],8,FALSE),"Sin registrado")</f>
        <v>Sin registrado</v>
      </c>
      <c r="D474" s="1" t="str">
        <f>IF(VLOOKUP(B474,BDREGISTROAPORTES2025[],5,FALSE)="165",0,"165")</f>
        <v>165</v>
      </c>
      <c r="E474" s="1" t="str">
        <f>IF(VLOOKUP(B474,BDREGISTROBTH2025[],5,FALSE)="100",0,"100")</f>
        <v>100</v>
      </c>
      <c r="F474" s="1">
        <f>VLOOKUP(B474,BDREGISTROASAMBLEA2025[],8,FALSE)</f>
        <v>0</v>
      </c>
      <c r="G474" s="1">
        <f>VLOOKUP(B474,BDREGISTROMINGA2025[],6,FALSE)</f>
        <v>0</v>
      </c>
      <c r="H474" s="1">
        <v>0</v>
      </c>
      <c r="I474" s="1">
        <v>0</v>
      </c>
      <c r="J474" s="1">
        <f>BDOBLIGACIONES[[#This Row],[ASAMBLEA]]+BDOBLIGACIONES[[#This Row],[MINGA]]+BDOBLIGACIONES[[#This Row],[DELEGADOS]]+BDOBLIGACIONES[[#This Row],[CURSO]]+BDOBLIGACIONES[[#This Row],[APORTE]]+BDOBLIGACIONES[[#This Row],[BTH]]</f>
        <v>265</v>
      </c>
    </row>
    <row r="475" spans="2:10" x14ac:dyDescent="0.3">
      <c r="B475" s="1">
        <f t="shared" si="7"/>
        <v>470</v>
      </c>
      <c r="C475" s="8" t="str">
        <f>IFERROR(VLOOKUP(BDOBLIGACIONES[[#This Row],[NROKARDEX]],BDPADRES[],8,FALSE),"Sin registrado")</f>
        <v>Sin registrado</v>
      </c>
      <c r="D475" s="1" t="str">
        <f>IF(VLOOKUP(B475,BDREGISTROAPORTES2025[],5,FALSE)="165",0,"165")</f>
        <v>165</v>
      </c>
      <c r="E475" s="1" t="str">
        <f>IF(VLOOKUP(B475,BDREGISTROBTH2025[],5,FALSE)="100",0,"100")</f>
        <v>100</v>
      </c>
      <c r="F475" s="1">
        <f>VLOOKUP(B475,BDREGISTROASAMBLEA2025[],8,FALSE)</f>
        <v>0</v>
      </c>
      <c r="G475" s="1">
        <f>VLOOKUP(B475,BDREGISTROMINGA2025[],6,FALSE)</f>
        <v>0</v>
      </c>
      <c r="H475" s="1">
        <v>0</v>
      </c>
      <c r="I475" s="1">
        <v>0</v>
      </c>
      <c r="J475" s="1">
        <f>BDOBLIGACIONES[[#This Row],[ASAMBLEA]]+BDOBLIGACIONES[[#This Row],[MINGA]]+BDOBLIGACIONES[[#This Row],[DELEGADOS]]+BDOBLIGACIONES[[#This Row],[CURSO]]+BDOBLIGACIONES[[#This Row],[APORTE]]+BDOBLIGACIONES[[#This Row],[BTH]]</f>
        <v>265</v>
      </c>
    </row>
    <row r="476" spans="2:10" x14ac:dyDescent="0.3">
      <c r="B476" s="1">
        <f t="shared" si="7"/>
        <v>471</v>
      </c>
      <c r="C476" s="8" t="str">
        <f>IFERROR(VLOOKUP(BDOBLIGACIONES[[#This Row],[NROKARDEX]],BDPADRES[],8,FALSE),"Sin registrado")</f>
        <v>Sin registrado</v>
      </c>
      <c r="D476" s="1" t="str">
        <f>IF(VLOOKUP(B476,BDREGISTROAPORTES2025[],5,FALSE)="165",0,"165")</f>
        <v>165</v>
      </c>
      <c r="E476" s="1" t="str">
        <f>IF(VLOOKUP(B476,BDREGISTROBTH2025[],5,FALSE)="100",0,"100")</f>
        <v>100</v>
      </c>
      <c r="F476" s="1">
        <f>VLOOKUP(B476,BDREGISTROASAMBLEA2025[],8,FALSE)</f>
        <v>0</v>
      </c>
      <c r="G476" s="1">
        <f>VLOOKUP(B476,BDREGISTROMINGA2025[],6,FALSE)</f>
        <v>0</v>
      </c>
      <c r="H476" s="1">
        <v>0</v>
      </c>
      <c r="I476" s="1">
        <v>0</v>
      </c>
      <c r="J476" s="1">
        <f>BDOBLIGACIONES[[#This Row],[ASAMBLEA]]+BDOBLIGACIONES[[#This Row],[MINGA]]+BDOBLIGACIONES[[#This Row],[DELEGADOS]]+BDOBLIGACIONES[[#This Row],[CURSO]]+BDOBLIGACIONES[[#This Row],[APORTE]]+BDOBLIGACIONES[[#This Row],[BTH]]</f>
        <v>265</v>
      </c>
    </row>
    <row r="477" spans="2:10" x14ac:dyDescent="0.3">
      <c r="B477" s="1">
        <f t="shared" si="7"/>
        <v>472</v>
      </c>
      <c r="C477" t="str">
        <f>IFERROR(VLOOKUP(BDOBLIGACIONES[[#This Row],[NROKARDEX]],BDPADRES[],8,FALSE),"Sin registrado")</f>
        <v>CATHIA ORTIZ CRUZ</v>
      </c>
      <c r="D477" s="1">
        <f>IF(VLOOKUP(B477,BDREGISTROAPORTES2025[],5,FALSE)="165",0,"165")</f>
        <v>0</v>
      </c>
      <c r="E477" s="1">
        <f>IF(VLOOKUP(B477,BDREGISTROBTH2025[],5,FALSE)="100",0,"100")</f>
        <v>0</v>
      </c>
      <c r="F477" s="1">
        <f>VLOOKUP(B477,BDREGISTROASAMBLEA2025[],8,FALSE)</f>
        <v>0</v>
      </c>
      <c r="G477" s="1">
        <f>VLOOKUP(B477,BDREGISTROMINGA2025[],6,FALSE)</f>
        <v>0</v>
      </c>
      <c r="H477" s="1">
        <v>0</v>
      </c>
      <c r="I477" s="1">
        <v>0</v>
      </c>
      <c r="J477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478" spans="2:10" x14ac:dyDescent="0.3">
      <c r="B478" s="1">
        <v>473</v>
      </c>
      <c r="C478" s="8" t="str">
        <f>IFERROR(VLOOKUP(BDOBLIGACIONES[[#This Row],[NROKARDEX]],BDPADRES[],8,FALSE),"Sin registrado")</f>
        <v>Sin registrado</v>
      </c>
      <c r="D478" s="1">
        <f>IF(VLOOKUP(B478,BDREGISTROAPORTES2025[],5,FALSE)="165",0,"165")</f>
        <v>0</v>
      </c>
      <c r="E478" s="1">
        <f>IF(VLOOKUP(B478,BDREGISTROBTH2025[],5,FALSE)="100",0,"100")</f>
        <v>0</v>
      </c>
      <c r="F478" s="1">
        <f>VLOOKUP(B478,BDREGISTROASAMBLEA2025[],8,FALSE)</f>
        <v>0</v>
      </c>
      <c r="G478" s="1">
        <f>VLOOKUP(B478,BDREGISTROMINGA2025[],6,FALSE)</f>
        <v>0</v>
      </c>
      <c r="H478" s="1">
        <v>0</v>
      </c>
      <c r="I478" s="1">
        <v>0</v>
      </c>
      <c r="J478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479" spans="2:10" x14ac:dyDescent="0.3">
      <c r="B479" s="1" t="s">
        <v>3114</v>
      </c>
      <c r="C479" t="str">
        <f>IFERROR(VLOOKUP(BDOBLIGACIONES[[#This Row],[NROKARDEX]],BDPADRES[],8,FALSE),"Sin registrado")</f>
        <v>ANA LUISA RIVERA MENESES</v>
      </c>
      <c r="D479" s="1" t="str">
        <f>IF(VLOOKUP(B479,BDREGISTROAPORTES2025[],5,FALSE)="165",0,"165")</f>
        <v>165</v>
      </c>
      <c r="E479" s="1" t="str">
        <f>IF(VLOOKUP(B479,BDREGISTROBTH2025[],5,FALSE)="100",0,"100")</f>
        <v>100</v>
      </c>
      <c r="F479" s="1">
        <f>VLOOKUP(B479,BDREGISTROASAMBLEA2025[],8,FALSE)</f>
        <v>0</v>
      </c>
      <c r="G479" s="1">
        <f>VLOOKUP(B479,BDREGISTROMINGA2025[],6,FALSE)</f>
        <v>0</v>
      </c>
      <c r="H479" s="1">
        <v>0</v>
      </c>
      <c r="I479" s="1">
        <v>0</v>
      </c>
      <c r="J479" s="1">
        <f>BDOBLIGACIONES[[#This Row],[ASAMBLEA]]+BDOBLIGACIONES[[#This Row],[MINGA]]+BDOBLIGACIONES[[#This Row],[DELEGADOS]]+BDOBLIGACIONES[[#This Row],[CURSO]]+BDOBLIGACIONES[[#This Row],[APORTE]]+BDOBLIGACIONES[[#This Row],[BTH]]</f>
        <v>265</v>
      </c>
    </row>
    <row r="480" spans="2:10" x14ac:dyDescent="0.3">
      <c r="B480" s="1" t="s">
        <v>3115</v>
      </c>
      <c r="C480" t="str">
        <f>IFERROR(VLOOKUP(BDOBLIGACIONES[[#This Row],[NROKARDEX]],BDPADRES[],8,FALSE),"Sin registrado")</f>
        <v>BETANIA SICPORO RODRIGUEZ</v>
      </c>
      <c r="D480" s="1" t="str">
        <f>IF(VLOOKUP(B480,BDREGISTROAPORTES2025[],5,FALSE)="165",0,"165")</f>
        <v>165</v>
      </c>
      <c r="E480" s="1" t="str">
        <f>IF(VLOOKUP(B480,BDREGISTROBTH2025[],5,FALSE)="100",0,"100")</f>
        <v>100</v>
      </c>
      <c r="F480" s="1">
        <f>VLOOKUP(B480,BDREGISTROASAMBLEA2025[],8,FALSE)</f>
        <v>0</v>
      </c>
      <c r="G480" s="1">
        <f>VLOOKUP(B480,BDREGISTROMINGA2025[],6,FALSE)</f>
        <v>0</v>
      </c>
      <c r="H480" s="1">
        <v>0</v>
      </c>
      <c r="I480" s="1">
        <v>0</v>
      </c>
      <c r="J480" s="1">
        <f>BDOBLIGACIONES[[#This Row],[ASAMBLEA]]+BDOBLIGACIONES[[#This Row],[MINGA]]+BDOBLIGACIONES[[#This Row],[DELEGADOS]]+BDOBLIGACIONES[[#This Row],[CURSO]]+BDOBLIGACIONES[[#This Row],[APORTE]]+BDOBLIGACIONES[[#This Row],[BTH]]</f>
        <v>265</v>
      </c>
    </row>
    <row r="481" spans="2:10" x14ac:dyDescent="0.3">
      <c r="B481" s="1" t="s">
        <v>3116</v>
      </c>
      <c r="C481" t="str">
        <f>IFERROR(VLOOKUP(BDOBLIGACIONES[[#This Row],[NROKARDEX]],BDPADRES[],8,FALSE),"Sin registrado")</f>
        <v>Sin registrado</v>
      </c>
      <c r="D481" s="1">
        <f>IF(VLOOKUP(B481,BDREGISTROAPORTES2025[],5,FALSE)="165",0,"165")</f>
        <v>0</v>
      </c>
      <c r="E481" s="1">
        <f>IF(VLOOKUP(B481,BDREGISTROBTH2025[],5,FALSE)="100",0,"100")</f>
        <v>0</v>
      </c>
      <c r="F481" s="1">
        <f>VLOOKUP(B481,BDREGISTROASAMBLEA2025[],8,FALSE)</f>
        <v>0</v>
      </c>
      <c r="G481" s="1">
        <f>VLOOKUP(B481,BDREGISTROMINGA2025[],6,FALSE)</f>
        <v>0</v>
      </c>
      <c r="H481" s="1">
        <v>0</v>
      </c>
      <c r="I481" s="1">
        <v>0</v>
      </c>
      <c r="J481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482" spans="2:10" x14ac:dyDescent="0.3">
      <c r="B482" s="1" t="s">
        <v>3117</v>
      </c>
      <c r="C482" t="str">
        <f>IFERROR(VLOOKUP(BDOBLIGACIONES[[#This Row],[NROKARDEX]],BDPADRES[],8,FALSE),"Sin registrado")</f>
        <v>Sin registrado</v>
      </c>
      <c r="D482" s="1">
        <f>IF(VLOOKUP(B482,BDREGISTROAPORTES2025[],5,FALSE)="165",0,"165")</f>
        <v>0</v>
      </c>
      <c r="E482" s="1">
        <f>IF(VLOOKUP(B482,BDREGISTROBTH2025[],5,FALSE)="100",0,"100")</f>
        <v>0</v>
      </c>
      <c r="F482" s="1">
        <f>VLOOKUP(B482,BDREGISTROASAMBLEA2025[],8,FALSE)</f>
        <v>0</v>
      </c>
      <c r="G482" s="1">
        <f>VLOOKUP(B482,BDREGISTROMINGA2025[],6,FALSE)</f>
        <v>0</v>
      </c>
      <c r="H482" s="1">
        <v>0</v>
      </c>
      <c r="I482" s="1">
        <v>0</v>
      </c>
      <c r="J482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483" spans="2:10" x14ac:dyDescent="0.3">
      <c r="B483" s="1" t="s">
        <v>3118</v>
      </c>
      <c r="C483" t="str">
        <f>IFERROR(VLOOKUP(BDOBLIGACIONES[[#This Row],[NROKARDEX]],BDPADRES[],8,FALSE),"Sin registrado")</f>
        <v>FIDELIA LAQUE RAMOS</v>
      </c>
      <c r="D483" s="1" t="str">
        <f>IF(VLOOKUP(B483,BDREGISTROAPORTES2025[],5,FALSE)="165",0,"165")</f>
        <v>165</v>
      </c>
      <c r="E483" s="1" t="str">
        <f>IF(VLOOKUP(B483,BDREGISTROBTH2025[],5,FALSE)="100",0,"100")</f>
        <v>100</v>
      </c>
      <c r="F483" s="1">
        <f>VLOOKUP(B483,BDREGISTROASAMBLEA2025[],8,FALSE)</f>
        <v>0</v>
      </c>
      <c r="G483" s="1">
        <f>VLOOKUP(B483,BDREGISTROMINGA2025[],6,FALSE)</f>
        <v>0</v>
      </c>
      <c r="H483" s="1">
        <v>0</v>
      </c>
      <c r="I483" s="1">
        <v>0</v>
      </c>
      <c r="J483" s="1">
        <f>BDOBLIGACIONES[[#This Row],[ASAMBLEA]]+BDOBLIGACIONES[[#This Row],[MINGA]]+BDOBLIGACIONES[[#This Row],[DELEGADOS]]+BDOBLIGACIONES[[#This Row],[CURSO]]+BDOBLIGACIONES[[#This Row],[APORTE]]+BDOBLIGACIONES[[#This Row],[BTH]]</f>
        <v>265</v>
      </c>
    </row>
    <row r="484" spans="2:10" x14ac:dyDescent="0.3">
      <c r="B484" s="1" t="s">
        <v>3119</v>
      </c>
      <c r="C484" t="str">
        <f>IFERROR(VLOOKUP(BDOBLIGACIONES[[#This Row],[NROKARDEX]],BDPADRES[],8,FALSE),"Sin registrado")</f>
        <v>MARINA USCAMAYTA CONDORI</v>
      </c>
      <c r="D484" s="1" t="str">
        <f>IF(VLOOKUP(B484,BDREGISTROAPORTES2025[],5,FALSE)="165",0,"165")</f>
        <v>165</v>
      </c>
      <c r="E484" s="1" t="str">
        <f>IF(VLOOKUP(B484,BDREGISTROBTH2025[],5,FALSE)="100",0,"100")</f>
        <v>100</v>
      </c>
      <c r="F484" s="1">
        <f>VLOOKUP(B484,BDREGISTROASAMBLEA2025[],8,FALSE)</f>
        <v>0</v>
      </c>
      <c r="G484" s="1">
        <f>VLOOKUP(B484,BDREGISTROMINGA2025[],6,FALSE)</f>
        <v>0</v>
      </c>
      <c r="H484" s="1">
        <v>0</v>
      </c>
      <c r="I484" s="1">
        <v>0</v>
      </c>
      <c r="J484" s="1">
        <f>BDOBLIGACIONES[[#This Row],[ASAMBLEA]]+BDOBLIGACIONES[[#This Row],[MINGA]]+BDOBLIGACIONES[[#This Row],[DELEGADOS]]+BDOBLIGACIONES[[#This Row],[CURSO]]+BDOBLIGACIONES[[#This Row],[APORTE]]+BDOBLIGACIONES[[#This Row],[BTH]]</f>
        <v>265</v>
      </c>
    </row>
    <row r="485" spans="2:10" x14ac:dyDescent="0.3">
      <c r="B485" s="1" t="s">
        <v>3120</v>
      </c>
      <c r="C485" t="str">
        <f>IFERROR(VLOOKUP(BDOBLIGACIONES[[#This Row],[NROKARDEX]],BDPADRES[],8,FALSE),"Sin registrado")</f>
        <v>PATRICIA SALVATIERRA JIMENEZ</v>
      </c>
      <c r="D485" s="1">
        <f>IF(VLOOKUP(B485,BDREGISTROAPORTES2025[],5,FALSE)="165",0,"165")</f>
        <v>0</v>
      </c>
      <c r="E485" s="1">
        <f>IF(VLOOKUP(B485,BDREGISTROBTH2025[],5,FALSE)="100",0,"100")</f>
        <v>0</v>
      </c>
      <c r="F485" s="1">
        <f>VLOOKUP(B485,BDREGISTROASAMBLEA2025[],8,FALSE)</f>
        <v>0</v>
      </c>
      <c r="G485" s="1">
        <f>VLOOKUP(B485,BDREGISTROMINGA2025[],6,FALSE)</f>
        <v>0</v>
      </c>
      <c r="H485" s="1">
        <v>0</v>
      </c>
      <c r="I485" s="1">
        <v>0</v>
      </c>
      <c r="J485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486" spans="2:10" x14ac:dyDescent="0.3">
      <c r="B486" s="1" t="s">
        <v>3121</v>
      </c>
      <c r="C486" t="str">
        <f>IFERROR(VLOOKUP(BDOBLIGACIONES[[#This Row],[NROKARDEX]],BDPADRES[],8,FALSE),"Sin registrado")</f>
        <v>MARIELA MAMANI ACHAYA</v>
      </c>
      <c r="D486" s="1">
        <f>IF(VLOOKUP(B486,BDREGISTROAPORTES2025[],5,FALSE)="165",0,"165")</f>
        <v>0</v>
      </c>
      <c r="E486" s="1">
        <f>IF(VLOOKUP(B486,BDREGISTROBTH2025[],5,FALSE)="100",0,"100")</f>
        <v>0</v>
      </c>
      <c r="F486" s="1">
        <f>VLOOKUP(B486,BDREGISTROASAMBLEA2025[],8,FALSE)</f>
        <v>0</v>
      </c>
      <c r="G486" s="1">
        <f>VLOOKUP(B486,BDREGISTROMINGA2025[],6,FALSE)</f>
        <v>0</v>
      </c>
      <c r="H486" s="1">
        <v>0</v>
      </c>
      <c r="I486" s="1">
        <v>0</v>
      </c>
      <c r="J486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487" spans="2:10" x14ac:dyDescent="0.3">
      <c r="B487" s="1" t="s">
        <v>3122</v>
      </c>
      <c r="C487" t="str">
        <f>IFERROR(VLOOKUP(BDOBLIGACIONES[[#This Row],[NROKARDEX]],BDPADRES[],8,FALSE),"Sin registrado")</f>
        <v>IVET BELTRAN GONZALES</v>
      </c>
      <c r="D487" s="1">
        <f>IF(VLOOKUP(B487,BDREGISTROAPORTES2025[],5,FALSE)="165",0,"165")</f>
        <v>0</v>
      </c>
      <c r="E487" s="1">
        <f>IF(VLOOKUP(B487,BDREGISTROBTH2025[],5,FALSE)="100",0,"100")</f>
        <v>0</v>
      </c>
      <c r="F487" s="1">
        <f>VLOOKUP(B487,BDREGISTROASAMBLEA2025[],8,FALSE)</f>
        <v>0</v>
      </c>
      <c r="G487" s="1">
        <f>VLOOKUP(B487,BDREGISTROMINGA2025[],6,FALSE)</f>
        <v>0</v>
      </c>
      <c r="H487" s="1">
        <v>0</v>
      </c>
      <c r="I487" s="1">
        <v>0</v>
      </c>
      <c r="J487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488" spans="2:10" x14ac:dyDescent="0.3">
      <c r="B488" s="1" t="s">
        <v>3123</v>
      </c>
      <c r="C488" t="str">
        <f>IFERROR(VLOOKUP(BDOBLIGACIONES[[#This Row],[NROKARDEX]],BDPADRES[],8,FALSE),"Sin registrado")</f>
        <v>LOURDES FERNANDEZ ORTIZ</v>
      </c>
      <c r="D488" s="1" t="str">
        <f>IF(VLOOKUP(B488,BDREGISTROAPORTES2025[],5,FALSE)="165",0,"165")</f>
        <v>165</v>
      </c>
      <c r="E488" s="1">
        <f>IF(VLOOKUP(B488,BDREGISTROBTH2025[],5,FALSE)="100",0,"100")</f>
        <v>0</v>
      </c>
      <c r="F488" s="1">
        <f>VLOOKUP(B488,BDREGISTROASAMBLEA2025[],8,FALSE)</f>
        <v>0</v>
      </c>
      <c r="G488" s="1">
        <f>VLOOKUP(B488,BDREGISTROMINGA2025[],6,FALSE)</f>
        <v>0</v>
      </c>
      <c r="H488" s="1">
        <v>0</v>
      </c>
      <c r="I488" s="1">
        <v>0</v>
      </c>
      <c r="J488" s="1">
        <f>BDOBLIGACIONES[[#This Row],[ASAMBLEA]]+BDOBLIGACIONES[[#This Row],[MINGA]]+BDOBLIGACIONES[[#This Row],[DELEGADOS]]+BDOBLIGACIONES[[#This Row],[CURSO]]+BDOBLIGACIONES[[#This Row],[APORTE]]+BDOBLIGACIONES[[#This Row],[BTH]]</f>
        <v>165</v>
      </c>
    </row>
    <row r="489" spans="2:10" x14ac:dyDescent="0.3">
      <c r="B489" s="1" t="s">
        <v>3124</v>
      </c>
      <c r="C489" t="str">
        <f>IFERROR(VLOOKUP(BDOBLIGACIONES[[#This Row],[NROKARDEX]],BDPADRES[],8,FALSE),"Sin registrado")</f>
        <v>DEYSY ROBLEDO AVALOS</v>
      </c>
      <c r="D489" s="1">
        <f>IF(VLOOKUP(B489,BDREGISTROAPORTES2025[],5,FALSE)="165",0,"165")</f>
        <v>0</v>
      </c>
      <c r="E489" s="1">
        <f>IF(VLOOKUP(B489,BDREGISTROBTH2025[],5,FALSE)="100",0,"100")</f>
        <v>0</v>
      </c>
      <c r="F489" s="1">
        <f>VLOOKUP(B489,BDREGISTROASAMBLEA2025[],8,FALSE)</f>
        <v>0</v>
      </c>
      <c r="G489" s="1">
        <f>VLOOKUP(B489,BDREGISTROMINGA2025[],6,FALSE)</f>
        <v>0</v>
      </c>
      <c r="H489" s="1">
        <v>0</v>
      </c>
      <c r="I489" s="1">
        <v>0</v>
      </c>
      <c r="J489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490" spans="2:10" x14ac:dyDescent="0.3">
      <c r="B490" s="1" t="s">
        <v>3125</v>
      </c>
      <c r="C490" t="str">
        <f>IFERROR(VLOOKUP(BDOBLIGACIONES[[#This Row],[NROKARDEX]],BDPADRES[],8,FALSE),"Sin registrado")</f>
        <v>MARIANA VACA NOVA</v>
      </c>
      <c r="D490" s="1">
        <f>IF(VLOOKUP(B490,BDREGISTROAPORTES2025[],5,FALSE)="165",0,"165")</f>
        <v>0</v>
      </c>
      <c r="E490" s="1">
        <f>IF(VLOOKUP(B490,BDREGISTROBTH2025[],5,FALSE)="100",0,"100")</f>
        <v>0</v>
      </c>
      <c r="F490" s="1">
        <f>VLOOKUP(B490,BDREGISTROASAMBLEA2025[],8,FALSE)</f>
        <v>0</v>
      </c>
      <c r="G490" s="1">
        <f>VLOOKUP(B490,BDREGISTROMINGA2025[],6,FALSE)</f>
        <v>0</v>
      </c>
      <c r="H490" s="1">
        <v>0</v>
      </c>
      <c r="I490" s="1">
        <v>0</v>
      </c>
      <c r="J490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491" spans="2:10" x14ac:dyDescent="0.3">
      <c r="B491" s="1" t="s">
        <v>3126</v>
      </c>
      <c r="C491" t="str">
        <f>IFERROR(VLOOKUP(BDOBLIGACIONES[[#This Row],[NROKARDEX]],BDPADRES[],8,FALSE),"Sin registrado")</f>
        <v>ADRIANA HUAILLA ORELLANA</v>
      </c>
      <c r="D491" s="1">
        <f>IF(VLOOKUP(B491,BDREGISTROAPORTES2025[],5,FALSE)="165",0,"165")</f>
        <v>0</v>
      </c>
      <c r="E491" s="1" t="str">
        <f>IF(VLOOKUP(B491,BDREGISTROBTH2025[],5,FALSE)="100",0,"100")</f>
        <v>100</v>
      </c>
      <c r="F491" s="1">
        <f>VLOOKUP(B491,BDREGISTROASAMBLEA2025[],8,FALSE)</f>
        <v>0</v>
      </c>
      <c r="G491" s="1">
        <f>VLOOKUP(B491,BDREGISTROMINGA2025[],6,FALSE)</f>
        <v>0</v>
      </c>
      <c r="H491" s="1">
        <v>0</v>
      </c>
      <c r="I491" s="1">
        <v>0</v>
      </c>
      <c r="J491" s="1">
        <f>BDOBLIGACIONES[[#This Row],[ASAMBLEA]]+BDOBLIGACIONES[[#This Row],[MINGA]]+BDOBLIGACIONES[[#This Row],[DELEGADOS]]+BDOBLIGACIONES[[#This Row],[CURSO]]+BDOBLIGACIONES[[#This Row],[APORTE]]+BDOBLIGACIONES[[#This Row],[BTH]]</f>
        <v>100</v>
      </c>
    </row>
    <row r="492" spans="2:10" x14ac:dyDescent="0.3">
      <c r="B492" s="1" t="s">
        <v>3127</v>
      </c>
      <c r="C492" t="str">
        <f>IFERROR(VLOOKUP(BDOBLIGACIONES[[#This Row],[NROKARDEX]],BDPADRES[],8,FALSE),"Sin registrado")</f>
        <v>MIRIAN MENDOZA RIVERA</v>
      </c>
      <c r="D492" s="1">
        <f>IF(VLOOKUP(B492,BDREGISTROAPORTES2025[],5,FALSE)="165",0,"165")</f>
        <v>0</v>
      </c>
      <c r="E492" s="1" t="str">
        <f>IF(VLOOKUP(B492,BDREGISTROBTH2025[],5,FALSE)="100",0,"100")</f>
        <v>100</v>
      </c>
      <c r="F492" s="1">
        <f>VLOOKUP(B492,BDREGISTROASAMBLEA2025[],8,FALSE)</f>
        <v>0</v>
      </c>
      <c r="G492" s="1">
        <f>VLOOKUP(B492,BDREGISTROMINGA2025[],6,FALSE)</f>
        <v>0</v>
      </c>
      <c r="H492" s="1">
        <v>0</v>
      </c>
      <c r="I492" s="1">
        <v>0</v>
      </c>
      <c r="J492" s="1">
        <f>BDOBLIGACIONES[[#This Row],[ASAMBLEA]]+BDOBLIGACIONES[[#This Row],[MINGA]]+BDOBLIGACIONES[[#This Row],[DELEGADOS]]+BDOBLIGACIONES[[#This Row],[CURSO]]+BDOBLIGACIONES[[#This Row],[APORTE]]+BDOBLIGACIONES[[#This Row],[BTH]]</f>
        <v>100</v>
      </c>
    </row>
    <row r="493" spans="2:10" x14ac:dyDescent="0.3">
      <c r="B493" s="1" t="s">
        <v>3128</v>
      </c>
      <c r="C493" t="str">
        <f>IFERROR(VLOOKUP(BDOBLIGACIONES[[#This Row],[NROKARDEX]],BDPADRES[],8,FALSE),"Sin registrado")</f>
        <v>HERMINIA QUEMAYA GARCIA</v>
      </c>
      <c r="D493" s="1">
        <f>IF(VLOOKUP(B493,BDREGISTROAPORTES2025[],5,FALSE)="165",0,"165")</f>
        <v>0</v>
      </c>
      <c r="E493" s="1">
        <f>IF(VLOOKUP(B493,BDREGISTROBTH2025[],5,FALSE)="100",0,"100")</f>
        <v>0</v>
      </c>
      <c r="F493" s="1">
        <f>VLOOKUP(B493,BDREGISTROASAMBLEA2025[],8,FALSE)</f>
        <v>0</v>
      </c>
      <c r="G493" s="1">
        <f>VLOOKUP(B493,BDREGISTROMINGA2025[],6,FALSE)</f>
        <v>0</v>
      </c>
      <c r="H493" s="1">
        <v>0</v>
      </c>
      <c r="I493" s="1">
        <v>0</v>
      </c>
      <c r="J493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494" spans="2:10" x14ac:dyDescent="0.3">
      <c r="B494" s="1" t="s">
        <v>3129</v>
      </c>
      <c r="C494" t="str">
        <f>IFERROR(VLOOKUP(BDOBLIGACIONES[[#This Row],[NROKARDEX]],BDPADRES[],8,FALSE),"Sin registrado")</f>
        <v>DELMA MERUBIA AVILA</v>
      </c>
      <c r="D494" s="1">
        <f>IF(VLOOKUP(B494,BDREGISTROAPORTES2025[],5,FALSE)="165",0,"165")</f>
        <v>0</v>
      </c>
      <c r="E494" s="1">
        <f>IF(VLOOKUP(B494,BDREGISTROBTH2025[],5,FALSE)="100",0,"100")</f>
        <v>0</v>
      </c>
      <c r="F494" s="1">
        <f>VLOOKUP(B494,BDREGISTROASAMBLEA2025[],8,FALSE)</f>
        <v>0</v>
      </c>
      <c r="G494" s="1">
        <f>VLOOKUP(B494,BDREGISTROMINGA2025[],6,FALSE)</f>
        <v>0</v>
      </c>
      <c r="H494" s="1">
        <v>0</v>
      </c>
      <c r="I494" s="1">
        <v>0</v>
      </c>
      <c r="J494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495" spans="2:10" x14ac:dyDescent="0.3">
      <c r="B495" s="1" t="s">
        <v>3130</v>
      </c>
      <c r="C495" t="str">
        <f>IFERROR(VLOOKUP(BDOBLIGACIONES[[#This Row],[NROKARDEX]],BDPADRES[],8,FALSE),"Sin registrado")</f>
        <v>YOVANA MARTINEZ ROMERO</v>
      </c>
      <c r="D495" s="1">
        <f>IF(VLOOKUP(B495,BDREGISTROAPORTES2025[],5,FALSE)="165",0,"165")</f>
        <v>0</v>
      </c>
      <c r="E495" s="1" t="str">
        <f>IF(VLOOKUP(B495,BDREGISTROBTH2025[],5,FALSE)="100",0,"100")</f>
        <v>100</v>
      </c>
      <c r="F495" s="1">
        <f>VLOOKUP(B495,BDREGISTROASAMBLEA2025[],8,FALSE)</f>
        <v>0</v>
      </c>
      <c r="G495" s="1">
        <f>VLOOKUP(B495,BDREGISTROMINGA2025[],6,FALSE)</f>
        <v>0</v>
      </c>
      <c r="H495" s="1">
        <v>0</v>
      </c>
      <c r="I495" s="1">
        <v>0</v>
      </c>
      <c r="J495" s="1">
        <f>BDOBLIGACIONES[[#This Row],[ASAMBLEA]]+BDOBLIGACIONES[[#This Row],[MINGA]]+BDOBLIGACIONES[[#This Row],[DELEGADOS]]+BDOBLIGACIONES[[#This Row],[CURSO]]+BDOBLIGACIONES[[#This Row],[APORTE]]+BDOBLIGACIONES[[#This Row],[BTH]]</f>
        <v>100</v>
      </c>
    </row>
    <row r="496" spans="2:10" x14ac:dyDescent="0.3">
      <c r="B496" s="1" t="s">
        <v>3131</v>
      </c>
      <c r="C496" t="str">
        <f>IFERROR(VLOOKUP(BDOBLIGACIONES[[#This Row],[NROKARDEX]],BDPADRES[],8,FALSE),"Sin registrado")</f>
        <v>Sin registrado</v>
      </c>
      <c r="D496" s="1">
        <f>IF(VLOOKUP(B496,BDREGISTROAPORTES2025[],5,FALSE)="165",0,"165")</f>
        <v>0</v>
      </c>
      <c r="E496" s="1">
        <f>IF(VLOOKUP(B496,BDREGISTROBTH2025[],5,FALSE)="100",0,"100")</f>
        <v>0</v>
      </c>
      <c r="F496" s="1">
        <f>VLOOKUP(B496,BDREGISTROASAMBLEA2025[],8,FALSE)</f>
        <v>0</v>
      </c>
      <c r="G496" s="1">
        <f>VLOOKUP(B496,BDREGISTROMINGA2025[],6,FALSE)</f>
        <v>0</v>
      </c>
      <c r="H496" s="1">
        <v>0</v>
      </c>
      <c r="I496" s="1">
        <v>0</v>
      </c>
      <c r="J496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497" spans="2:10" x14ac:dyDescent="0.3">
      <c r="B497" s="1" t="s">
        <v>3132</v>
      </c>
      <c r="C497" t="str">
        <f>IFERROR(VLOOKUP(BDOBLIGACIONES[[#This Row],[NROKARDEX]],BDPADRES[],8,FALSE),"Sin registrado")</f>
        <v>NORMA FLORES ABREGO</v>
      </c>
      <c r="D497" s="1">
        <f>IF(VLOOKUP(B497,BDREGISTROAPORTES2025[],5,FALSE)="165",0,"165")</f>
        <v>0</v>
      </c>
      <c r="E497" s="1">
        <f>IF(VLOOKUP(B497,BDREGISTROBTH2025[],5,FALSE)="100",0,"100")</f>
        <v>0</v>
      </c>
      <c r="F497" s="1">
        <f>VLOOKUP(B497,BDREGISTROASAMBLEA2025[],8,FALSE)</f>
        <v>0</v>
      </c>
      <c r="G497" s="1">
        <f>VLOOKUP(B497,BDREGISTROMINGA2025[],6,FALSE)</f>
        <v>0</v>
      </c>
      <c r="H497" s="1">
        <v>0</v>
      </c>
      <c r="I497" s="1">
        <v>0</v>
      </c>
      <c r="J497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498" spans="2:10" x14ac:dyDescent="0.3">
      <c r="B498" s="1" t="s">
        <v>3133</v>
      </c>
      <c r="C498" t="str">
        <f>IFERROR(VLOOKUP(BDOBLIGACIONES[[#This Row],[NROKARDEX]],BDPADRES[],8,FALSE),"Sin registrado")</f>
        <v>MARGARITA COIMBRA SOLIZ</v>
      </c>
      <c r="D498" s="1">
        <f>IF(VLOOKUP(B498,BDREGISTROAPORTES2025[],5,FALSE)="165",0,"165")</f>
        <v>0</v>
      </c>
      <c r="E498" s="1">
        <f>IF(VLOOKUP(B498,BDREGISTROBTH2025[],5,FALSE)="100",0,"100")</f>
        <v>0</v>
      </c>
      <c r="F498" s="1">
        <f>VLOOKUP(B498,BDREGISTROASAMBLEA2025[],8,FALSE)</f>
        <v>0</v>
      </c>
      <c r="G498" s="1">
        <f>VLOOKUP(B498,BDREGISTROMINGA2025[],6,FALSE)</f>
        <v>0</v>
      </c>
      <c r="H498" s="1">
        <v>0</v>
      </c>
      <c r="I498" s="1">
        <v>0</v>
      </c>
      <c r="J498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499" spans="2:10" x14ac:dyDescent="0.3">
      <c r="B499" s="1" t="s">
        <v>3134</v>
      </c>
      <c r="C499" t="str">
        <f>IFERROR(VLOOKUP(BDOBLIGACIONES[[#This Row],[NROKARDEX]],BDPADRES[],8,FALSE),"Sin registrado")</f>
        <v xml:space="preserve">NREG/NOMBRE PEREZ </v>
      </c>
      <c r="D499" s="1" t="str">
        <f>IF(VLOOKUP(B499,BDREGISTROAPORTES2025[],5,FALSE)="165",0,"165")</f>
        <v>165</v>
      </c>
      <c r="E499" s="1">
        <f>IF(VLOOKUP(B499,BDREGISTROBTH2025[],5,FALSE)="100",0,"100")</f>
        <v>0</v>
      </c>
      <c r="F499" s="1">
        <f>VLOOKUP(B499,BDREGISTROASAMBLEA2025[],8,FALSE)</f>
        <v>0</v>
      </c>
      <c r="G499" s="1">
        <f>VLOOKUP(B499,BDREGISTROMINGA2025[],6,FALSE)</f>
        <v>0</v>
      </c>
      <c r="H499" s="1">
        <v>0</v>
      </c>
      <c r="I499" s="1">
        <v>0</v>
      </c>
      <c r="J499" s="1">
        <f>BDOBLIGACIONES[[#This Row],[ASAMBLEA]]+BDOBLIGACIONES[[#This Row],[MINGA]]+BDOBLIGACIONES[[#This Row],[DELEGADOS]]+BDOBLIGACIONES[[#This Row],[CURSO]]+BDOBLIGACIONES[[#This Row],[APORTE]]+BDOBLIGACIONES[[#This Row],[BTH]]</f>
        <v>165</v>
      </c>
    </row>
    <row r="500" spans="2:10" x14ac:dyDescent="0.3">
      <c r="B500" s="1" t="s">
        <v>3135</v>
      </c>
      <c r="C500" t="str">
        <f>IFERROR(VLOOKUP(BDOBLIGACIONES[[#This Row],[NROKARDEX]],BDPADRES[],8,FALSE),"Sin registrado")</f>
        <v>CIERIDEY CEREZO GARCIA</v>
      </c>
      <c r="D500" s="1">
        <f>IF(VLOOKUP(B500,BDREGISTROAPORTES2025[],5,FALSE)="165",0,"165")</f>
        <v>0</v>
      </c>
      <c r="E500" s="1">
        <f>IF(VLOOKUP(B500,BDREGISTROBTH2025[],5,FALSE)="100",0,"100")</f>
        <v>0</v>
      </c>
      <c r="F500" s="1">
        <f>VLOOKUP(B500,BDREGISTROASAMBLEA2025[],8,FALSE)</f>
        <v>0</v>
      </c>
      <c r="G500" s="1">
        <f>VLOOKUP(B500,BDREGISTROMINGA2025[],6,FALSE)</f>
        <v>0</v>
      </c>
      <c r="H500" s="1">
        <v>0</v>
      </c>
      <c r="I500" s="1">
        <v>0</v>
      </c>
      <c r="J500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501" spans="2:10" x14ac:dyDescent="0.3">
      <c r="B501" s="1" t="s">
        <v>3136</v>
      </c>
      <c r="C501" t="str">
        <f>IFERROR(VLOOKUP(BDOBLIGACIONES[[#This Row],[NROKARDEX]],BDPADRES[],8,FALSE),"Sin registrado")</f>
        <v>CONSUELO MILENKA RAMOS VILLEGAS</v>
      </c>
      <c r="D501" s="1">
        <f>IF(VLOOKUP(B501,BDREGISTROAPORTES2025[],5,FALSE)="165",0,"165")</f>
        <v>0</v>
      </c>
      <c r="E501" s="1">
        <f>IF(VLOOKUP(B501,BDREGISTROBTH2025[],5,FALSE)="100",0,"100")</f>
        <v>0</v>
      </c>
      <c r="F501" s="1">
        <f>VLOOKUP(B501,BDREGISTROASAMBLEA2025[],8,FALSE)</f>
        <v>0</v>
      </c>
      <c r="G501" s="1">
        <f>VLOOKUP(B501,BDREGISTROMINGA2025[],6,FALSE)</f>
        <v>0</v>
      </c>
      <c r="H501" s="1">
        <v>0</v>
      </c>
      <c r="I501" s="1">
        <v>0</v>
      </c>
      <c r="J501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502" spans="2:10" x14ac:dyDescent="0.3">
      <c r="B502" s="1" t="s">
        <v>3137</v>
      </c>
      <c r="C502" t="str">
        <f>IFERROR(VLOOKUP(BDOBLIGACIONES[[#This Row],[NROKARDEX]],BDPADRES[],8,FALSE),"Sin registrado")</f>
        <v>NICOLAZA BONIFAZ ALVAREZ</v>
      </c>
      <c r="D502" s="1">
        <f>IF(VLOOKUP(B502,BDREGISTROAPORTES2025[],5,FALSE)="165",0,"165")</f>
        <v>0</v>
      </c>
      <c r="E502" s="1" t="str">
        <f>IF(VLOOKUP(B502,BDREGISTROBTH2025[],5,FALSE)="100",0,"100")</f>
        <v>100</v>
      </c>
      <c r="F502" s="1">
        <f>VLOOKUP(B502,BDREGISTROASAMBLEA2025[],8,FALSE)</f>
        <v>0</v>
      </c>
      <c r="G502" s="1">
        <f>VLOOKUP(B502,BDREGISTROMINGA2025[],6,FALSE)</f>
        <v>0</v>
      </c>
      <c r="H502" s="1">
        <v>0</v>
      </c>
      <c r="I502" s="1">
        <v>0</v>
      </c>
      <c r="J502" s="1">
        <f>BDOBLIGACIONES[[#This Row],[ASAMBLEA]]+BDOBLIGACIONES[[#This Row],[MINGA]]+BDOBLIGACIONES[[#This Row],[DELEGADOS]]+BDOBLIGACIONES[[#This Row],[CURSO]]+BDOBLIGACIONES[[#This Row],[APORTE]]+BDOBLIGACIONES[[#This Row],[BTH]]</f>
        <v>100</v>
      </c>
    </row>
    <row r="503" spans="2:10" x14ac:dyDescent="0.3">
      <c r="B503" s="1" t="s">
        <v>3138</v>
      </c>
      <c r="C503" t="str">
        <f>IFERROR(VLOOKUP(BDOBLIGACIONES[[#This Row],[NROKARDEX]],BDPADRES[],8,FALSE),"Sin registrado")</f>
        <v>MARIA CUELLAR MOSCOSO</v>
      </c>
      <c r="D503" s="1">
        <f>IF(VLOOKUP(B503,BDREGISTROAPORTES2025[],5,FALSE)="165",0,"165")</f>
        <v>0</v>
      </c>
      <c r="E503" s="1">
        <f>IF(VLOOKUP(B503,BDREGISTROBTH2025[],5,FALSE)="100",0,"100")</f>
        <v>0</v>
      </c>
      <c r="F503" s="1">
        <f>VLOOKUP(B503,BDREGISTROASAMBLEA2025[],8,FALSE)</f>
        <v>0</v>
      </c>
      <c r="G503" s="1">
        <f>VLOOKUP(B503,BDREGISTROMINGA2025[],6,FALSE)</f>
        <v>0</v>
      </c>
      <c r="H503" s="1">
        <v>0</v>
      </c>
      <c r="I503" s="1">
        <v>0</v>
      </c>
      <c r="J503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504" spans="2:10" x14ac:dyDescent="0.3">
      <c r="B504" s="1" t="s">
        <v>3139</v>
      </c>
      <c r="C504" t="str">
        <f>IFERROR(VLOOKUP(BDOBLIGACIONES[[#This Row],[NROKARDEX]],BDPADRES[],8,FALSE),"Sin registrado")</f>
        <v>PATRICIA CLAUDIA SERRANO BANEGAS</v>
      </c>
      <c r="D504" s="1">
        <f>IF(VLOOKUP(B504,BDREGISTROAPORTES2025[],5,FALSE)="165",0,"165")</f>
        <v>0</v>
      </c>
      <c r="E504" s="1" t="str">
        <f>IF(VLOOKUP(B504,BDREGISTROBTH2025[],5,FALSE)="100",0,"100")</f>
        <v>100</v>
      </c>
      <c r="F504" s="1">
        <f>VLOOKUP(B504,BDREGISTROASAMBLEA2025[],8,FALSE)</f>
        <v>0</v>
      </c>
      <c r="G504" s="1">
        <f>VLOOKUP(B504,BDREGISTROMINGA2025[],6,FALSE)</f>
        <v>0</v>
      </c>
      <c r="H504" s="1">
        <v>0</v>
      </c>
      <c r="I504" s="1">
        <v>0</v>
      </c>
      <c r="J504" s="1">
        <f>BDOBLIGACIONES[[#This Row],[ASAMBLEA]]+BDOBLIGACIONES[[#This Row],[MINGA]]+BDOBLIGACIONES[[#This Row],[DELEGADOS]]+BDOBLIGACIONES[[#This Row],[CURSO]]+BDOBLIGACIONES[[#This Row],[APORTE]]+BDOBLIGACIONES[[#This Row],[BTH]]</f>
        <v>100</v>
      </c>
    </row>
    <row r="505" spans="2:10" x14ac:dyDescent="0.3">
      <c r="B505" s="1" t="s">
        <v>3140</v>
      </c>
      <c r="C505" t="str">
        <f>IFERROR(VLOOKUP(BDOBLIGACIONES[[#This Row],[NROKARDEX]],BDPADRES[],8,FALSE),"Sin registrado")</f>
        <v>ISABELA CONDORI PATZI</v>
      </c>
      <c r="D505" s="1">
        <f>IF(VLOOKUP(B505,BDREGISTROAPORTES2025[],5,FALSE)="165",0,"165")</f>
        <v>0</v>
      </c>
      <c r="E505" s="1" t="str">
        <f>IF(VLOOKUP(B505,BDREGISTROBTH2025[],5,FALSE)="100",0,"100")</f>
        <v>100</v>
      </c>
      <c r="F505" s="1">
        <f>VLOOKUP(B505,BDREGISTROASAMBLEA2025[],8,FALSE)</f>
        <v>0</v>
      </c>
      <c r="G505" s="1">
        <f>VLOOKUP(B505,BDREGISTROMINGA2025[],6,FALSE)</f>
        <v>0</v>
      </c>
      <c r="H505" s="1">
        <v>0</v>
      </c>
      <c r="I505" s="1">
        <v>0</v>
      </c>
      <c r="J505" s="1">
        <f>BDOBLIGACIONES[[#This Row],[ASAMBLEA]]+BDOBLIGACIONES[[#This Row],[MINGA]]+BDOBLIGACIONES[[#This Row],[DELEGADOS]]+BDOBLIGACIONES[[#This Row],[CURSO]]+BDOBLIGACIONES[[#This Row],[APORTE]]+BDOBLIGACIONES[[#This Row],[BTH]]</f>
        <v>100</v>
      </c>
    </row>
    <row r="506" spans="2:10" x14ac:dyDescent="0.3">
      <c r="B506" s="1" t="s">
        <v>3141</v>
      </c>
      <c r="C506" t="str">
        <f>IFERROR(VLOOKUP(BDOBLIGACIONES[[#This Row],[NROKARDEX]],BDPADRES[],8,FALSE),"Sin registrado")</f>
        <v>YANIRA  CARVALHO ESCOBAR</v>
      </c>
      <c r="D506" s="1" t="str">
        <f>IF(VLOOKUP(B506,BDREGISTROAPORTES2025[],5,FALSE)="165",0,"165")</f>
        <v>165</v>
      </c>
      <c r="E506" s="1" t="str">
        <f>IF(VLOOKUP(B506,BDREGISTROBTH2025[],5,FALSE)="100",0,"100")</f>
        <v>100</v>
      </c>
      <c r="F506" s="1">
        <f>VLOOKUP(B506,BDREGISTROASAMBLEA2025[],8,FALSE)</f>
        <v>0</v>
      </c>
      <c r="G506" s="1">
        <f>VLOOKUP(B506,BDREGISTROMINGA2025[],6,FALSE)</f>
        <v>0</v>
      </c>
      <c r="H506" s="1">
        <v>0</v>
      </c>
      <c r="I506" s="1">
        <v>0</v>
      </c>
      <c r="J506" s="1">
        <f>BDOBLIGACIONES[[#This Row],[ASAMBLEA]]+BDOBLIGACIONES[[#This Row],[MINGA]]+BDOBLIGACIONES[[#This Row],[DELEGADOS]]+BDOBLIGACIONES[[#This Row],[CURSO]]+BDOBLIGACIONES[[#This Row],[APORTE]]+BDOBLIGACIONES[[#This Row],[BTH]]</f>
        <v>265</v>
      </c>
    </row>
    <row r="507" spans="2:10" x14ac:dyDescent="0.3">
      <c r="B507" s="1" t="s">
        <v>3142</v>
      </c>
      <c r="C507" t="str">
        <f>IFERROR(VLOOKUP(BDOBLIGACIONES[[#This Row],[NROKARDEX]],BDPADRES[],8,FALSE),"Sin registrado")</f>
        <v>CRISTINA  CRUZ OYOLA</v>
      </c>
      <c r="D507" s="1">
        <f>IF(VLOOKUP(B507,BDREGISTROAPORTES2025[],5,FALSE)="165",0,"165")</f>
        <v>0</v>
      </c>
      <c r="E507" s="1">
        <f>IF(VLOOKUP(B507,BDREGISTROBTH2025[],5,FALSE)="100",0,"100")</f>
        <v>0</v>
      </c>
      <c r="F507" s="1">
        <f>VLOOKUP(B507,BDREGISTROASAMBLEA2025[],8,FALSE)</f>
        <v>0</v>
      </c>
      <c r="G507" s="1">
        <f>VLOOKUP(B507,BDREGISTROMINGA2025[],6,FALSE)</f>
        <v>0</v>
      </c>
      <c r="H507" s="1">
        <v>0</v>
      </c>
      <c r="I507" s="1">
        <v>0</v>
      </c>
      <c r="J507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508" spans="2:10" x14ac:dyDescent="0.3">
      <c r="B508" s="1" t="s">
        <v>3143</v>
      </c>
      <c r="C508" t="str">
        <f>IFERROR(VLOOKUP(BDOBLIGACIONES[[#This Row],[NROKARDEX]],BDPADRES[],8,FALSE),"Sin registrado")</f>
        <v>MARIELY HURTADO</v>
      </c>
      <c r="D508" s="1">
        <f>IF(VLOOKUP(B508,BDREGISTROAPORTES2025[],5,FALSE)="165",0,"165")</f>
        <v>0</v>
      </c>
      <c r="E508" s="1" t="str">
        <f>IF(VLOOKUP(B508,BDREGISTROBTH2025[],5,FALSE)="100",0,"100")</f>
        <v>100</v>
      </c>
      <c r="F508" s="1">
        <f>VLOOKUP(B508,BDREGISTROASAMBLEA2025[],8,FALSE)</f>
        <v>0</v>
      </c>
      <c r="G508" s="1">
        <f>VLOOKUP(B508,BDREGISTROMINGA2025[],6,FALSE)</f>
        <v>0</v>
      </c>
      <c r="H508" s="1">
        <v>0</v>
      </c>
      <c r="I508" s="1">
        <v>0</v>
      </c>
      <c r="J508" s="1">
        <f>BDOBLIGACIONES[[#This Row],[ASAMBLEA]]+BDOBLIGACIONES[[#This Row],[MINGA]]+BDOBLIGACIONES[[#This Row],[DELEGADOS]]+BDOBLIGACIONES[[#This Row],[CURSO]]+BDOBLIGACIONES[[#This Row],[APORTE]]+BDOBLIGACIONES[[#This Row],[BTH]]</f>
        <v>100</v>
      </c>
    </row>
    <row r="509" spans="2:10" x14ac:dyDescent="0.3">
      <c r="B509" s="1" t="s">
        <v>3144</v>
      </c>
      <c r="C509" t="str">
        <f>IFERROR(VLOOKUP(BDOBLIGACIONES[[#This Row],[NROKARDEX]],BDPADRES[],8,FALSE),"Sin registrado")</f>
        <v>LORENA SANDOVAL ALGARAÑAZ</v>
      </c>
      <c r="D509" s="1" t="str">
        <f>IF(VLOOKUP(B509,BDREGISTROAPORTES2025[],5,FALSE)="165",0,"165")</f>
        <v>165</v>
      </c>
      <c r="E509" s="1">
        <f>IF(VLOOKUP(B509,BDREGISTROBTH2025[],5,FALSE)="100",0,"100")</f>
        <v>0</v>
      </c>
      <c r="F509" s="1">
        <f>VLOOKUP(B509,BDREGISTROASAMBLEA2025[],8,FALSE)</f>
        <v>0</v>
      </c>
      <c r="G509" s="1">
        <f>VLOOKUP(B509,BDREGISTROMINGA2025[],6,FALSE)</f>
        <v>0</v>
      </c>
      <c r="H509" s="1">
        <v>0</v>
      </c>
      <c r="I509" s="1">
        <v>0</v>
      </c>
      <c r="J509" s="1">
        <f>BDOBLIGACIONES[[#This Row],[ASAMBLEA]]+BDOBLIGACIONES[[#This Row],[MINGA]]+BDOBLIGACIONES[[#This Row],[DELEGADOS]]+BDOBLIGACIONES[[#This Row],[CURSO]]+BDOBLIGACIONES[[#This Row],[APORTE]]+BDOBLIGACIONES[[#This Row],[BTH]]</f>
        <v>165</v>
      </c>
    </row>
    <row r="510" spans="2:10" x14ac:dyDescent="0.3">
      <c r="B510" s="1" t="s">
        <v>3145</v>
      </c>
      <c r="C510" t="str">
        <f>IFERROR(VLOOKUP(BDOBLIGACIONES[[#This Row],[NROKARDEX]],BDPADRES[],8,FALSE),"Sin registrado")</f>
        <v>MARLENI SOLEDAD ALDAPI GONZALES</v>
      </c>
      <c r="D510" s="1">
        <f>IF(VLOOKUP(B510,BDREGISTROAPORTES2025[],5,FALSE)="165",0,"165")</f>
        <v>0</v>
      </c>
      <c r="E510" s="1" t="str">
        <f>IF(VLOOKUP(B510,BDREGISTROBTH2025[],5,FALSE)="100",0,"100")</f>
        <v>100</v>
      </c>
      <c r="F510" s="1">
        <f>VLOOKUP(B510,BDREGISTROASAMBLEA2025[],8,FALSE)</f>
        <v>0</v>
      </c>
      <c r="G510" s="1">
        <f>VLOOKUP(B510,BDREGISTROMINGA2025[],6,FALSE)</f>
        <v>0</v>
      </c>
      <c r="H510" s="1">
        <v>0</v>
      </c>
      <c r="I510" s="1">
        <v>0</v>
      </c>
      <c r="J510" s="1">
        <f>BDOBLIGACIONES[[#This Row],[ASAMBLEA]]+BDOBLIGACIONES[[#This Row],[MINGA]]+BDOBLIGACIONES[[#This Row],[DELEGADOS]]+BDOBLIGACIONES[[#This Row],[CURSO]]+BDOBLIGACIONES[[#This Row],[APORTE]]+BDOBLIGACIONES[[#This Row],[BTH]]</f>
        <v>100</v>
      </c>
    </row>
    <row r="511" spans="2:10" x14ac:dyDescent="0.3">
      <c r="B511" s="1" t="s">
        <v>3146</v>
      </c>
      <c r="C511" t="str">
        <f>IFERROR(VLOOKUP(BDOBLIGACIONES[[#This Row],[NROKARDEX]],BDPADRES[],8,FALSE),"Sin registrado")</f>
        <v>RICHARD JOSE VARGAS TELLEZ</v>
      </c>
      <c r="D511" s="1" t="str">
        <f>IF(VLOOKUP(B511,BDREGISTROAPORTES2025[],5,FALSE)="165",0,"165")</f>
        <v>165</v>
      </c>
      <c r="E511" s="1">
        <f>IF(VLOOKUP(B511,BDREGISTROBTH2025[],5,FALSE)="100",0,"100")</f>
        <v>0</v>
      </c>
      <c r="F511" s="1">
        <f>VLOOKUP(B511,BDREGISTROASAMBLEA2025[],8,FALSE)</f>
        <v>0</v>
      </c>
      <c r="G511" s="1">
        <f>VLOOKUP(B511,BDREGISTROMINGA2025[],6,FALSE)</f>
        <v>0</v>
      </c>
      <c r="H511" s="1">
        <v>0</v>
      </c>
      <c r="I511" s="1">
        <v>0</v>
      </c>
      <c r="J511" s="1">
        <f>BDOBLIGACIONES[[#This Row],[ASAMBLEA]]+BDOBLIGACIONES[[#This Row],[MINGA]]+BDOBLIGACIONES[[#This Row],[DELEGADOS]]+BDOBLIGACIONES[[#This Row],[CURSO]]+BDOBLIGACIONES[[#This Row],[APORTE]]+BDOBLIGACIONES[[#This Row],[BTH]]</f>
        <v>165</v>
      </c>
    </row>
    <row r="512" spans="2:10" x14ac:dyDescent="0.3">
      <c r="B512" s="1" t="s">
        <v>3147</v>
      </c>
      <c r="C512" t="str">
        <f>IFERROR(VLOOKUP(BDOBLIGACIONES[[#This Row],[NROKARDEX]],BDPADRES[],8,FALSE),"Sin registrado")</f>
        <v>MARLENI   LAQUE RAMOS</v>
      </c>
      <c r="D512" s="1">
        <f>IF(VLOOKUP(B512,BDREGISTROAPORTES2025[],5,FALSE)="165",0,"165")</f>
        <v>0</v>
      </c>
      <c r="E512" s="1" t="str">
        <f>IF(VLOOKUP(B512,BDREGISTROBTH2025[],5,FALSE)="100",0,"100")</f>
        <v>100</v>
      </c>
      <c r="F512" s="1">
        <f>VLOOKUP(B512,BDREGISTROASAMBLEA2025[],8,FALSE)</f>
        <v>0</v>
      </c>
      <c r="G512" s="1">
        <f>VLOOKUP(B512,BDREGISTROMINGA2025[],6,FALSE)</f>
        <v>0</v>
      </c>
      <c r="H512" s="1">
        <v>0</v>
      </c>
      <c r="I512" s="1">
        <v>0</v>
      </c>
      <c r="J512" s="1">
        <f>BDOBLIGACIONES[[#This Row],[ASAMBLEA]]+BDOBLIGACIONES[[#This Row],[MINGA]]+BDOBLIGACIONES[[#This Row],[DELEGADOS]]+BDOBLIGACIONES[[#This Row],[CURSO]]+BDOBLIGACIONES[[#This Row],[APORTE]]+BDOBLIGACIONES[[#This Row],[BTH]]</f>
        <v>100</v>
      </c>
    </row>
    <row r="513" spans="2:10" x14ac:dyDescent="0.3">
      <c r="B513" s="1" t="s">
        <v>3148</v>
      </c>
      <c r="C513" t="str">
        <f>IFERROR(VLOOKUP(BDOBLIGACIONES[[#This Row],[NROKARDEX]],BDPADRES[],8,FALSE),"Sin registrado")</f>
        <v>MIOLET CEREZO GARCIA</v>
      </c>
      <c r="D513" s="1">
        <f>IF(VLOOKUP(B513,BDREGISTROAPORTES2025[],5,FALSE)="165",0,"165")</f>
        <v>0</v>
      </c>
      <c r="E513" s="1" t="str">
        <f>IF(VLOOKUP(B513,BDREGISTROBTH2025[],5,FALSE)="100",0,"100")</f>
        <v>100</v>
      </c>
      <c r="F513" s="1">
        <f>VLOOKUP(B513,BDREGISTROASAMBLEA2025[],8,FALSE)</f>
        <v>0</v>
      </c>
      <c r="G513" s="1">
        <f>VLOOKUP(B513,BDREGISTROMINGA2025[],6,FALSE)</f>
        <v>0</v>
      </c>
      <c r="H513" s="1">
        <v>0</v>
      </c>
      <c r="I513" s="1">
        <v>0</v>
      </c>
      <c r="J513" s="1">
        <f>BDOBLIGACIONES[[#This Row],[ASAMBLEA]]+BDOBLIGACIONES[[#This Row],[MINGA]]+BDOBLIGACIONES[[#This Row],[DELEGADOS]]+BDOBLIGACIONES[[#This Row],[CURSO]]+BDOBLIGACIONES[[#This Row],[APORTE]]+BDOBLIGACIONES[[#This Row],[BTH]]</f>
        <v>100</v>
      </c>
    </row>
    <row r="514" spans="2:10" x14ac:dyDescent="0.3">
      <c r="B514" s="1" t="s">
        <v>3149</v>
      </c>
      <c r="C514" t="str">
        <f>IFERROR(VLOOKUP(BDOBLIGACIONES[[#This Row],[NROKARDEX]],BDPADRES[],8,FALSE),"Sin registrado")</f>
        <v>MAIBER PESSOA GARCIA</v>
      </c>
      <c r="D514" s="1" t="str">
        <f>IF(VLOOKUP(B514,BDREGISTROAPORTES2025[],5,FALSE)="165",0,"165")</f>
        <v>165</v>
      </c>
      <c r="E514" s="1">
        <f>IF(VLOOKUP(B514,BDREGISTROBTH2025[],5,FALSE)="100",0,"100")</f>
        <v>0</v>
      </c>
      <c r="F514" s="1">
        <f>VLOOKUP(B514,BDREGISTROASAMBLEA2025[],8,FALSE)</f>
        <v>0</v>
      </c>
      <c r="G514" s="1">
        <f>VLOOKUP(B514,BDREGISTROMINGA2025[],6,FALSE)</f>
        <v>0</v>
      </c>
      <c r="H514" s="1">
        <v>0</v>
      </c>
      <c r="I514" s="1">
        <v>0</v>
      </c>
      <c r="J514" s="1">
        <f>BDOBLIGACIONES[[#This Row],[ASAMBLEA]]+BDOBLIGACIONES[[#This Row],[MINGA]]+BDOBLIGACIONES[[#This Row],[DELEGADOS]]+BDOBLIGACIONES[[#This Row],[CURSO]]+BDOBLIGACIONES[[#This Row],[APORTE]]+BDOBLIGACIONES[[#This Row],[BTH]]</f>
        <v>165</v>
      </c>
    </row>
    <row r="515" spans="2:10" x14ac:dyDescent="0.3">
      <c r="B515" s="1" t="s">
        <v>3150</v>
      </c>
      <c r="C515" t="str">
        <f>IFERROR(VLOOKUP(BDOBLIGACIONES[[#This Row],[NROKARDEX]],BDPADRES[],8,FALSE),"Sin registrado")</f>
        <v>ELSA ALVAREZ ORELLANA</v>
      </c>
      <c r="D515" s="1">
        <f>IF(VLOOKUP(B515,BDREGISTROAPORTES2025[],5,FALSE)="165",0,"165")</f>
        <v>0</v>
      </c>
      <c r="E515" s="1">
        <f>IF(VLOOKUP(B515,BDREGISTROBTH2025[],5,FALSE)="100",0,"100")</f>
        <v>0</v>
      </c>
      <c r="F515" s="1">
        <f>VLOOKUP(B515,BDREGISTROASAMBLEA2025[],8,FALSE)</f>
        <v>0</v>
      </c>
      <c r="G515" s="1">
        <f>VLOOKUP(B515,BDREGISTROMINGA2025[],6,FALSE)</f>
        <v>0</v>
      </c>
      <c r="H515" s="1">
        <v>0</v>
      </c>
      <c r="I515" s="1">
        <v>0</v>
      </c>
      <c r="J515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516" spans="2:10" x14ac:dyDescent="0.3">
      <c r="B516" s="1" t="s">
        <v>3151</v>
      </c>
      <c r="C516" t="str">
        <f>IFERROR(VLOOKUP(BDOBLIGACIONES[[#This Row],[NROKARDEX]],BDPADRES[],8,FALSE),"Sin registrado")</f>
        <v>MARY GULDING VILLAVICENCIO CONTRERAS</v>
      </c>
      <c r="D516" s="1">
        <f>IF(VLOOKUP(B516,BDREGISTROAPORTES2025[],5,FALSE)="165",0,"165")</f>
        <v>0</v>
      </c>
      <c r="E516" s="1">
        <f>IF(VLOOKUP(B516,BDREGISTROBTH2025[],5,FALSE)="100",0,"100")</f>
        <v>0</v>
      </c>
      <c r="F516" s="1">
        <f>VLOOKUP(B516,BDREGISTROASAMBLEA2025[],8,FALSE)</f>
        <v>0</v>
      </c>
      <c r="G516" s="1">
        <f>VLOOKUP(B516,BDREGISTROMINGA2025[],6,FALSE)</f>
        <v>0</v>
      </c>
      <c r="H516" s="1">
        <v>0</v>
      </c>
      <c r="I516" s="1">
        <v>0</v>
      </c>
      <c r="J516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517" spans="2:10" x14ac:dyDescent="0.3">
      <c r="B517" s="1" t="s">
        <v>3155</v>
      </c>
      <c r="C517" t="str">
        <f>IFERROR(VLOOKUP(BDOBLIGACIONES[[#This Row],[NROKARDEX]],BDPADRES[],8,FALSE),"Sin registrado")</f>
        <v>MATILDE FLORES MAIZARES</v>
      </c>
      <c r="D517" s="1">
        <f>IF(VLOOKUP(B517,BDREGISTROAPORTES2025[],5,FALSE)="165",0,"165")</f>
        <v>0</v>
      </c>
      <c r="E517" s="1">
        <f>IF(VLOOKUP(B517,BDREGISTROBTH2025[],5,FALSE)="100",0,"100")</f>
        <v>0</v>
      </c>
      <c r="F517" s="1">
        <f>VLOOKUP(B517,BDREGISTROASAMBLEA2025[],8,FALSE)</f>
        <v>0</v>
      </c>
      <c r="G517" s="1">
        <f>VLOOKUP(B517,BDREGISTROMINGA2025[],6,FALSE)</f>
        <v>0</v>
      </c>
      <c r="H517" s="1">
        <v>0</v>
      </c>
      <c r="I517" s="1">
        <v>0</v>
      </c>
      <c r="J517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518" spans="2:10" x14ac:dyDescent="0.3">
      <c r="B518" s="1" t="s">
        <v>3152</v>
      </c>
      <c r="C518" t="str">
        <f>IFERROR(VLOOKUP(BDOBLIGACIONES[[#This Row],[NROKARDEX]],BDPADRES[],8,FALSE),"Sin registrado")</f>
        <v>N/SINREGISTRO RODAS</v>
      </c>
      <c r="D518" s="1" t="str">
        <f>IF(VLOOKUP(B518,BDREGISTROAPORTES2025[],5,FALSE)="165",0,"165")</f>
        <v>165</v>
      </c>
      <c r="E518" s="1">
        <f>IF(VLOOKUP(B518,BDREGISTROBTH2025[],5,FALSE)="100",0,"100")</f>
        <v>0</v>
      </c>
      <c r="F518" s="1">
        <f>VLOOKUP(B518,BDREGISTROASAMBLEA2025[],8,FALSE)</f>
        <v>0</v>
      </c>
      <c r="G518" s="1">
        <f>VLOOKUP(B518,BDREGISTROMINGA2025[],6,FALSE)</f>
        <v>0</v>
      </c>
      <c r="H518" s="1">
        <v>0</v>
      </c>
      <c r="I518" s="1">
        <v>0</v>
      </c>
      <c r="J518" s="1">
        <f>BDOBLIGACIONES[[#This Row],[ASAMBLEA]]+BDOBLIGACIONES[[#This Row],[MINGA]]+BDOBLIGACIONES[[#This Row],[DELEGADOS]]+BDOBLIGACIONES[[#This Row],[CURSO]]+BDOBLIGACIONES[[#This Row],[APORTE]]+BDOBLIGACIONES[[#This Row],[BTH]]</f>
        <v>165</v>
      </c>
    </row>
    <row r="519" spans="2:10" x14ac:dyDescent="0.3">
      <c r="B519" s="1" t="s">
        <v>3153</v>
      </c>
      <c r="C519" t="str">
        <f>IFERROR(VLOOKUP(BDOBLIGACIONES[[#This Row],[NROKARDEX]],BDPADRES[],8,FALSE),"Sin registrado")</f>
        <v xml:space="preserve"> ROBLEDO</v>
      </c>
      <c r="D519" s="1" t="str">
        <f>IF(VLOOKUP(B519,BDREGISTROAPORTES2025[],5,FALSE)="165",0,"165")</f>
        <v>165</v>
      </c>
      <c r="E519" s="1">
        <f>IF(VLOOKUP(B519,BDREGISTROBTH2025[],5,FALSE)="100",0,"100")</f>
        <v>0</v>
      </c>
      <c r="F519" s="1">
        <f>VLOOKUP(B519,BDREGISTROASAMBLEA2025[],8,FALSE)</f>
        <v>0</v>
      </c>
      <c r="G519" s="1">
        <f>VLOOKUP(B519,BDREGISTROMINGA2025[],6,FALSE)</f>
        <v>0</v>
      </c>
      <c r="H519" s="1">
        <v>0</v>
      </c>
      <c r="I519" s="1">
        <v>0</v>
      </c>
      <c r="J519" s="1">
        <f>BDOBLIGACIONES[[#This Row],[ASAMBLEA]]+BDOBLIGACIONES[[#This Row],[MINGA]]+BDOBLIGACIONES[[#This Row],[DELEGADOS]]+BDOBLIGACIONES[[#This Row],[CURSO]]+BDOBLIGACIONES[[#This Row],[APORTE]]+BDOBLIGACIONES[[#This Row],[BTH]]</f>
        <v>165</v>
      </c>
    </row>
    <row r="520" spans="2:10" x14ac:dyDescent="0.3">
      <c r="B520" s="1" t="s">
        <v>3154</v>
      </c>
      <c r="C520" t="str">
        <f>IFERROR(VLOOKUP(BDOBLIGACIONES[[#This Row],[NROKARDEX]],BDPADRES[],8,FALSE),"Sin registrado")</f>
        <v>TERESA JIMENEZ CARRIAZO</v>
      </c>
      <c r="D520" s="1">
        <f>IF(VLOOKUP(B520,BDREGISTROAPORTES2025[],5,FALSE)="165",0,"165")</f>
        <v>0</v>
      </c>
      <c r="E520" s="1" t="str">
        <f>IF(VLOOKUP(B520,BDREGISTROBTH2025[],5,FALSE)="100",0,"100")</f>
        <v>100</v>
      </c>
      <c r="F520" s="1">
        <f>VLOOKUP(B520,BDREGISTROASAMBLEA2025[],8,FALSE)</f>
        <v>0</v>
      </c>
      <c r="G520" s="1">
        <f>VLOOKUP(B520,BDREGISTROMINGA2025[],6,FALSE)</f>
        <v>0</v>
      </c>
      <c r="H520" s="1">
        <v>0</v>
      </c>
      <c r="I520" s="1">
        <v>0</v>
      </c>
      <c r="J520" s="1">
        <f>BDOBLIGACIONES[[#This Row],[ASAMBLEA]]+BDOBLIGACIONES[[#This Row],[MINGA]]+BDOBLIGACIONES[[#This Row],[DELEGADOS]]+BDOBLIGACIONES[[#This Row],[CURSO]]+BDOBLIGACIONES[[#This Row],[APORTE]]+BDOBLIGACIONES[[#This Row],[BTH]]</f>
        <v>100</v>
      </c>
    </row>
    <row r="521" spans="2:10" x14ac:dyDescent="0.3">
      <c r="B521" s="1" t="s">
        <v>3156</v>
      </c>
      <c r="C521" s="8" t="str">
        <f>IFERROR(VLOOKUP(BDOBLIGACIONES[[#This Row],[NROKARDEX]],BDPADRES[],8,FALSE),"Sin registrado")</f>
        <v>Sin registrado</v>
      </c>
      <c r="D521" s="1">
        <f>IF(VLOOKUP(B521,BDREGISTROAPORTES2025[],5,FALSE)="165",0,"165")</f>
        <v>0</v>
      </c>
      <c r="E521" s="1">
        <f>IF(VLOOKUP(B521,BDREGISTROBTH2025[],5,FALSE)="100",0,"100")</f>
        <v>0</v>
      </c>
      <c r="F521" s="1">
        <f>VLOOKUP(B521,BDREGISTROASAMBLEA2025[],8,FALSE)</f>
        <v>0</v>
      </c>
      <c r="G521" s="1">
        <v>0</v>
      </c>
      <c r="H521" s="1">
        <v>0</v>
      </c>
      <c r="I521" s="1">
        <v>0</v>
      </c>
      <c r="J521" s="1">
        <f>BDOBLIGACIONES[[#This Row],[ASAMBLEA]]+BDOBLIGACIONES[[#This Row],[MINGA]]+BDOBLIGACIONES[[#This Row],[DELEGADOS]]+BDOBLIGACIONES[[#This Row],[CURSO]]+BDOBLIGACIONES[[#This Row],[APORTE]]+BDOBLIGACIONES[[#This Row],[BTH]]</f>
        <v>0</v>
      </c>
    </row>
    <row r="522" spans="2:10" x14ac:dyDescent="0.3">
      <c r="D522" s="1"/>
      <c r="E522" s="1"/>
    </row>
    <row r="523" spans="2:10" x14ac:dyDescent="0.3">
      <c r="D523" s="1"/>
      <c r="E523" s="1"/>
    </row>
    <row r="524" spans="2:10" x14ac:dyDescent="0.3">
      <c r="D524" s="1"/>
      <c r="E524" s="1"/>
    </row>
    <row r="525" spans="2:10" x14ac:dyDescent="0.3">
      <c r="D525" s="1"/>
      <c r="E525" s="1"/>
    </row>
    <row r="526" spans="2:10" x14ac:dyDescent="0.3">
      <c r="D526" s="1"/>
      <c r="E526" s="1"/>
    </row>
    <row r="527" spans="2:10" x14ac:dyDescent="0.3">
      <c r="D527" s="1"/>
      <c r="E527" s="1"/>
    </row>
    <row r="528" spans="2:10" x14ac:dyDescent="0.3">
      <c r="D528" s="1"/>
      <c r="E528" s="1"/>
    </row>
    <row r="529" spans="4:5" x14ac:dyDescent="0.3">
      <c r="D529" s="1"/>
      <c r="E529" s="1"/>
    </row>
    <row r="530" spans="4:5" x14ac:dyDescent="0.3">
      <c r="D530" s="1"/>
      <c r="E530" s="1"/>
    </row>
    <row r="531" spans="4:5" x14ac:dyDescent="0.3">
      <c r="D531" s="1"/>
      <c r="E531" s="1"/>
    </row>
    <row r="532" spans="4:5" x14ac:dyDescent="0.3">
      <c r="D532" s="1"/>
      <c r="E532" s="1"/>
    </row>
    <row r="533" spans="4:5" x14ac:dyDescent="0.3">
      <c r="D533" s="1"/>
      <c r="E533" s="1"/>
    </row>
    <row r="534" spans="4:5" x14ac:dyDescent="0.3">
      <c r="D534" s="1"/>
      <c r="E534" s="1"/>
    </row>
    <row r="535" spans="4:5" x14ac:dyDescent="0.3">
      <c r="D535" s="1"/>
      <c r="E535" s="1"/>
    </row>
    <row r="536" spans="4:5" x14ac:dyDescent="0.3">
      <c r="D536" s="1"/>
      <c r="E536" s="1"/>
    </row>
    <row r="537" spans="4:5" x14ac:dyDescent="0.3">
      <c r="D537" s="1"/>
      <c r="E537" s="1"/>
    </row>
    <row r="538" spans="4:5" x14ac:dyDescent="0.3">
      <c r="D538" s="1"/>
      <c r="E538" s="1"/>
    </row>
    <row r="539" spans="4:5" x14ac:dyDescent="0.3">
      <c r="D539" s="1"/>
      <c r="E539" s="1"/>
    </row>
    <row r="540" spans="4:5" x14ac:dyDescent="0.3">
      <c r="D540" s="1"/>
      <c r="E540" s="1"/>
    </row>
    <row r="541" spans="4:5" x14ac:dyDescent="0.3">
      <c r="D541" s="1"/>
      <c r="E541" s="1"/>
    </row>
    <row r="542" spans="4:5" x14ac:dyDescent="0.3">
      <c r="D542" s="1"/>
      <c r="E542" s="1"/>
    </row>
    <row r="543" spans="4:5" x14ac:dyDescent="0.3">
      <c r="D543" s="1"/>
      <c r="E543" s="1"/>
    </row>
    <row r="544" spans="4:5" x14ac:dyDescent="0.3">
      <c r="D544" s="1"/>
      <c r="E544" s="1"/>
    </row>
    <row r="545" spans="4:5" x14ac:dyDescent="0.3">
      <c r="D545" s="1"/>
      <c r="E545" s="1"/>
    </row>
    <row r="546" spans="4:5" x14ac:dyDescent="0.3">
      <c r="D546" s="1"/>
      <c r="E546" s="1"/>
    </row>
    <row r="547" spans="4:5" x14ac:dyDescent="0.3">
      <c r="D547" s="1"/>
      <c r="E547" s="1"/>
    </row>
    <row r="548" spans="4:5" x14ac:dyDescent="0.3">
      <c r="D548" s="1"/>
      <c r="E548" s="1"/>
    </row>
    <row r="549" spans="4:5" x14ac:dyDescent="0.3">
      <c r="D549" s="1"/>
      <c r="E549" s="1"/>
    </row>
    <row r="550" spans="4:5" x14ac:dyDescent="0.3">
      <c r="D550" s="1"/>
      <c r="E550" s="1"/>
    </row>
    <row r="551" spans="4:5" x14ac:dyDescent="0.3">
      <c r="D551" s="1"/>
      <c r="E551" s="1"/>
    </row>
    <row r="552" spans="4:5" x14ac:dyDescent="0.3">
      <c r="D552" s="1"/>
      <c r="E552" s="1"/>
    </row>
    <row r="553" spans="4:5" x14ac:dyDescent="0.3">
      <c r="D553" s="1"/>
      <c r="E553" s="1"/>
    </row>
    <row r="554" spans="4:5" x14ac:dyDescent="0.3">
      <c r="D554" s="1"/>
      <c r="E554" s="1"/>
    </row>
    <row r="555" spans="4:5" x14ac:dyDescent="0.3">
      <c r="D555" s="1"/>
      <c r="E555" s="1"/>
    </row>
    <row r="556" spans="4:5" x14ac:dyDescent="0.3">
      <c r="D556" s="1"/>
      <c r="E556" s="1"/>
    </row>
    <row r="557" spans="4:5" x14ac:dyDescent="0.3">
      <c r="D557" s="1"/>
      <c r="E557" s="1"/>
    </row>
    <row r="558" spans="4:5" x14ac:dyDescent="0.3">
      <c r="D558" s="1"/>
      <c r="E558" s="1"/>
    </row>
    <row r="559" spans="4:5" x14ac:dyDescent="0.3">
      <c r="D559" s="1"/>
      <c r="E559" s="1"/>
    </row>
    <row r="560" spans="4:5" x14ac:dyDescent="0.3">
      <c r="D560" s="1"/>
      <c r="E560" s="1"/>
    </row>
    <row r="561" spans="4:5" x14ac:dyDescent="0.3">
      <c r="D561" s="1"/>
      <c r="E561" s="1"/>
    </row>
    <row r="562" spans="4:5" x14ac:dyDescent="0.3">
      <c r="D562" s="1"/>
      <c r="E562" s="1"/>
    </row>
    <row r="563" spans="4:5" x14ac:dyDescent="0.3">
      <c r="D563" s="1"/>
      <c r="E563" s="1"/>
    </row>
    <row r="564" spans="4:5" x14ac:dyDescent="0.3">
      <c r="D564" s="1"/>
      <c r="E564" s="1"/>
    </row>
    <row r="565" spans="4:5" x14ac:dyDescent="0.3">
      <c r="D565" s="1"/>
      <c r="E565" s="1"/>
    </row>
    <row r="566" spans="4:5" x14ac:dyDescent="0.3">
      <c r="D566" s="1"/>
      <c r="E566" s="1"/>
    </row>
    <row r="567" spans="4:5" x14ac:dyDescent="0.3">
      <c r="D567" s="1"/>
      <c r="E567" s="1"/>
    </row>
    <row r="568" spans="4:5" x14ac:dyDescent="0.3">
      <c r="D568" s="1"/>
      <c r="E568" s="1"/>
    </row>
    <row r="569" spans="4:5" x14ac:dyDescent="0.3">
      <c r="D569" s="1"/>
      <c r="E569" s="1"/>
    </row>
    <row r="570" spans="4:5" x14ac:dyDescent="0.3">
      <c r="D570" s="1"/>
      <c r="E570" s="1"/>
    </row>
    <row r="571" spans="4:5" x14ac:dyDescent="0.3">
      <c r="D571" s="1"/>
      <c r="E571" s="1"/>
    </row>
    <row r="572" spans="4:5" x14ac:dyDescent="0.3">
      <c r="D572" s="1"/>
      <c r="E572" s="1"/>
    </row>
    <row r="573" spans="4:5" x14ac:dyDescent="0.3">
      <c r="D573" s="1"/>
      <c r="E573" s="1"/>
    </row>
    <row r="574" spans="4:5" x14ac:dyDescent="0.3">
      <c r="D574" s="1"/>
      <c r="E574" s="1"/>
    </row>
    <row r="575" spans="4:5" x14ac:dyDescent="0.3">
      <c r="D575" s="1"/>
      <c r="E575" s="1"/>
    </row>
    <row r="576" spans="4:5" x14ac:dyDescent="0.3">
      <c r="D576" s="1"/>
      <c r="E576" s="1"/>
    </row>
    <row r="577" spans="4:5" x14ac:dyDescent="0.3">
      <c r="D577" s="1"/>
      <c r="E577" s="1"/>
    </row>
    <row r="578" spans="4:5" x14ac:dyDescent="0.3">
      <c r="D578" s="1"/>
      <c r="E578" s="1"/>
    </row>
    <row r="579" spans="4:5" x14ac:dyDescent="0.3">
      <c r="D579" s="1"/>
      <c r="E579" s="1"/>
    </row>
    <row r="580" spans="4:5" x14ac:dyDescent="0.3">
      <c r="D580" s="1"/>
      <c r="E580" s="1"/>
    </row>
    <row r="581" spans="4:5" x14ac:dyDescent="0.3">
      <c r="D581" s="1"/>
      <c r="E581" s="1"/>
    </row>
    <row r="582" spans="4:5" x14ac:dyDescent="0.3">
      <c r="D582" s="1"/>
      <c r="E582" s="1"/>
    </row>
    <row r="583" spans="4:5" x14ac:dyDescent="0.3">
      <c r="D583" s="1"/>
      <c r="E583" s="1"/>
    </row>
    <row r="584" spans="4:5" x14ac:dyDescent="0.3">
      <c r="D584" s="1"/>
      <c r="E584" s="1"/>
    </row>
    <row r="585" spans="4:5" x14ac:dyDescent="0.3">
      <c r="D585" s="1"/>
      <c r="E585" s="1"/>
    </row>
  </sheetData>
  <mergeCells count="3">
    <mergeCell ref="A2:K3"/>
    <mergeCell ref="C4:K4"/>
    <mergeCell ref="D6:I6"/>
  </mergeCells>
  <phoneticPr fontId="5" type="noConversion"/>
  <conditionalFormatting sqref="D522:D1048576 D2:D7 L1">
    <cfRule type="cellIs" dxfId="18" priority="7" operator="equal">
      <formula>165</formula>
    </cfRule>
    <cfRule type="cellIs" dxfId="17" priority="8" operator="equal">
      <formula>165</formula>
    </cfRule>
  </conditionalFormatting>
  <conditionalFormatting sqref="D8:D521">
    <cfRule type="cellIs" dxfId="16" priority="2" operator="greaterThan">
      <formula>164</formula>
    </cfRule>
    <cfRule type="cellIs" dxfId="15" priority="3" operator="equal">
      <formula>165</formula>
    </cfRule>
  </conditionalFormatting>
  <conditionalFormatting sqref="E8:E521">
    <cfRule type="cellIs" dxfId="14" priority="1" operator="greaterThan">
      <formula>99</formula>
    </cfRule>
  </conditionalFormatting>
  <pageMargins left="0.25" right="0.25" top="0.75" bottom="0.75" header="0.3" footer="0.3"/>
  <pageSetup paperSize="5" orientation="landscape" horizontalDpi="360" verticalDpi="360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6F4FB-94BE-4FDD-AC00-33310D2661F8}">
  <sheetPr codeName="Hoja3"/>
  <dimension ref="A1:V481"/>
  <sheetViews>
    <sheetView zoomScaleNormal="100" workbookViewId="0">
      <selection activeCell="D483" sqref="D483"/>
    </sheetView>
  </sheetViews>
  <sheetFormatPr baseColWidth="10" defaultRowHeight="14.4" x14ac:dyDescent="0.3"/>
  <cols>
    <col min="1" max="1" width="9.77734375" customWidth="1"/>
    <col min="2" max="2" width="7" customWidth="1"/>
    <col min="3" max="3" width="15.44140625" style="4" customWidth="1"/>
    <col min="4" max="4" width="21.88671875" style="4" customWidth="1"/>
    <col min="5" max="5" width="9.109375" customWidth="1"/>
    <col min="6" max="6" width="9.5546875" customWidth="1"/>
    <col min="7" max="7" width="15.109375" style="4" customWidth="1"/>
    <col min="8" max="8" width="23.33203125" style="4" customWidth="1"/>
    <col min="9" max="9" width="9.6640625" customWidth="1"/>
    <col min="10" max="10" width="11.6640625" customWidth="1"/>
    <col min="12" max="12" width="11.109375" style="1" customWidth="1"/>
    <col min="13" max="13" width="7.109375" style="1" customWidth="1"/>
    <col min="14" max="15" width="7.88671875" style="1" customWidth="1"/>
    <col min="16" max="16" width="6" style="36" customWidth="1"/>
    <col min="17" max="17" width="11.5546875" style="1"/>
  </cols>
  <sheetData>
    <row r="1" spans="1:17" x14ac:dyDescent="0.3">
      <c r="B1" t="s">
        <v>21</v>
      </c>
      <c r="K1" s="1"/>
      <c r="O1" s="36"/>
      <c r="P1" s="1"/>
      <c r="Q1"/>
    </row>
    <row r="2" spans="1:17" ht="37.200000000000003" x14ac:dyDescent="0.75">
      <c r="D2" s="12" t="s">
        <v>539</v>
      </c>
      <c r="K2" s="1"/>
      <c r="O2" s="36"/>
      <c r="P2" s="1"/>
      <c r="Q2"/>
    </row>
    <row r="3" spans="1:17" ht="15" thickBot="1" x14ac:dyDescent="0.35">
      <c r="K3" s="1"/>
      <c r="O3" s="36"/>
      <c r="P3" s="1"/>
      <c r="Q3"/>
    </row>
    <row r="4" spans="1:17" ht="15" thickBot="1" x14ac:dyDescent="0.35">
      <c r="A4" s="20"/>
      <c r="C4" s="14"/>
      <c r="D4" s="13" t="s">
        <v>48</v>
      </c>
      <c r="E4" s="6"/>
      <c r="F4" s="7"/>
      <c r="G4" s="14"/>
      <c r="H4" s="13" t="s">
        <v>49</v>
      </c>
      <c r="I4" s="6"/>
      <c r="J4" s="7"/>
      <c r="K4" s="21"/>
      <c r="L4" s="22" t="s">
        <v>1993</v>
      </c>
      <c r="M4" s="21"/>
      <c r="N4" s="21"/>
      <c r="O4" s="37"/>
      <c r="P4" s="1"/>
      <c r="Q4"/>
    </row>
    <row r="5" spans="1:17" x14ac:dyDescent="0.3">
      <c r="A5" s="4" t="s">
        <v>2980</v>
      </c>
      <c r="B5" s="4" t="s">
        <v>23</v>
      </c>
      <c r="C5" s="4" t="s">
        <v>24</v>
      </c>
      <c r="D5" s="4" t="s">
        <v>1</v>
      </c>
      <c r="E5" s="4" t="s">
        <v>22</v>
      </c>
      <c r="F5" s="4" t="s">
        <v>25</v>
      </c>
      <c r="G5" s="4" t="s">
        <v>46</v>
      </c>
      <c r="H5" s="4" t="s">
        <v>47</v>
      </c>
      <c r="I5" s="4" t="s">
        <v>66</v>
      </c>
      <c r="J5" s="4" t="s">
        <v>45</v>
      </c>
      <c r="K5" s="4" t="s">
        <v>27</v>
      </c>
      <c r="L5" s="10" t="s">
        <v>28</v>
      </c>
      <c r="M5" s="4" t="s">
        <v>2</v>
      </c>
      <c r="N5" s="4" t="s">
        <v>2981</v>
      </c>
      <c r="O5" s="38" t="s">
        <v>1702</v>
      </c>
      <c r="P5" s="1"/>
      <c r="Q5"/>
    </row>
    <row r="6" spans="1:17" x14ac:dyDescent="0.3">
      <c r="A6" s="26">
        <v>1</v>
      </c>
      <c r="B6" s="26">
        <f t="shared" ref="B6:B69" si="0">ROW(B1)</f>
        <v>1</v>
      </c>
      <c r="C6" s="27" t="s">
        <v>459</v>
      </c>
      <c r="D6" s="27" t="s">
        <v>460</v>
      </c>
      <c r="E6" s="28">
        <v>6322211</v>
      </c>
      <c r="F6" s="28"/>
      <c r="G6" s="27" t="s">
        <v>461</v>
      </c>
      <c r="H6" s="27" t="s">
        <v>462</v>
      </c>
      <c r="I6" s="28">
        <v>8131944</v>
      </c>
      <c r="J6" s="28">
        <v>75631504</v>
      </c>
      <c r="K6" s="26">
        <v>1055588</v>
      </c>
      <c r="L6" s="26">
        <v>82622</v>
      </c>
      <c r="M6" s="26" t="s">
        <v>5</v>
      </c>
      <c r="N6" s="26"/>
      <c r="O6" s="39"/>
      <c r="P6" s="1"/>
      <c r="Q6"/>
    </row>
    <row r="7" spans="1:17" x14ac:dyDescent="0.3">
      <c r="A7" s="26">
        <v>2</v>
      </c>
      <c r="B7" s="26">
        <f t="shared" si="0"/>
        <v>2</v>
      </c>
      <c r="C7" s="27" t="s">
        <v>119</v>
      </c>
      <c r="D7" s="27" t="s">
        <v>120</v>
      </c>
      <c r="E7" s="28">
        <v>8143667</v>
      </c>
      <c r="F7" s="28"/>
      <c r="G7" s="27" t="s">
        <v>121</v>
      </c>
      <c r="H7" s="27" t="s">
        <v>122</v>
      </c>
      <c r="I7" s="28">
        <v>8908613</v>
      </c>
      <c r="J7" s="28">
        <v>68749423</v>
      </c>
      <c r="K7" s="26">
        <v>1055456</v>
      </c>
      <c r="L7" s="26" t="s">
        <v>31</v>
      </c>
      <c r="M7" s="26" t="s">
        <v>4</v>
      </c>
      <c r="N7" s="26"/>
      <c r="O7" s="39"/>
      <c r="P7" s="1"/>
      <c r="Q7"/>
    </row>
    <row r="8" spans="1:17" x14ac:dyDescent="0.3">
      <c r="A8" s="1">
        <v>3</v>
      </c>
      <c r="B8" s="1">
        <f t="shared" si="0"/>
        <v>3</v>
      </c>
      <c r="C8" s="4" t="s">
        <v>163</v>
      </c>
      <c r="D8" s="4" t="s">
        <v>164</v>
      </c>
      <c r="E8">
        <v>5365638</v>
      </c>
      <c r="G8" s="4" t="s">
        <v>165</v>
      </c>
      <c r="H8" s="4" t="s">
        <v>166</v>
      </c>
      <c r="I8">
        <v>6362987</v>
      </c>
      <c r="J8">
        <v>77656883</v>
      </c>
      <c r="K8" s="1">
        <v>1055724</v>
      </c>
      <c r="L8" s="1">
        <v>56009</v>
      </c>
      <c r="M8" s="1" t="s">
        <v>4</v>
      </c>
      <c r="O8" s="36"/>
      <c r="P8" s="1"/>
      <c r="Q8"/>
    </row>
    <row r="9" spans="1:17" x14ac:dyDescent="0.3">
      <c r="A9" s="1">
        <v>4</v>
      </c>
      <c r="B9" s="1">
        <f t="shared" si="0"/>
        <v>4</v>
      </c>
      <c r="C9" s="4" t="s">
        <v>130</v>
      </c>
      <c r="D9" s="4" t="s">
        <v>131</v>
      </c>
      <c r="E9">
        <v>8128373</v>
      </c>
      <c r="G9" s="4" t="s">
        <v>132</v>
      </c>
      <c r="H9" s="4" t="s">
        <v>133</v>
      </c>
      <c r="I9">
        <v>7826123</v>
      </c>
      <c r="J9">
        <v>67803111</v>
      </c>
      <c r="K9" s="1">
        <v>1055479</v>
      </c>
      <c r="L9" s="1">
        <v>8689</v>
      </c>
      <c r="M9" s="1" t="s">
        <v>4</v>
      </c>
      <c r="O9" s="36"/>
      <c r="P9" s="1"/>
      <c r="Q9"/>
    </row>
    <row r="10" spans="1:17" x14ac:dyDescent="0.3">
      <c r="A10" s="1">
        <v>5</v>
      </c>
      <c r="B10" s="1">
        <f t="shared" si="0"/>
        <v>5</v>
      </c>
      <c r="C10" s="4" t="s">
        <v>234</v>
      </c>
      <c r="D10" s="4" t="s">
        <v>235</v>
      </c>
      <c r="E10">
        <v>8204937</v>
      </c>
      <c r="G10" s="4" t="s">
        <v>236</v>
      </c>
      <c r="H10" s="4" t="s">
        <v>237</v>
      </c>
      <c r="I10">
        <v>8925547</v>
      </c>
      <c r="J10">
        <v>76674514</v>
      </c>
      <c r="K10" s="1">
        <v>1055314</v>
      </c>
      <c r="L10" s="1">
        <v>8688</v>
      </c>
      <c r="M10" s="1" t="s">
        <v>3</v>
      </c>
      <c r="O10" s="36" t="s">
        <v>2988</v>
      </c>
      <c r="P10" s="1"/>
      <c r="Q10"/>
    </row>
    <row r="11" spans="1:17" x14ac:dyDescent="0.3">
      <c r="A11" s="1">
        <v>6</v>
      </c>
      <c r="B11" s="1">
        <f t="shared" si="0"/>
        <v>6</v>
      </c>
      <c r="C11" s="4" t="s">
        <v>451</v>
      </c>
      <c r="D11" s="4" t="s">
        <v>452</v>
      </c>
      <c r="E11">
        <v>6200682</v>
      </c>
      <c r="G11" s="4" t="s">
        <v>453</v>
      </c>
      <c r="H11" s="4" t="s">
        <v>454</v>
      </c>
      <c r="I11">
        <v>6217438</v>
      </c>
      <c r="J11">
        <v>76316204</v>
      </c>
      <c r="K11" s="1">
        <v>1055319</v>
      </c>
      <c r="L11" s="1">
        <v>8585</v>
      </c>
      <c r="M11" s="1" t="s">
        <v>5</v>
      </c>
      <c r="O11" s="36"/>
      <c r="P11" s="1"/>
      <c r="Q11"/>
    </row>
    <row r="12" spans="1:17" x14ac:dyDescent="0.3">
      <c r="A12" s="1">
        <v>7</v>
      </c>
      <c r="B12" s="1">
        <f t="shared" si="0"/>
        <v>7</v>
      </c>
      <c r="C12" s="4" t="s">
        <v>486</v>
      </c>
      <c r="D12" s="4" t="s">
        <v>487</v>
      </c>
      <c r="E12">
        <v>6258537</v>
      </c>
      <c r="F12">
        <v>76364381</v>
      </c>
      <c r="G12" s="4" t="s">
        <v>488</v>
      </c>
      <c r="H12" s="4" t="s">
        <v>489</v>
      </c>
      <c r="I12">
        <v>6299314</v>
      </c>
      <c r="K12" s="1">
        <v>1055431</v>
      </c>
      <c r="L12" s="1">
        <v>8570</v>
      </c>
      <c r="M12" s="1" t="s">
        <v>5</v>
      </c>
      <c r="O12" s="36"/>
      <c r="P12" s="1"/>
      <c r="Q12"/>
    </row>
    <row r="13" spans="1:17" x14ac:dyDescent="0.3">
      <c r="A13" s="1">
        <v>8</v>
      </c>
      <c r="B13" s="1">
        <f t="shared" si="0"/>
        <v>8</v>
      </c>
      <c r="C13" s="4" t="s">
        <v>134</v>
      </c>
      <c r="D13" s="4" t="s">
        <v>135</v>
      </c>
      <c r="G13" s="4" t="s">
        <v>136</v>
      </c>
      <c r="H13" s="4" t="s">
        <v>137</v>
      </c>
      <c r="I13">
        <v>7817966</v>
      </c>
      <c r="J13">
        <v>62085135</v>
      </c>
      <c r="K13" s="1">
        <v>1055464</v>
      </c>
      <c r="L13" s="1">
        <v>8574</v>
      </c>
      <c r="M13" s="1" t="s">
        <v>4</v>
      </c>
      <c r="O13" s="36"/>
      <c r="P13" s="1"/>
      <c r="Q13"/>
    </row>
    <row r="14" spans="1:17" ht="27" x14ac:dyDescent="0.3">
      <c r="A14" s="26">
        <v>9</v>
      </c>
      <c r="B14" s="26">
        <f t="shared" si="0"/>
        <v>9</v>
      </c>
      <c r="C14" s="27" t="s">
        <v>277</v>
      </c>
      <c r="D14" s="27" t="s">
        <v>278</v>
      </c>
      <c r="E14" s="28">
        <v>7831457</v>
      </c>
      <c r="F14" s="28"/>
      <c r="G14" s="34" t="s">
        <v>2956</v>
      </c>
      <c r="H14" s="27" t="s">
        <v>279</v>
      </c>
      <c r="I14" s="28">
        <v>6395203</v>
      </c>
      <c r="J14" s="28">
        <v>67718223</v>
      </c>
      <c r="K14" s="26">
        <v>1055299</v>
      </c>
      <c r="L14" s="26">
        <v>8685</v>
      </c>
      <c r="M14" s="26" t="s">
        <v>3</v>
      </c>
      <c r="N14" s="26"/>
      <c r="O14" s="39"/>
      <c r="P14" s="1"/>
      <c r="Q14"/>
    </row>
    <row r="15" spans="1:17" x14ac:dyDescent="0.3">
      <c r="A15" s="1">
        <v>10</v>
      </c>
      <c r="B15" s="1">
        <f t="shared" si="0"/>
        <v>10</v>
      </c>
      <c r="C15" s="4" t="s">
        <v>56</v>
      </c>
      <c r="D15" s="4" t="s">
        <v>57</v>
      </c>
      <c r="E15">
        <v>6274017</v>
      </c>
      <c r="G15" s="4" t="s">
        <v>58</v>
      </c>
      <c r="H15" s="4" t="s">
        <v>59</v>
      </c>
      <c r="I15">
        <v>9607750</v>
      </c>
      <c r="J15">
        <v>78110560</v>
      </c>
      <c r="K15" s="1">
        <v>1055296</v>
      </c>
      <c r="L15" s="1">
        <v>82588</v>
      </c>
      <c r="M15" s="1" t="s">
        <v>4</v>
      </c>
      <c r="N15" s="1" t="s">
        <v>15</v>
      </c>
      <c r="O15" s="36"/>
      <c r="P15" s="1"/>
      <c r="Q15"/>
    </row>
    <row r="16" spans="1:17" x14ac:dyDescent="0.3">
      <c r="A16" s="1">
        <v>11</v>
      </c>
      <c r="B16" s="1">
        <f t="shared" si="0"/>
        <v>11</v>
      </c>
      <c r="C16" s="4" t="s">
        <v>518</v>
      </c>
      <c r="D16" s="4" t="s">
        <v>519</v>
      </c>
      <c r="E16">
        <v>5354377</v>
      </c>
      <c r="G16" s="4" t="s">
        <v>520</v>
      </c>
      <c r="H16" s="4" t="s">
        <v>521</v>
      </c>
      <c r="I16">
        <v>8931302</v>
      </c>
      <c r="J16">
        <v>75000755</v>
      </c>
      <c r="K16" s="1">
        <v>1055522</v>
      </c>
      <c r="L16" s="1">
        <v>8554</v>
      </c>
      <c r="M16" s="1" t="s">
        <v>5</v>
      </c>
      <c r="N16" s="1" t="s">
        <v>9</v>
      </c>
      <c r="O16" s="36"/>
      <c r="P16" s="1"/>
      <c r="Q16"/>
    </row>
    <row r="17" spans="1:17" x14ac:dyDescent="0.3">
      <c r="A17" s="1">
        <v>12</v>
      </c>
      <c r="B17" s="1">
        <f t="shared" si="0"/>
        <v>12</v>
      </c>
      <c r="C17" s="4" t="s">
        <v>99</v>
      </c>
      <c r="D17" s="4" t="s">
        <v>100</v>
      </c>
      <c r="E17">
        <v>12516051</v>
      </c>
      <c r="G17" s="4" t="s">
        <v>101</v>
      </c>
      <c r="H17" s="4" t="s">
        <v>102</v>
      </c>
      <c r="I17">
        <v>12427513</v>
      </c>
      <c r="J17" s="8">
        <v>77010697</v>
      </c>
      <c r="K17" s="1">
        <v>1055383</v>
      </c>
      <c r="L17" s="1">
        <v>8693</v>
      </c>
      <c r="M17" s="1" t="s">
        <v>4</v>
      </c>
      <c r="O17" s="36"/>
      <c r="P17" s="1"/>
      <c r="Q17"/>
    </row>
    <row r="18" spans="1:17" x14ac:dyDescent="0.3">
      <c r="A18" s="1">
        <v>13</v>
      </c>
      <c r="B18" s="1">
        <f t="shared" si="0"/>
        <v>13</v>
      </c>
      <c r="C18" s="4" t="s">
        <v>474</v>
      </c>
      <c r="D18" s="4" t="s">
        <v>475</v>
      </c>
      <c r="G18" s="4" t="s">
        <v>181</v>
      </c>
      <c r="H18" s="4" t="s">
        <v>476</v>
      </c>
      <c r="I18">
        <v>9759899</v>
      </c>
      <c r="J18">
        <v>63558713</v>
      </c>
      <c r="K18" s="1">
        <v>1055351</v>
      </c>
      <c r="L18" s="1">
        <v>8576</v>
      </c>
      <c r="M18" s="1" t="s">
        <v>5</v>
      </c>
      <c r="O18" s="36"/>
      <c r="P18" s="1"/>
      <c r="Q18"/>
    </row>
    <row r="19" spans="1:17" x14ac:dyDescent="0.3">
      <c r="A19" s="1">
        <v>14</v>
      </c>
      <c r="B19" s="1">
        <f t="shared" si="0"/>
        <v>14</v>
      </c>
      <c r="C19" s="4" t="s">
        <v>85</v>
      </c>
      <c r="D19" s="4" t="s">
        <v>86</v>
      </c>
      <c r="G19" s="4" t="s">
        <v>87</v>
      </c>
      <c r="H19" s="4" t="s">
        <v>88</v>
      </c>
      <c r="I19">
        <v>9836797</v>
      </c>
      <c r="J19">
        <v>69185999</v>
      </c>
      <c r="K19" s="1">
        <v>1055789</v>
      </c>
      <c r="L19" s="1">
        <v>8686</v>
      </c>
      <c r="M19" s="1" t="s">
        <v>4</v>
      </c>
      <c r="O19" s="36"/>
      <c r="P19" s="1"/>
      <c r="Q19"/>
    </row>
    <row r="20" spans="1:17" x14ac:dyDescent="0.3">
      <c r="A20" s="26">
        <v>15</v>
      </c>
      <c r="B20" s="26">
        <f t="shared" si="0"/>
        <v>15</v>
      </c>
      <c r="C20" s="27" t="s">
        <v>257</v>
      </c>
      <c r="D20" s="27" t="s">
        <v>258</v>
      </c>
      <c r="E20" s="28">
        <v>8747176</v>
      </c>
      <c r="F20" s="28"/>
      <c r="G20" s="27" t="s">
        <v>259</v>
      </c>
      <c r="H20" s="27" t="s">
        <v>260</v>
      </c>
      <c r="I20" s="28">
        <v>7969049</v>
      </c>
      <c r="J20" s="28">
        <v>67881385</v>
      </c>
      <c r="K20" s="26">
        <v>1055465</v>
      </c>
      <c r="L20" s="26">
        <v>8690</v>
      </c>
      <c r="M20" s="26" t="s">
        <v>3</v>
      </c>
      <c r="N20" s="26"/>
      <c r="O20" s="39"/>
      <c r="P20" s="1"/>
      <c r="Q20"/>
    </row>
    <row r="21" spans="1:17" x14ac:dyDescent="0.3">
      <c r="A21" s="1">
        <v>16</v>
      </c>
      <c r="B21" s="1">
        <f t="shared" si="0"/>
        <v>16</v>
      </c>
      <c r="C21" s="4" t="s">
        <v>522</v>
      </c>
      <c r="D21" s="4" t="s">
        <v>523</v>
      </c>
      <c r="E21">
        <v>8944277</v>
      </c>
      <c r="G21" s="4" t="s">
        <v>524</v>
      </c>
      <c r="H21" s="4" t="s">
        <v>487</v>
      </c>
      <c r="I21">
        <v>6201573</v>
      </c>
      <c r="J21">
        <v>68757695</v>
      </c>
      <c r="K21" s="1">
        <v>1055318</v>
      </c>
      <c r="L21" s="1">
        <v>8571</v>
      </c>
      <c r="M21" s="1" t="s">
        <v>5</v>
      </c>
      <c r="O21" s="36"/>
      <c r="P21" s="1"/>
      <c r="Q21"/>
    </row>
    <row r="22" spans="1:17" x14ac:dyDescent="0.3">
      <c r="A22" s="1">
        <v>17</v>
      </c>
      <c r="B22" s="1">
        <f t="shared" si="0"/>
        <v>17</v>
      </c>
      <c r="C22" s="4" t="s">
        <v>77</v>
      </c>
      <c r="D22" s="4" t="s">
        <v>78</v>
      </c>
      <c r="E22">
        <v>6304790</v>
      </c>
      <c r="G22" s="4" t="s">
        <v>79</v>
      </c>
      <c r="H22" s="4" t="s">
        <v>80</v>
      </c>
      <c r="I22">
        <v>8976756</v>
      </c>
      <c r="J22">
        <v>67768185</v>
      </c>
      <c r="K22" s="1">
        <v>1055623</v>
      </c>
      <c r="L22" s="1">
        <v>8575</v>
      </c>
      <c r="M22" s="1" t="s">
        <v>4</v>
      </c>
      <c r="O22" s="36"/>
      <c r="P22" s="1"/>
      <c r="Q22"/>
    </row>
    <row r="23" spans="1:17" x14ac:dyDescent="0.3">
      <c r="A23" s="26">
        <v>18</v>
      </c>
      <c r="B23" s="26">
        <f t="shared" si="0"/>
        <v>18</v>
      </c>
      <c r="C23" s="27" t="s">
        <v>99</v>
      </c>
      <c r="D23" s="27" t="s">
        <v>238</v>
      </c>
      <c r="E23" s="28">
        <v>7461724</v>
      </c>
      <c r="F23" s="28"/>
      <c r="G23" s="27" t="s">
        <v>239</v>
      </c>
      <c r="H23" s="27" t="s">
        <v>240</v>
      </c>
      <c r="I23" s="28">
        <v>7838341</v>
      </c>
      <c r="J23" s="28">
        <v>75605649</v>
      </c>
      <c r="K23" s="26">
        <v>1055471</v>
      </c>
      <c r="L23" s="26">
        <v>82623</v>
      </c>
      <c r="M23" s="26" t="s">
        <v>3</v>
      </c>
      <c r="N23" s="26"/>
      <c r="O23" s="39"/>
      <c r="P23" s="1"/>
      <c r="Q23"/>
    </row>
    <row r="24" spans="1:17" x14ac:dyDescent="0.3">
      <c r="A24" s="26">
        <v>19</v>
      </c>
      <c r="B24" s="26">
        <f t="shared" si="0"/>
        <v>19</v>
      </c>
      <c r="C24" s="27" t="s">
        <v>223</v>
      </c>
      <c r="D24" s="27" t="s">
        <v>224</v>
      </c>
      <c r="E24" s="28">
        <v>4590170</v>
      </c>
      <c r="F24" s="28"/>
      <c r="G24" s="27" t="s">
        <v>225</v>
      </c>
      <c r="H24" s="27" t="s">
        <v>226</v>
      </c>
      <c r="I24" s="28">
        <v>8982510</v>
      </c>
      <c r="J24" s="28">
        <v>75605649</v>
      </c>
      <c r="K24" s="26">
        <v>1055483</v>
      </c>
      <c r="L24" s="26">
        <v>82626</v>
      </c>
      <c r="M24" s="26" t="s">
        <v>3</v>
      </c>
      <c r="N24" s="26" t="s">
        <v>13</v>
      </c>
      <c r="O24" s="39"/>
      <c r="P24" s="1"/>
      <c r="Q24"/>
    </row>
    <row r="25" spans="1:17" x14ac:dyDescent="0.3">
      <c r="A25" s="1">
        <v>20</v>
      </c>
      <c r="B25" s="1">
        <f t="shared" si="0"/>
        <v>20</v>
      </c>
      <c r="C25" s="4" t="s">
        <v>316</v>
      </c>
      <c r="D25" s="4" t="s">
        <v>317</v>
      </c>
      <c r="E25">
        <v>11312390</v>
      </c>
      <c r="G25" s="4" t="s">
        <v>318</v>
      </c>
      <c r="H25" s="4" t="s">
        <v>240</v>
      </c>
      <c r="I25">
        <v>7838354</v>
      </c>
      <c r="J25">
        <v>70913866</v>
      </c>
      <c r="K25" s="1">
        <v>1055477</v>
      </c>
      <c r="L25" s="1">
        <v>8597</v>
      </c>
      <c r="M25" s="1" t="s">
        <v>3</v>
      </c>
      <c r="O25" s="36"/>
      <c r="P25" s="1"/>
      <c r="Q25"/>
    </row>
    <row r="26" spans="1:17" x14ac:dyDescent="0.3">
      <c r="A26" s="1">
        <v>21</v>
      </c>
      <c r="B26" s="1">
        <f t="shared" si="0"/>
        <v>21</v>
      </c>
      <c r="C26" s="4" t="s">
        <v>85</v>
      </c>
      <c r="D26" s="4" t="s">
        <v>504</v>
      </c>
      <c r="E26">
        <v>7676870</v>
      </c>
      <c r="G26" s="4" t="s">
        <v>505</v>
      </c>
      <c r="H26" s="4" t="s">
        <v>506</v>
      </c>
      <c r="I26">
        <v>7749510</v>
      </c>
      <c r="J26">
        <v>76096922</v>
      </c>
      <c r="K26" s="1">
        <v>1055450</v>
      </c>
      <c r="L26" s="1">
        <v>8583</v>
      </c>
      <c r="M26" s="1" t="s">
        <v>5</v>
      </c>
      <c r="O26" s="36"/>
      <c r="P26" s="1"/>
      <c r="Q26"/>
    </row>
    <row r="27" spans="1:17" x14ac:dyDescent="0.3">
      <c r="A27" s="1">
        <v>22</v>
      </c>
      <c r="B27" s="1">
        <f t="shared" si="0"/>
        <v>22</v>
      </c>
      <c r="C27" s="4" t="s">
        <v>2998</v>
      </c>
      <c r="D27" s="4" t="s">
        <v>2996</v>
      </c>
      <c r="G27" s="4" t="s">
        <v>105</v>
      </c>
      <c r="H27" s="4" t="s">
        <v>2997</v>
      </c>
      <c r="K27" s="1">
        <v>1055405</v>
      </c>
      <c r="L27" s="54">
        <v>64188</v>
      </c>
      <c r="M27" s="1" t="s">
        <v>20</v>
      </c>
      <c r="N27" s="1" t="s">
        <v>2999</v>
      </c>
      <c r="O27" s="36" t="s">
        <v>3007</v>
      </c>
      <c r="P27" s="1"/>
      <c r="Q27">
        <v>1055405</v>
      </c>
    </row>
    <row r="28" spans="1:17" x14ac:dyDescent="0.3">
      <c r="A28" s="1">
        <v>22</v>
      </c>
      <c r="B28" s="1">
        <f t="shared" si="0"/>
        <v>23</v>
      </c>
      <c r="C28" s="4" t="s">
        <v>103</v>
      </c>
      <c r="D28" s="4" t="s">
        <v>104</v>
      </c>
      <c r="E28">
        <v>3936398</v>
      </c>
      <c r="G28" s="4" t="s">
        <v>105</v>
      </c>
      <c r="H28" s="4" t="s">
        <v>106</v>
      </c>
      <c r="I28">
        <v>7651753</v>
      </c>
      <c r="J28">
        <v>75652766</v>
      </c>
      <c r="K28" s="1">
        <v>1055405</v>
      </c>
      <c r="L28" s="1">
        <v>64188</v>
      </c>
      <c r="M28" s="1" t="s">
        <v>4</v>
      </c>
      <c r="N28" s="1" t="s">
        <v>20</v>
      </c>
      <c r="O28" s="36" t="s">
        <v>3007</v>
      </c>
      <c r="P28" s="1"/>
      <c r="Q28"/>
    </row>
    <row r="29" spans="1:17" x14ac:dyDescent="0.3">
      <c r="A29" s="1">
        <v>23</v>
      </c>
      <c r="B29" s="1">
        <f t="shared" si="0"/>
        <v>24</v>
      </c>
      <c r="C29" s="4" t="s">
        <v>208</v>
      </c>
      <c r="D29" s="4" t="s">
        <v>2185</v>
      </c>
      <c r="E29">
        <v>8906311</v>
      </c>
      <c r="G29" s="4" t="s">
        <v>209</v>
      </c>
      <c r="H29" s="4" t="s">
        <v>210</v>
      </c>
      <c r="I29">
        <v>7514859</v>
      </c>
      <c r="J29">
        <v>67738740</v>
      </c>
      <c r="K29" s="1">
        <v>1055397</v>
      </c>
      <c r="L29" s="1">
        <v>64167</v>
      </c>
      <c r="M29" s="1" t="s">
        <v>3</v>
      </c>
      <c r="N29" s="1" t="s">
        <v>17</v>
      </c>
      <c r="O29" s="36"/>
      <c r="P29" s="1"/>
      <c r="Q29"/>
    </row>
    <row r="30" spans="1:17" x14ac:dyDescent="0.3">
      <c r="A30" s="1">
        <v>24</v>
      </c>
      <c r="B30" s="1">
        <f t="shared" si="0"/>
        <v>25</v>
      </c>
      <c r="C30" s="4" t="s">
        <v>436</v>
      </c>
      <c r="D30" s="4" t="s">
        <v>437</v>
      </c>
      <c r="E30">
        <v>4007952</v>
      </c>
      <c r="G30" s="4" t="s">
        <v>438</v>
      </c>
      <c r="H30" s="4" t="s">
        <v>439</v>
      </c>
      <c r="I30">
        <v>7689245</v>
      </c>
      <c r="J30">
        <v>78482284</v>
      </c>
      <c r="K30" s="1">
        <v>1055780</v>
      </c>
      <c r="L30" s="1">
        <v>8582</v>
      </c>
      <c r="M30" s="1" t="s">
        <v>5</v>
      </c>
      <c r="O30" s="36"/>
      <c r="P30" s="1"/>
      <c r="Q30"/>
    </row>
    <row r="31" spans="1:17" x14ac:dyDescent="0.3">
      <c r="A31" s="26">
        <v>25</v>
      </c>
      <c r="B31" s="26">
        <f t="shared" si="0"/>
        <v>26</v>
      </c>
      <c r="C31" s="27" t="s">
        <v>241</v>
      </c>
      <c r="D31" s="27" t="s">
        <v>242</v>
      </c>
      <c r="E31" s="28">
        <v>7794923</v>
      </c>
      <c r="F31" s="28"/>
      <c r="G31" s="27" t="s">
        <v>243</v>
      </c>
      <c r="H31" s="27" t="s">
        <v>244</v>
      </c>
      <c r="I31" s="28">
        <v>9776721</v>
      </c>
      <c r="J31" s="28">
        <v>72124209</v>
      </c>
      <c r="K31" s="26">
        <v>1055732</v>
      </c>
      <c r="L31" s="26">
        <v>56265</v>
      </c>
      <c r="M31" s="26" t="s">
        <v>3</v>
      </c>
      <c r="N31" s="26"/>
      <c r="O31" s="39"/>
      <c r="P31" s="1"/>
      <c r="Q31"/>
    </row>
    <row r="32" spans="1:17" x14ac:dyDescent="0.3">
      <c r="A32" s="26">
        <v>26</v>
      </c>
      <c r="B32" s="26">
        <f t="shared" si="0"/>
        <v>27</v>
      </c>
      <c r="C32" s="27" t="s">
        <v>253</v>
      </c>
      <c r="D32" s="27" t="s">
        <v>254</v>
      </c>
      <c r="E32" s="28"/>
      <c r="F32" s="28"/>
      <c r="G32" s="27" t="s">
        <v>255</v>
      </c>
      <c r="H32" s="27" t="s">
        <v>256</v>
      </c>
      <c r="I32" s="28">
        <v>8877414</v>
      </c>
      <c r="J32" s="28">
        <v>78482187</v>
      </c>
      <c r="K32" s="26">
        <v>1055532</v>
      </c>
      <c r="L32" s="26">
        <v>56284</v>
      </c>
      <c r="M32" s="26" t="s">
        <v>3</v>
      </c>
      <c r="N32" s="26"/>
      <c r="O32" s="39"/>
      <c r="P32" s="1"/>
      <c r="Q32"/>
    </row>
    <row r="33" spans="1:17" x14ac:dyDescent="0.3">
      <c r="A33" s="1">
        <v>27</v>
      </c>
      <c r="B33" s="1">
        <f t="shared" si="0"/>
        <v>28</v>
      </c>
      <c r="C33" s="4" t="s">
        <v>463</v>
      </c>
      <c r="D33" s="4" t="s">
        <v>464</v>
      </c>
      <c r="E33">
        <v>7818562</v>
      </c>
      <c r="G33" s="4" t="s">
        <v>465</v>
      </c>
      <c r="H33" s="4" t="s">
        <v>466</v>
      </c>
      <c r="I33">
        <v>11341712</v>
      </c>
      <c r="J33">
        <v>74614541</v>
      </c>
      <c r="K33" s="1">
        <v>1055306</v>
      </c>
      <c r="L33" s="1">
        <v>8687</v>
      </c>
      <c r="M33" s="1" t="s">
        <v>5</v>
      </c>
      <c r="O33" s="36"/>
      <c r="P33" s="1"/>
      <c r="Q33"/>
    </row>
    <row r="34" spans="1:17" x14ac:dyDescent="0.3">
      <c r="A34" s="1">
        <v>28</v>
      </c>
      <c r="B34" s="1">
        <f t="shared" si="0"/>
        <v>29</v>
      </c>
      <c r="C34" s="4" t="s">
        <v>306</v>
      </c>
      <c r="D34" s="4" t="s">
        <v>307</v>
      </c>
      <c r="E34">
        <v>7950037</v>
      </c>
      <c r="F34">
        <v>77661712</v>
      </c>
      <c r="G34" s="4" t="s">
        <v>308</v>
      </c>
      <c r="H34" s="4" t="s">
        <v>309</v>
      </c>
      <c r="I34">
        <v>6504896</v>
      </c>
      <c r="K34" s="1">
        <v>1055307</v>
      </c>
      <c r="L34" s="1">
        <v>8684</v>
      </c>
      <c r="M34" s="1" t="s">
        <v>3</v>
      </c>
      <c r="O34" s="36"/>
      <c r="P34" s="1"/>
      <c r="Q34"/>
    </row>
    <row r="35" spans="1:17" x14ac:dyDescent="0.3">
      <c r="A35" s="1">
        <v>29</v>
      </c>
      <c r="B35" s="1">
        <f t="shared" si="0"/>
        <v>30</v>
      </c>
      <c r="C35" s="4" t="s">
        <v>155</v>
      </c>
      <c r="D35" s="4" t="s">
        <v>156</v>
      </c>
      <c r="E35">
        <v>5699634</v>
      </c>
      <c r="G35" s="4" t="s">
        <v>157</v>
      </c>
      <c r="H35" s="4" t="s">
        <v>158</v>
      </c>
      <c r="I35">
        <v>6329459</v>
      </c>
      <c r="J35" s="8">
        <v>69080486</v>
      </c>
      <c r="K35" s="1">
        <v>1055322</v>
      </c>
      <c r="L35" s="1">
        <v>8569</v>
      </c>
      <c r="M35" s="1" t="s">
        <v>4</v>
      </c>
      <c r="O35" s="36"/>
      <c r="P35" s="1"/>
      <c r="Q35"/>
    </row>
    <row r="36" spans="1:17" ht="27" x14ac:dyDescent="0.3">
      <c r="A36" s="26">
        <v>30</v>
      </c>
      <c r="B36" s="26">
        <f t="shared" si="0"/>
        <v>31</v>
      </c>
      <c r="C36" s="27" t="s">
        <v>440</v>
      </c>
      <c r="D36" s="27" t="s">
        <v>441</v>
      </c>
      <c r="E36" s="28">
        <v>4710145</v>
      </c>
      <c r="F36" s="28"/>
      <c r="G36" s="34" t="s">
        <v>2970</v>
      </c>
      <c r="H36" s="27" t="s">
        <v>442</v>
      </c>
      <c r="I36" s="28">
        <v>5657929</v>
      </c>
      <c r="J36" s="28">
        <v>76331712</v>
      </c>
      <c r="K36" s="26">
        <v>1055849</v>
      </c>
      <c r="L36">
        <v>56021</v>
      </c>
      <c r="M36" s="26" t="s">
        <v>5</v>
      </c>
      <c r="N36" s="26" t="s">
        <v>12</v>
      </c>
      <c r="O36" s="39"/>
      <c r="P36" s="1"/>
      <c r="Q36"/>
    </row>
    <row r="37" spans="1:17" x14ac:dyDescent="0.3">
      <c r="A37" s="26">
        <v>32</v>
      </c>
      <c r="B37" s="26">
        <f t="shared" si="0"/>
        <v>32</v>
      </c>
      <c r="C37" s="27" t="s">
        <v>171</v>
      </c>
      <c r="D37" s="27" t="s">
        <v>172</v>
      </c>
      <c r="E37" s="28">
        <v>6355305</v>
      </c>
      <c r="F37" s="28"/>
      <c r="G37" s="27" t="s">
        <v>173</v>
      </c>
      <c r="H37" s="27" t="s">
        <v>174</v>
      </c>
      <c r="I37" s="28">
        <v>7759210</v>
      </c>
      <c r="J37" s="28">
        <v>69188641</v>
      </c>
      <c r="K37" s="26">
        <v>1055727</v>
      </c>
      <c r="L37" s="26">
        <v>56281</v>
      </c>
      <c r="M37" s="26" t="s">
        <v>4</v>
      </c>
      <c r="N37" s="26" t="s">
        <v>1338</v>
      </c>
      <c r="O37" s="41"/>
      <c r="P37" s="1"/>
      <c r="Q37"/>
    </row>
    <row r="38" spans="1:17" x14ac:dyDescent="0.3">
      <c r="A38" s="26">
        <v>33</v>
      </c>
      <c r="B38" s="26">
        <f t="shared" si="0"/>
        <v>33</v>
      </c>
      <c r="C38" s="27" t="s">
        <v>339</v>
      </c>
      <c r="D38" s="27" t="s">
        <v>340</v>
      </c>
      <c r="E38" s="28"/>
      <c r="F38" s="28"/>
      <c r="G38" s="27" t="s">
        <v>341</v>
      </c>
      <c r="H38" s="27" t="s">
        <v>342</v>
      </c>
      <c r="I38" s="28">
        <v>9631097</v>
      </c>
      <c r="J38" s="28">
        <v>65297769</v>
      </c>
      <c r="K38" s="26">
        <v>1055893</v>
      </c>
      <c r="L38" s="26">
        <v>56046</v>
      </c>
      <c r="M38" s="26" t="s">
        <v>3</v>
      </c>
      <c r="N38" s="26"/>
      <c r="O38" s="39"/>
      <c r="P38" s="1"/>
      <c r="Q38"/>
    </row>
    <row r="39" spans="1:17" x14ac:dyDescent="0.3">
      <c r="A39" s="1">
        <v>34</v>
      </c>
      <c r="B39" s="1">
        <f t="shared" si="0"/>
        <v>34</v>
      </c>
      <c r="C39" s="4" t="s">
        <v>283</v>
      </c>
      <c r="D39" s="4" t="s">
        <v>284</v>
      </c>
      <c r="G39" s="4" t="s">
        <v>285</v>
      </c>
      <c r="H39" s="4" t="s">
        <v>286</v>
      </c>
      <c r="I39">
        <v>7663462</v>
      </c>
      <c r="J39">
        <v>77017750</v>
      </c>
      <c r="K39" s="1">
        <v>1055917</v>
      </c>
      <c r="L39" s="1">
        <v>8579</v>
      </c>
      <c r="M39" s="1" t="s">
        <v>3</v>
      </c>
      <c r="O39" s="36"/>
      <c r="P39" s="1"/>
      <c r="Q39"/>
    </row>
    <row r="40" spans="1:17" x14ac:dyDescent="0.3">
      <c r="A40" s="1">
        <v>35</v>
      </c>
      <c r="B40" s="1">
        <f t="shared" si="0"/>
        <v>35</v>
      </c>
      <c r="C40" s="4" t="s">
        <v>290</v>
      </c>
      <c r="D40" s="4" t="s">
        <v>291</v>
      </c>
      <c r="G40" s="4" t="s">
        <v>292</v>
      </c>
      <c r="H40" s="4" t="s">
        <v>293</v>
      </c>
      <c r="I40">
        <v>6242016</v>
      </c>
      <c r="J40">
        <v>76682553</v>
      </c>
      <c r="K40" s="1">
        <v>1055902</v>
      </c>
      <c r="L40" s="1">
        <v>8580</v>
      </c>
      <c r="M40" s="1" t="s">
        <v>3</v>
      </c>
      <c r="O40" s="36"/>
      <c r="P40" s="1"/>
      <c r="Q40"/>
    </row>
    <row r="41" spans="1:17" x14ac:dyDescent="0.3">
      <c r="A41" s="26">
        <v>36</v>
      </c>
      <c r="B41" s="26">
        <f t="shared" si="0"/>
        <v>36</v>
      </c>
      <c r="C41" s="27" t="s">
        <v>234</v>
      </c>
      <c r="D41" s="27" t="s">
        <v>419</v>
      </c>
      <c r="E41" s="28">
        <v>7685827</v>
      </c>
      <c r="F41" s="28"/>
      <c r="G41" s="27" t="s">
        <v>420</v>
      </c>
      <c r="H41" s="27" t="s">
        <v>421</v>
      </c>
      <c r="I41" s="28">
        <v>6348901</v>
      </c>
      <c r="J41" s="28">
        <v>76081836</v>
      </c>
      <c r="K41" s="26">
        <v>1055865</v>
      </c>
      <c r="L41" s="26" t="s">
        <v>31</v>
      </c>
      <c r="M41" s="26" t="s">
        <v>5</v>
      </c>
      <c r="N41" s="26"/>
      <c r="O41" s="39"/>
      <c r="P41" s="1"/>
      <c r="Q41"/>
    </row>
    <row r="42" spans="1:17" x14ac:dyDescent="0.3">
      <c r="A42" s="1">
        <v>37</v>
      </c>
      <c r="B42" s="1">
        <f t="shared" si="0"/>
        <v>37</v>
      </c>
      <c r="C42" s="4" t="s">
        <v>215</v>
      </c>
      <c r="D42" s="4" t="s">
        <v>216</v>
      </c>
      <c r="E42">
        <v>5175050</v>
      </c>
      <c r="G42" s="4" t="s">
        <v>217</v>
      </c>
      <c r="H42" s="4" t="s">
        <v>218</v>
      </c>
      <c r="I42">
        <v>7685233</v>
      </c>
      <c r="J42">
        <v>78481593</v>
      </c>
      <c r="K42" s="1">
        <v>1055735</v>
      </c>
      <c r="L42" s="1">
        <v>64198</v>
      </c>
      <c r="M42" s="1" t="s">
        <v>3</v>
      </c>
      <c r="N42" s="1" t="s">
        <v>11</v>
      </c>
      <c r="O42" s="36"/>
      <c r="P42" s="1"/>
      <c r="Q42"/>
    </row>
    <row r="43" spans="1:17" x14ac:dyDescent="0.3">
      <c r="A43" s="1">
        <v>38</v>
      </c>
      <c r="B43" s="1">
        <f t="shared" si="0"/>
        <v>38</v>
      </c>
      <c r="C43" s="4" t="s">
        <v>335</v>
      </c>
      <c r="D43" s="4" t="s">
        <v>336</v>
      </c>
      <c r="E43">
        <v>3843519</v>
      </c>
      <c r="G43" s="4" t="s">
        <v>337</v>
      </c>
      <c r="H43" s="4" t="s">
        <v>338</v>
      </c>
      <c r="I43">
        <v>2947828</v>
      </c>
      <c r="J43">
        <v>69225904</v>
      </c>
      <c r="K43" s="1">
        <v>1055911</v>
      </c>
      <c r="L43" s="1">
        <v>8698</v>
      </c>
      <c r="M43" s="1" t="s">
        <v>3</v>
      </c>
      <c r="O43" s="36"/>
      <c r="P43" s="1"/>
      <c r="Q43"/>
    </row>
    <row r="44" spans="1:17" x14ac:dyDescent="0.3">
      <c r="A44" s="1">
        <v>39</v>
      </c>
      <c r="B44" s="1">
        <f t="shared" si="0"/>
        <v>39</v>
      </c>
      <c r="C44" s="4" t="s">
        <v>107</v>
      </c>
      <c r="D44" s="4" t="s">
        <v>108</v>
      </c>
      <c r="G44" s="4" t="s">
        <v>109</v>
      </c>
      <c r="H44" s="4" t="s">
        <v>110</v>
      </c>
      <c r="I44">
        <v>8200294</v>
      </c>
      <c r="J44">
        <v>78085773</v>
      </c>
      <c r="K44" s="1">
        <v>1055961</v>
      </c>
      <c r="L44" s="1">
        <v>8692</v>
      </c>
      <c r="M44" s="1" t="s">
        <v>4</v>
      </c>
      <c r="O44" s="36"/>
      <c r="P44" s="1"/>
      <c r="Q44"/>
    </row>
    <row r="45" spans="1:17" x14ac:dyDescent="0.3">
      <c r="A45" s="26">
        <v>40</v>
      </c>
      <c r="B45" s="26">
        <f t="shared" si="0"/>
        <v>40</v>
      </c>
      <c r="C45" s="27" t="s">
        <v>422</v>
      </c>
      <c r="D45" s="27" t="s">
        <v>423</v>
      </c>
      <c r="E45" s="28">
        <v>7756132</v>
      </c>
      <c r="F45" s="28"/>
      <c r="G45" s="27" t="s">
        <v>75</v>
      </c>
      <c r="H45" s="27" t="s">
        <v>424</v>
      </c>
      <c r="I45" s="28">
        <v>8963105</v>
      </c>
      <c r="J45" s="28">
        <v>69194300</v>
      </c>
      <c r="K45" s="26">
        <v>1055967</v>
      </c>
      <c r="L45" s="26" t="s">
        <v>31</v>
      </c>
      <c r="M45" s="26" t="s">
        <v>5</v>
      </c>
      <c r="N45" s="26" t="s">
        <v>15</v>
      </c>
      <c r="O45" s="39"/>
      <c r="P45" s="1"/>
      <c r="Q45"/>
    </row>
    <row r="46" spans="1:17" x14ac:dyDescent="0.3">
      <c r="A46" s="1">
        <v>41</v>
      </c>
      <c r="B46" s="1">
        <f t="shared" si="0"/>
        <v>41</v>
      </c>
      <c r="C46" s="4" t="s">
        <v>492</v>
      </c>
      <c r="D46" s="4" t="s">
        <v>493</v>
      </c>
      <c r="E46">
        <v>7716515</v>
      </c>
      <c r="G46" s="4" t="s">
        <v>494</v>
      </c>
      <c r="H46" s="4" t="s">
        <v>495</v>
      </c>
      <c r="I46">
        <v>3297764</v>
      </c>
      <c r="J46">
        <v>72683053</v>
      </c>
      <c r="K46" s="1">
        <v>1055970</v>
      </c>
      <c r="L46" s="1">
        <v>8695</v>
      </c>
      <c r="M46" s="1" t="s">
        <v>5</v>
      </c>
      <c r="N46" s="1" t="s">
        <v>5</v>
      </c>
      <c r="O46" s="36"/>
      <c r="P46" s="1"/>
      <c r="Q46"/>
    </row>
    <row r="47" spans="1:17" x14ac:dyDescent="0.3">
      <c r="A47" s="1">
        <v>42</v>
      </c>
      <c r="B47" s="1">
        <f t="shared" si="0"/>
        <v>42</v>
      </c>
      <c r="C47" s="4" t="s">
        <v>273</v>
      </c>
      <c r="D47" s="4" t="s">
        <v>274</v>
      </c>
      <c r="E47">
        <v>6233645</v>
      </c>
      <c r="G47" s="4" t="s">
        <v>275</v>
      </c>
      <c r="H47" s="4" t="s">
        <v>276</v>
      </c>
      <c r="I47">
        <v>7757869</v>
      </c>
      <c r="J47">
        <v>74931129</v>
      </c>
      <c r="K47" s="1">
        <v>1055952</v>
      </c>
      <c r="L47" s="1">
        <v>8578</v>
      </c>
      <c r="M47" s="1" t="s">
        <v>3</v>
      </c>
      <c r="O47" s="36"/>
      <c r="P47" s="1"/>
      <c r="Q47"/>
    </row>
    <row r="48" spans="1:17" x14ac:dyDescent="0.3">
      <c r="A48" s="26">
        <v>43</v>
      </c>
      <c r="B48" s="26">
        <f t="shared" si="0"/>
        <v>43</v>
      </c>
      <c r="C48" s="27" t="s">
        <v>179</v>
      </c>
      <c r="D48" s="27" t="s">
        <v>180</v>
      </c>
      <c r="E48" s="28">
        <v>3722146</v>
      </c>
      <c r="F48" s="28"/>
      <c r="G48" s="27" t="s">
        <v>181</v>
      </c>
      <c r="H48" s="27" t="s">
        <v>182</v>
      </c>
      <c r="I48" s="28">
        <v>4649166</v>
      </c>
      <c r="J48" s="28">
        <v>77097175</v>
      </c>
      <c r="K48" s="26">
        <v>1055972</v>
      </c>
      <c r="L48" s="26">
        <v>56279</v>
      </c>
      <c r="M48" s="26" t="s">
        <v>4</v>
      </c>
      <c r="N48" s="26"/>
      <c r="O48" s="39"/>
      <c r="P48" s="1"/>
      <c r="Q48"/>
    </row>
    <row r="49" spans="1:17" x14ac:dyDescent="0.3">
      <c r="A49" s="1">
        <v>44</v>
      </c>
      <c r="B49" s="1">
        <f t="shared" si="0"/>
        <v>44</v>
      </c>
      <c r="C49" s="4" t="s">
        <v>319</v>
      </c>
      <c r="D49" s="4" t="s">
        <v>320</v>
      </c>
      <c r="E49">
        <v>7703324</v>
      </c>
      <c r="G49" s="4" t="s">
        <v>321</v>
      </c>
      <c r="H49" s="4" t="s">
        <v>322</v>
      </c>
      <c r="I49">
        <v>6359660</v>
      </c>
      <c r="J49">
        <v>75346398</v>
      </c>
      <c r="K49" s="1">
        <v>1055921</v>
      </c>
      <c r="L49" s="1">
        <v>8590</v>
      </c>
      <c r="M49" s="1" t="s">
        <v>3</v>
      </c>
      <c r="O49" s="36"/>
      <c r="P49" s="1"/>
      <c r="Q49"/>
    </row>
    <row r="50" spans="1:17" x14ac:dyDescent="0.3">
      <c r="A50" s="1">
        <v>45</v>
      </c>
      <c r="B50" s="1">
        <f t="shared" si="0"/>
        <v>45</v>
      </c>
      <c r="C50" s="4" t="s">
        <v>294</v>
      </c>
      <c r="D50" s="4" t="s">
        <v>295</v>
      </c>
      <c r="E50">
        <v>1984581</v>
      </c>
      <c r="F50">
        <v>75559244</v>
      </c>
      <c r="G50" s="4" t="s">
        <v>296</v>
      </c>
      <c r="H50" s="4" t="s">
        <v>297</v>
      </c>
      <c r="I50">
        <v>5834079</v>
      </c>
      <c r="K50" s="1">
        <v>1055976</v>
      </c>
      <c r="L50" s="1">
        <v>8587</v>
      </c>
      <c r="M50" s="1" t="s">
        <v>3</v>
      </c>
      <c r="O50" s="36"/>
      <c r="P50" s="1"/>
      <c r="Q50"/>
    </row>
    <row r="51" spans="1:17" x14ac:dyDescent="0.3">
      <c r="A51" s="26">
        <v>46</v>
      </c>
      <c r="B51" s="26">
        <f t="shared" si="0"/>
        <v>46</v>
      </c>
      <c r="C51" s="27" t="s">
        <v>144</v>
      </c>
      <c r="D51" s="27" t="s">
        <v>145</v>
      </c>
      <c r="E51" s="28"/>
      <c r="F51" s="28"/>
      <c r="G51" s="27" t="s">
        <v>146</v>
      </c>
      <c r="H51" s="27" t="s">
        <v>147</v>
      </c>
      <c r="I51" s="28">
        <v>7817889</v>
      </c>
      <c r="J51" s="28">
        <v>62291839</v>
      </c>
      <c r="K51" s="26">
        <v>1056026</v>
      </c>
      <c r="L51" s="26">
        <v>56280</v>
      </c>
      <c r="M51" s="26" t="s">
        <v>4</v>
      </c>
      <c r="N51" s="26" t="s">
        <v>13</v>
      </c>
      <c r="O51" s="39"/>
      <c r="P51" s="1"/>
      <c r="Q51"/>
    </row>
    <row r="52" spans="1:17" x14ac:dyDescent="0.3">
      <c r="A52" s="1">
        <v>47</v>
      </c>
      <c r="B52" s="1">
        <f t="shared" si="0"/>
        <v>47</v>
      </c>
      <c r="C52" s="4" t="s">
        <v>219</v>
      </c>
      <c r="D52" s="4" t="s">
        <v>220</v>
      </c>
      <c r="E52">
        <v>6242019</v>
      </c>
      <c r="G52" s="4" t="s">
        <v>221</v>
      </c>
      <c r="H52" s="4" t="s">
        <v>222</v>
      </c>
      <c r="I52">
        <v>8186243</v>
      </c>
      <c r="J52">
        <v>77667755</v>
      </c>
      <c r="K52" s="1">
        <v>1056067</v>
      </c>
      <c r="L52" s="1">
        <v>8566</v>
      </c>
      <c r="M52" s="1" t="s">
        <v>3</v>
      </c>
      <c r="N52" s="1" t="s">
        <v>20</v>
      </c>
      <c r="O52" s="36"/>
      <c r="P52" s="1"/>
      <c r="Q52"/>
    </row>
    <row r="53" spans="1:17" x14ac:dyDescent="0.3">
      <c r="A53" s="1">
        <v>48</v>
      </c>
      <c r="B53" s="1">
        <f t="shared" si="0"/>
        <v>48</v>
      </c>
      <c r="C53" s="4" t="s">
        <v>265</v>
      </c>
      <c r="D53" s="4" t="s">
        <v>266</v>
      </c>
      <c r="G53" s="4" t="s">
        <v>267</v>
      </c>
      <c r="H53" s="4" t="s">
        <v>268</v>
      </c>
      <c r="I53">
        <v>6255387</v>
      </c>
      <c r="J53">
        <v>75072123</v>
      </c>
      <c r="K53" s="1">
        <v>1056041</v>
      </c>
      <c r="L53" s="1">
        <v>8584</v>
      </c>
      <c r="M53" s="1" t="s">
        <v>3</v>
      </c>
      <c r="N53" s="1" t="s">
        <v>553</v>
      </c>
      <c r="O53" s="36"/>
      <c r="P53" s="1"/>
      <c r="Q53"/>
    </row>
    <row r="54" spans="1:17" x14ac:dyDescent="0.3">
      <c r="A54" s="1">
        <v>49</v>
      </c>
      <c r="B54" s="1">
        <f t="shared" si="0"/>
        <v>49</v>
      </c>
      <c r="C54" s="4" t="s">
        <v>230</v>
      </c>
      <c r="D54" s="4" t="s">
        <v>231</v>
      </c>
      <c r="E54">
        <v>8200288</v>
      </c>
      <c r="G54" s="4" t="s">
        <v>232</v>
      </c>
      <c r="H54" s="4" t="s">
        <v>233</v>
      </c>
      <c r="I54">
        <v>8887984</v>
      </c>
      <c r="J54">
        <v>68830849</v>
      </c>
      <c r="K54" s="1">
        <v>1056060</v>
      </c>
      <c r="L54" s="1">
        <v>8589</v>
      </c>
      <c r="M54" s="1" t="s">
        <v>3</v>
      </c>
      <c r="O54" s="36"/>
      <c r="P54" s="1"/>
      <c r="Q54"/>
    </row>
    <row r="55" spans="1:17" x14ac:dyDescent="0.3">
      <c r="A55" s="1">
        <v>50</v>
      </c>
      <c r="B55" s="1">
        <f t="shared" si="0"/>
        <v>50</v>
      </c>
      <c r="C55" s="4" t="s">
        <v>411</v>
      </c>
      <c r="D55" s="4" t="s">
        <v>412</v>
      </c>
      <c r="E55">
        <v>5643868</v>
      </c>
      <c r="F55">
        <v>67796843</v>
      </c>
      <c r="G55" s="4" t="s">
        <v>413</v>
      </c>
      <c r="H55" s="4" t="s">
        <v>414</v>
      </c>
      <c r="I55">
        <v>3657104</v>
      </c>
      <c r="J55">
        <v>67796843</v>
      </c>
      <c r="K55" s="1">
        <v>1055965</v>
      </c>
      <c r="L55" s="1">
        <v>56031</v>
      </c>
      <c r="M55" s="1" t="s">
        <v>5</v>
      </c>
      <c r="N55" s="1" t="s">
        <v>2991</v>
      </c>
      <c r="O55" s="36"/>
      <c r="P55" s="1"/>
      <c r="Q55"/>
    </row>
    <row r="56" spans="1:17" x14ac:dyDescent="0.3">
      <c r="A56" s="1">
        <v>51</v>
      </c>
      <c r="B56" s="1">
        <f t="shared" si="0"/>
        <v>51</v>
      </c>
      <c r="C56" s="4" t="s">
        <v>455</v>
      </c>
      <c r="D56" s="4" t="s">
        <v>456</v>
      </c>
      <c r="E56">
        <v>7698461</v>
      </c>
      <c r="G56" s="4" t="s">
        <v>457</v>
      </c>
      <c r="H56" s="4" t="s">
        <v>458</v>
      </c>
      <c r="I56">
        <v>8241219</v>
      </c>
      <c r="J56">
        <v>78586906</v>
      </c>
      <c r="K56" s="1">
        <v>105668</v>
      </c>
      <c r="L56" s="1">
        <v>8591</v>
      </c>
      <c r="M56" s="1" t="s">
        <v>5</v>
      </c>
      <c r="O56" s="36"/>
      <c r="P56" s="1"/>
      <c r="Q56"/>
    </row>
    <row r="57" spans="1:17" x14ac:dyDescent="0.3">
      <c r="A57" s="1">
        <v>52</v>
      </c>
      <c r="B57" s="1">
        <f t="shared" si="0"/>
        <v>52</v>
      </c>
      <c r="C57" s="4" t="s">
        <v>310</v>
      </c>
      <c r="D57" s="4" t="s">
        <v>311</v>
      </c>
      <c r="E57">
        <v>3494257</v>
      </c>
      <c r="G57" s="4" t="s">
        <v>312</v>
      </c>
      <c r="H57" s="4" t="s">
        <v>313</v>
      </c>
      <c r="I57">
        <v>9039094</v>
      </c>
      <c r="J57">
        <v>76062679</v>
      </c>
      <c r="K57" s="1">
        <v>1055894</v>
      </c>
      <c r="L57" s="1">
        <v>8588</v>
      </c>
      <c r="M57" s="1" t="s">
        <v>3</v>
      </c>
      <c r="O57" s="36"/>
      <c r="P57" s="1"/>
      <c r="Q57"/>
    </row>
    <row r="58" spans="1:17" x14ac:dyDescent="0.3">
      <c r="A58" s="26">
        <v>53</v>
      </c>
      <c r="B58" s="26">
        <f t="shared" si="0"/>
        <v>53</v>
      </c>
      <c r="C58" s="27" t="s">
        <v>415</v>
      </c>
      <c r="D58" s="27" t="s">
        <v>416</v>
      </c>
      <c r="E58" s="28"/>
      <c r="F58" s="28"/>
      <c r="G58" s="27" t="s">
        <v>417</v>
      </c>
      <c r="H58" s="27" t="s">
        <v>418</v>
      </c>
      <c r="I58" s="28">
        <v>5421518</v>
      </c>
      <c r="J58" s="28">
        <v>63620345</v>
      </c>
      <c r="K58" s="26">
        <v>1056157</v>
      </c>
      <c r="L58" s="26">
        <v>82624</v>
      </c>
      <c r="M58" s="26" t="s">
        <v>5</v>
      </c>
      <c r="N58" s="26"/>
      <c r="O58" s="39"/>
      <c r="P58" s="1"/>
      <c r="Q58"/>
    </row>
    <row r="59" spans="1:17" x14ac:dyDescent="0.3">
      <c r="A59" s="1">
        <v>54</v>
      </c>
      <c r="B59" s="1">
        <f t="shared" si="0"/>
        <v>54</v>
      </c>
      <c r="C59" s="4" t="s">
        <v>510</v>
      </c>
      <c r="D59" s="4" t="s">
        <v>511</v>
      </c>
      <c r="E59">
        <v>4637907</v>
      </c>
      <c r="F59">
        <v>71774439</v>
      </c>
      <c r="G59" s="4" t="s">
        <v>512</v>
      </c>
      <c r="H59" s="4" t="s">
        <v>513</v>
      </c>
      <c r="I59">
        <v>12823611</v>
      </c>
      <c r="K59" s="1">
        <v>1056185</v>
      </c>
      <c r="L59" s="1">
        <v>8691</v>
      </c>
      <c r="M59" s="1" t="s">
        <v>5</v>
      </c>
      <c r="O59" s="36"/>
      <c r="P59" s="1"/>
      <c r="Q59"/>
    </row>
    <row r="60" spans="1:17" x14ac:dyDescent="0.3">
      <c r="A60" s="26">
        <v>137</v>
      </c>
      <c r="B60" s="26">
        <f t="shared" si="0"/>
        <v>55</v>
      </c>
      <c r="C60" s="27" t="s">
        <v>557</v>
      </c>
      <c r="D60" s="27" t="s">
        <v>558</v>
      </c>
      <c r="E60" s="28">
        <v>7844057</v>
      </c>
      <c r="F60" s="28"/>
      <c r="G60" s="27" t="s">
        <v>555</v>
      </c>
      <c r="H60" s="27" t="s">
        <v>556</v>
      </c>
      <c r="I60" s="28">
        <v>7670348</v>
      </c>
      <c r="J60" s="28">
        <v>76613230</v>
      </c>
      <c r="K60" s="26">
        <v>1057493</v>
      </c>
      <c r="L60" s="26">
        <v>56293</v>
      </c>
      <c r="M60" s="26" t="s">
        <v>6</v>
      </c>
      <c r="N60" s="26" t="s">
        <v>13</v>
      </c>
      <c r="O60" s="39"/>
      <c r="P60" s="1"/>
      <c r="Q60"/>
    </row>
    <row r="61" spans="1:17" x14ac:dyDescent="0.3">
      <c r="A61" s="26">
        <v>56</v>
      </c>
      <c r="B61" s="26">
        <f t="shared" si="0"/>
        <v>56</v>
      </c>
      <c r="C61" s="27" t="s">
        <v>167</v>
      </c>
      <c r="D61" s="27" t="s">
        <v>168</v>
      </c>
      <c r="E61" s="28"/>
      <c r="F61" s="28"/>
      <c r="G61" s="27" t="s">
        <v>169</v>
      </c>
      <c r="H61" s="27" t="s">
        <v>170</v>
      </c>
      <c r="I61" s="28">
        <v>7966397</v>
      </c>
      <c r="J61" s="28">
        <v>71751497</v>
      </c>
      <c r="K61" s="26">
        <v>1056207</v>
      </c>
      <c r="L61" s="26">
        <v>56277</v>
      </c>
      <c r="M61" s="26" t="s">
        <v>4</v>
      </c>
      <c r="N61" s="26"/>
      <c r="O61" s="39"/>
      <c r="P61" s="1"/>
      <c r="Q61"/>
    </row>
    <row r="62" spans="1:17" x14ac:dyDescent="0.3">
      <c r="A62" s="1">
        <v>58</v>
      </c>
      <c r="B62" s="1">
        <f t="shared" si="0"/>
        <v>57</v>
      </c>
      <c r="C62" s="4" t="s">
        <v>720</v>
      </c>
      <c r="D62" s="4" t="s">
        <v>721</v>
      </c>
      <c r="E62">
        <v>3283341</v>
      </c>
      <c r="F62">
        <v>72621931</v>
      </c>
      <c r="G62" s="4" t="s">
        <v>79</v>
      </c>
      <c r="H62" s="4" t="s">
        <v>642</v>
      </c>
      <c r="K62" s="1">
        <v>1055474</v>
      </c>
      <c r="L62" s="1">
        <v>8709</v>
      </c>
      <c r="M62" s="1" t="s">
        <v>7</v>
      </c>
      <c r="N62" s="1" t="s">
        <v>14</v>
      </c>
      <c r="O62" s="36"/>
      <c r="P62" s="1"/>
      <c r="Q62"/>
    </row>
    <row r="63" spans="1:17" x14ac:dyDescent="0.3">
      <c r="A63" s="1">
        <v>59</v>
      </c>
      <c r="B63" s="1">
        <f t="shared" si="0"/>
        <v>58</v>
      </c>
      <c r="C63" s="4" t="s">
        <v>1174</v>
      </c>
      <c r="D63" s="4" t="s">
        <v>1175</v>
      </c>
      <c r="E63">
        <v>6354678</v>
      </c>
      <c r="G63" s="4" t="s">
        <v>87</v>
      </c>
      <c r="H63" s="4" t="s">
        <v>1176</v>
      </c>
      <c r="I63">
        <v>6354678</v>
      </c>
      <c r="J63">
        <v>69151054</v>
      </c>
      <c r="K63" s="1">
        <v>1107559</v>
      </c>
      <c r="L63" s="1">
        <v>8697</v>
      </c>
      <c r="M63" s="1" t="s">
        <v>9</v>
      </c>
      <c r="O63" s="36"/>
      <c r="P63" s="1"/>
      <c r="Q63"/>
    </row>
    <row r="64" spans="1:17" x14ac:dyDescent="0.3">
      <c r="A64" s="1">
        <v>60</v>
      </c>
      <c r="B64" s="1">
        <f t="shared" si="0"/>
        <v>59</v>
      </c>
      <c r="C64" s="4" t="s">
        <v>806</v>
      </c>
      <c r="D64" s="4" t="s">
        <v>807</v>
      </c>
      <c r="E64">
        <v>6348926</v>
      </c>
      <c r="G64" s="4" t="s">
        <v>808</v>
      </c>
      <c r="H64" s="4" t="s">
        <v>528</v>
      </c>
      <c r="I64">
        <v>9800146</v>
      </c>
      <c r="J64" s="8">
        <v>60904473</v>
      </c>
      <c r="K64" s="1">
        <v>1056172</v>
      </c>
      <c r="L64" s="11">
        <v>82574</v>
      </c>
      <c r="M64" s="1" t="s">
        <v>7</v>
      </c>
      <c r="N64" s="11" t="s">
        <v>5</v>
      </c>
      <c r="O64" s="50">
        <v>4</v>
      </c>
      <c r="P64" s="1"/>
      <c r="Q64"/>
    </row>
    <row r="65" spans="1:17" x14ac:dyDescent="0.3">
      <c r="A65" s="1">
        <v>60</v>
      </c>
      <c r="B65" s="1">
        <f t="shared" si="0"/>
        <v>60</v>
      </c>
      <c r="C65" s="4" t="s">
        <v>525</v>
      </c>
      <c r="D65" s="4" t="s">
        <v>526</v>
      </c>
      <c r="E65">
        <v>6325170</v>
      </c>
      <c r="G65" s="4" t="s">
        <v>527</v>
      </c>
      <c r="H65" s="4" t="s">
        <v>528</v>
      </c>
      <c r="I65">
        <v>8924878</v>
      </c>
      <c r="J65">
        <v>60904473</v>
      </c>
      <c r="K65" s="1">
        <v>1056172</v>
      </c>
      <c r="L65" s="1">
        <v>82574</v>
      </c>
      <c r="M65" s="1" t="s">
        <v>5</v>
      </c>
      <c r="N65" s="11" t="s">
        <v>552</v>
      </c>
      <c r="O65" s="45">
        <v>4</v>
      </c>
      <c r="P65" s="1"/>
      <c r="Q65"/>
    </row>
    <row r="66" spans="1:17" x14ac:dyDescent="0.3">
      <c r="A66" s="1">
        <v>61</v>
      </c>
      <c r="B66" s="1">
        <f t="shared" si="0"/>
        <v>61</v>
      </c>
      <c r="C66" s="4" t="s">
        <v>742</v>
      </c>
      <c r="D66" s="4" t="s">
        <v>743</v>
      </c>
      <c r="E66">
        <v>7750453</v>
      </c>
      <c r="G66" s="4" t="s">
        <v>744</v>
      </c>
      <c r="H66" s="4" t="s">
        <v>534</v>
      </c>
      <c r="I66">
        <v>8891220</v>
      </c>
      <c r="J66">
        <v>72606551</v>
      </c>
      <c r="K66" s="58">
        <v>1056277</v>
      </c>
      <c r="L66" s="1">
        <v>8599</v>
      </c>
      <c r="M66" s="1" t="s">
        <v>7</v>
      </c>
      <c r="N66" s="1" t="s">
        <v>3002</v>
      </c>
      <c r="O66" s="49">
        <v>5</v>
      </c>
      <c r="P66" s="1"/>
      <c r="Q66"/>
    </row>
    <row r="67" spans="1:17" x14ac:dyDescent="0.3">
      <c r="A67" s="26">
        <v>61</v>
      </c>
      <c r="B67" s="26">
        <f t="shared" si="0"/>
        <v>62</v>
      </c>
      <c r="C67" s="27" t="s">
        <v>245</v>
      </c>
      <c r="D67" s="27" t="s">
        <v>533</v>
      </c>
      <c r="E67" s="28">
        <v>7695347</v>
      </c>
      <c r="F67" s="28"/>
      <c r="G67" s="27" t="s">
        <v>71</v>
      </c>
      <c r="H67" s="27" t="s">
        <v>534</v>
      </c>
      <c r="I67" s="28">
        <v>7827534</v>
      </c>
      <c r="J67" s="31">
        <v>75587093</v>
      </c>
      <c r="K67" s="26">
        <v>1056277</v>
      </c>
      <c r="L67" s="1">
        <v>8599</v>
      </c>
      <c r="M67" s="26" t="s">
        <v>5</v>
      </c>
      <c r="N67" s="26" t="s">
        <v>3003</v>
      </c>
      <c r="O67" s="46">
        <v>5</v>
      </c>
      <c r="P67" s="1"/>
      <c r="Q67"/>
    </row>
    <row r="68" spans="1:17" x14ac:dyDescent="0.3">
      <c r="A68" s="1">
        <v>62</v>
      </c>
      <c r="B68" s="1">
        <f t="shared" si="0"/>
        <v>63</v>
      </c>
      <c r="C68" s="4" t="s">
        <v>81</v>
      </c>
      <c r="D68" s="4" t="s">
        <v>82</v>
      </c>
      <c r="G68" s="4" t="s">
        <v>83</v>
      </c>
      <c r="H68" s="4" t="s">
        <v>84</v>
      </c>
      <c r="I68">
        <v>8875140</v>
      </c>
      <c r="J68" s="8">
        <v>67604293</v>
      </c>
      <c r="K68" s="1">
        <v>1056403</v>
      </c>
      <c r="L68" s="1">
        <v>8596</v>
      </c>
      <c r="M68" s="1" t="s">
        <v>4</v>
      </c>
      <c r="O68" s="36"/>
      <c r="P68" s="1"/>
      <c r="Q68"/>
    </row>
    <row r="69" spans="1:17" ht="15" customHeight="1" x14ac:dyDescent="0.3">
      <c r="A69" s="1">
        <v>63</v>
      </c>
      <c r="B69" s="1">
        <f t="shared" si="0"/>
        <v>64</v>
      </c>
      <c r="C69" s="4" t="s">
        <v>500</v>
      </c>
      <c r="D69" s="4" t="s">
        <v>501</v>
      </c>
      <c r="E69">
        <v>4582617</v>
      </c>
      <c r="G69" s="4" t="s">
        <v>502</v>
      </c>
      <c r="H69" s="4" t="s">
        <v>503</v>
      </c>
      <c r="I69">
        <v>4674885</v>
      </c>
      <c r="J69" s="8">
        <v>67738714</v>
      </c>
      <c r="K69" s="1">
        <v>1056480</v>
      </c>
      <c r="L69" s="15">
        <v>8592</v>
      </c>
      <c r="M69" s="1" t="s">
        <v>5</v>
      </c>
      <c r="N69" s="1" t="s">
        <v>17</v>
      </c>
      <c r="O69" s="36"/>
      <c r="P69" s="1"/>
      <c r="Q69"/>
    </row>
    <row r="70" spans="1:17" x14ac:dyDescent="0.3">
      <c r="A70" s="1">
        <v>64</v>
      </c>
      <c r="B70" s="1">
        <f t="shared" ref="B70:B103" si="1">ROW(B65)</f>
        <v>65</v>
      </c>
      <c r="C70" s="4" t="s">
        <v>159</v>
      </c>
      <c r="D70" s="4" t="s">
        <v>314</v>
      </c>
      <c r="E70">
        <v>4615298</v>
      </c>
      <c r="G70" s="4" t="s">
        <v>285</v>
      </c>
      <c r="H70" s="4" t="s">
        <v>315</v>
      </c>
      <c r="I70">
        <v>6265771</v>
      </c>
      <c r="J70">
        <v>76077411</v>
      </c>
      <c r="K70" s="1">
        <v>1056136</v>
      </c>
      <c r="L70" s="1">
        <v>8593</v>
      </c>
      <c r="M70" s="1" t="s">
        <v>3</v>
      </c>
      <c r="O70" s="36"/>
      <c r="P70" s="1"/>
      <c r="Q70"/>
    </row>
    <row r="71" spans="1:17" x14ac:dyDescent="0.3">
      <c r="A71" s="1">
        <v>65</v>
      </c>
      <c r="B71" s="1">
        <f t="shared" si="1"/>
        <v>66</v>
      </c>
      <c r="C71" s="4" t="s">
        <v>97</v>
      </c>
      <c r="D71" s="4" t="s">
        <v>55</v>
      </c>
      <c r="G71" s="4" t="s">
        <v>87</v>
      </c>
      <c r="H71" s="4" t="s">
        <v>98</v>
      </c>
      <c r="I71">
        <v>6376865</v>
      </c>
      <c r="J71">
        <v>78067530</v>
      </c>
      <c r="K71" s="1">
        <v>1056290</v>
      </c>
      <c r="L71" s="1">
        <v>8743</v>
      </c>
      <c r="M71" s="1" t="s">
        <v>4</v>
      </c>
      <c r="N71" s="1" t="s">
        <v>11</v>
      </c>
      <c r="O71" s="36"/>
      <c r="P71" s="1"/>
      <c r="Q71"/>
    </row>
    <row r="72" spans="1:17" x14ac:dyDescent="0.3">
      <c r="A72" s="1">
        <v>66</v>
      </c>
      <c r="B72" s="1">
        <f t="shared" si="1"/>
        <v>67</v>
      </c>
      <c r="C72" s="4" t="s">
        <v>261</v>
      </c>
      <c r="D72" s="4" t="s">
        <v>262</v>
      </c>
      <c r="E72">
        <v>8066524</v>
      </c>
      <c r="G72" s="4" t="s">
        <v>263</v>
      </c>
      <c r="H72" s="4" t="s">
        <v>264</v>
      </c>
      <c r="I72">
        <v>9056003</v>
      </c>
      <c r="J72">
        <v>77669109</v>
      </c>
      <c r="K72" s="1">
        <v>1056585</v>
      </c>
      <c r="L72" s="1">
        <v>82568</v>
      </c>
      <c r="M72" s="1" t="s">
        <v>3</v>
      </c>
      <c r="N72" s="57"/>
      <c r="O72" s="36"/>
      <c r="P72" s="1"/>
      <c r="Q72"/>
    </row>
    <row r="73" spans="1:17" x14ac:dyDescent="0.3">
      <c r="A73" s="1">
        <v>67</v>
      </c>
      <c r="B73" s="1">
        <f t="shared" si="1"/>
        <v>68</v>
      </c>
      <c r="C73" s="4" t="s">
        <v>541</v>
      </c>
      <c r="D73" s="4" t="s">
        <v>1703</v>
      </c>
      <c r="G73" s="4" t="s">
        <v>541</v>
      </c>
      <c r="H73" s="4" t="s">
        <v>1704</v>
      </c>
      <c r="I73" t="s">
        <v>540</v>
      </c>
      <c r="K73" s="1">
        <v>1056564</v>
      </c>
      <c r="L73" s="1">
        <v>8577</v>
      </c>
      <c r="M73" s="1" t="s">
        <v>5</v>
      </c>
      <c r="O73" s="36"/>
      <c r="P73" s="1"/>
      <c r="Q73"/>
    </row>
    <row r="74" spans="1:17" ht="28.8" x14ac:dyDescent="0.3">
      <c r="A74" s="1">
        <v>68</v>
      </c>
      <c r="B74" s="1">
        <f t="shared" si="1"/>
        <v>69</v>
      </c>
      <c r="C74" s="4" t="s">
        <v>245</v>
      </c>
      <c r="D74" s="4" t="s">
        <v>246</v>
      </c>
      <c r="E74">
        <v>5405838</v>
      </c>
      <c r="G74" s="4" t="s">
        <v>247</v>
      </c>
      <c r="H74" s="4" t="s">
        <v>248</v>
      </c>
      <c r="I74">
        <v>7921154</v>
      </c>
      <c r="J74">
        <v>71038984</v>
      </c>
      <c r="K74" s="1">
        <v>1056510</v>
      </c>
      <c r="L74" s="53" t="s">
        <v>2982</v>
      </c>
      <c r="M74" s="1" t="s">
        <v>3</v>
      </c>
      <c r="N74" s="1" t="s">
        <v>10</v>
      </c>
      <c r="O74" s="43"/>
      <c r="P74" s="1"/>
      <c r="Q74"/>
    </row>
    <row r="75" spans="1:17" x14ac:dyDescent="0.3">
      <c r="A75" s="1">
        <v>69</v>
      </c>
      <c r="B75" s="1">
        <f t="shared" si="1"/>
        <v>70</v>
      </c>
      <c r="C75" s="4" t="s">
        <v>115</v>
      </c>
      <c r="D75" s="4" t="s">
        <v>116</v>
      </c>
      <c r="E75">
        <v>10782431</v>
      </c>
      <c r="G75" s="4" t="s">
        <v>117</v>
      </c>
      <c r="H75" s="4" t="s">
        <v>118</v>
      </c>
      <c r="I75">
        <v>4144053</v>
      </c>
      <c r="J75">
        <v>62181252</v>
      </c>
      <c r="K75" s="1">
        <v>1056609</v>
      </c>
      <c r="L75" s="1">
        <v>8694</v>
      </c>
      <c r="M75" s="1" t="s">
        <v>4</v>
      </c>
      <c r="O75" s="40">
        <v>2</v>
      </c>
      <c r="P75" s="1"/>
      <c r="Q75"/>
    </row>
    <row r="76" spans="1:17" x14ac:dyDescent="0.3">
      <c r="A76" s="1">
        <v>69</v>
      </c>
      <c r="B76" s="1">
        <f t="shared" si="1"/>
        <v>71</v>
      </c>
      <c r="C76" s="4" t="s">
        <v>2150</v>
      </c>
      <c r="D76" s="4" t="s">
        <v>3011</v>
      </c>
      <c r="G76" s="4" t="s">
        <v>2150</v>
      </c>
      <c r="H76" s="4" t="s">
        <v>3012</v>
      </c>
      <c r="K76" s="1">
        <v>1056609</v>
      </c>
      <c r="L76" s="1">
        <v>8694</v>
      </c>
      <c r="M76" s="1" t="s">
        <v>10</v>
      </c>
      <c r="N76" s="1" t="s">
        <v>3013</v>
      </c>
      <c r="O76" s="36"/>
      <c r="P76" s="1"/>
      <c r="Q76"/>
    </row>
    <row r="77" spans="1:17" x14ac:dyDescent="0.3">
      <c r="A77" s="26">
        <v>89</v>
      </c>
      <c r="B77" s="26">
        <f t="shared" si="1"/>
        <v>72</v>
      </c>
      <c r="C77" s="27" t="s">
        <v>559</v>
      </c>
      <c r="D77" s="27" t="s">
        <v>560</v>
      </c>
      <c r="E77" s="28">
        <v>7693719</v>
      </c>
      <c r="F77" s="28"/>
      <c r="G77" s="27" t="s">
        <v>561</v>
      </c>
      <c r="H77" s="27" t="s">
        <v>562</v>
      </c>
      <c r="I77" s="28">
        <v>7690637</v>
      </c>
      <c r="J77" s="28">
        <v>73182203</v>
      </c>
      <c r="K77" s="26">
        <v>1057336</v>
      </c>
      <c r="L77" s="26" t="s">
        <v>31</v>
      </c>
      <c r="M77" s="26" t="s">
        <v>6</v>
      </c>
      <c r="N77" s="26" t="s">
        <v>19</v>
      </c>
      <c r="O77" s="39"/>
      <c r="P77" s="1"/>
      <c r="Q77"/>
    </row>
    <row r="78" spans="1:17" x14ac:dyDescent="0.3">
      <c r="A78" s="1">
        <v>71</v>
      </c>
      <c r="B78" s="1">
        <f t="shared" si="1"/>
        <v>73</v>
      </c>
      <c r="C78" s="4" t="s">
        <v>447</v>
      </c>
      <c r="D78" s="4" t="s">
        <v>448</v>
      </c>
      <c r="E78">
        <v>4673861</v>
      </c>
      <c r="G78" s="4" t="s">
        <v>449</v>
      </c>
      <c r="H78" s="4" t="s">
        <v>450</v>
      </c>
      <c r="I78">
        <v>8221300</v>
      </c>
      <c r="J78">
        <v>74693356</v>
      </c>
      <c r="K78" s="1">
        <v>1056565</v>
      </c>
      <c r="L78" s="1">
        <v>8581</v>
      </c>
      <c r="M78" s="1" t="s">
        <v>5</v>
      </c>
      <c r="O78" s="36"/>
      <c r="P78" s="1"/>
      <c r="Q78"/>
    </row>
    <row r="79" spans="1:17" x14ac:dyDescent="0.3">
      <c r="A79" s="26">
        <v>72</v>
      </c>
      <c r="B79" s="26">
        <f t="shared" si="1"/>
        <v>74</v>
      </c>
      <c r="C79" s="27" t="s">
        <v>541</v>
      </c>
      <c r="D79" s="27" t="s">
        <v>542</v>
      </c>
      <c r="E79" s="28"/>
      <c r="F79" s="28"/>
      <c r="G79" s="27" t="s">
        <v>543</v>
      </c>
      <c r="H79" s="27" t="s">
        <v>544</v>
      </c>
      <c r="I79" s="28" t="s">
        <v>540</v>
      </c>
      <c r="J79" s="28"/>
      <c r="K79" s="26" t="s">
        <v>31</v>
      </c>
      <c r="L79" s="26" t="s">
        <v>31</v>
      </c>
      <c r="M79" s="26" t="s">
        <v>4</v>
      </c>
      <c r="N79" s="26"/>
      <c r="O79" s="41">
        <v>2</v>
      </c>
      <c r="P79" s="1"/>
      <c r="Q79"/>
    </row>
    <row r="80" spans="1:17" ht="28.8" x14ac:dyDescent="0.3">
      <c r="A80" s="1">
        <v>73</v>
      </c>
      <c r="B80" s="1">
        <f t="shared" si="1"/>
        <v>75</v>
      </c>
      <c r="C80" s="4" t="s">
        <v>1303</v>
      </c>
      <c r="D80" s="4" t="s">
        <v>1362</v>
      </c>
      <c r="E80">
        <v>4548341</v>
      </c>
      <c r="G80" s="4" t="s">
        <v>1363</v>
      </c>
      <c r="H80" s="4" t="s">
        <v>1364</v>
      </c>
      <c r="I80">
        <v>7842509</v>
      </c>
      <c r="J80">
        <v>76671794</v>
      </c>
      <c r="K80" s="1">
        <v>1056664</v>
      </c>
      <c r="L80" s="17" t="s">
        <v>1365</v>
      </c>
      <c r="M80" s="1" t="s">
        <v>11</v>
      </c>
      <c r="O80" s="36"/>
      <c r="P80" s="1"/>
      <c r="Q80"/>
    </row>
    <row r="81" spans="1:17" ht="27" x14ac:dyDescent="0.3">
      <c r="A81" s="26">
        <v>74</v>
      </c>
      <c r="B81" s="26">
        <f t="shared" si="1"/>
        <v>76</v>
      </c>
      <c r="C81" s="34" t="s">
        <v>2972</v>
      </c>
      <c r="D81" s="27" t="s">
        <v>287</v>
      </c>
      <c r="E81" s="28">
        <v>47433795</v>
      </c>
      <c r="F81" s="28"/>
      <c r="G81" s="27" t="s">
        <v>288</v>
      </c>
      <c r="H81" s="27" t="s">
        <v>289</v>
      </c>
      <c r="I81" s="28">
        <v>11321584</v>
      </c>
      <c r="J81" s="28">
        <v>77374475</v>
      </c>
      <c r="K81" s="26">
        <v>1056729</v>
      </c>
      <c r="L81" s="26" t="s">
        <v>31</v>
      </c>
      <c r="M81" s="26" t="s">
        <v>3</v>
      </c>
      <c r="N81" s="26"/>
      <c r="O81" s="39"/>
      <c r="P81" s="1"/>
      <c r="Q81"/>
    </row>
    <row r="82" spans="1:17" x14ac:dyDescent="0.3">
      <c r="A82" s="1">
        <v>70</v>
      </c>
      <c r="B82" s="1">
        <f t="shared" si="1"/>
        <v>77</v>
      </c>
      <c r="C82" s="4" t="s">
        <v>563</v>
      </c>
      <c r="D82" s="4" t="s">
        <v>564</v>
      </c>
      <c r="E82">
        <v>5696472</v>
      </c>
      <c r="G82" s="4" t="s">
        <v>565</v>
      </c>
      <c r="H82" s="4" t="s">
        <v>566</v>
      </c>
      <c r="I82">
        <v>10359045</v>
      </c>
      <c r="J82">
        <v>74649918</v>
      </c>
      <c r="K82" s="1">
        <v>1056630</v>
      </c>
      <c r="L82" s="1">
        <v>8562</v>
      </c>
      <c r="M82" s="1" t="s">
        <v>6</v>
      </c>
      <c r="O82" s="36"/>
      <c r="P82" s="1"/>
      <c r="Q82"/>
    </row>
    <row r="83" spans="1:17" x14ac:dyDescent="0.3">
      <c r="A83" s="26">
        <v>76</v>
      </c>
      <c r="B83" s="26">
        <f t="shared" si="1"/>
        <v>78</v>
      </c>
      <c r="C83" s="27" t="s">
        <v>1554</v>
      </c>
      <c r="D83" s="27" t="s">
        <v>1555</v>
      </c>
      <c r="E83" s="28"/>
      <c r="F83" s="28"/>
      <c r="G83" s="27" t="s">
        <v>1556</v>
      </c>
      <c r="H83" s="27" t="s">
        <v>1557</v>
      </c>
      <c r="I83" s="28">
        <v>8132061</v>
      </c>
      <c r="J83" s="28">
        <v>71075067</v>
      </c>
      <c r="K83" s="32">
        <v>1057322</v>
      </c>
      <c r="L83" s="26">
        <v>56267</v>
      </c>
      <c r="M83" s="26" t="s">
        <v>13</v>
      </c>
      <c r="N83" s="26"/>
      <c r="O83" s="39"/>
      <c r="P83" s="1"/>
      <c r="Q83"/>
    </row>
    <row r="84" spans="1:17" x14ac:dyDescent="0.3">
      <c r="A84" s="1">
        <v>77</v>
      </c>
      <c r="B84" s="1">
        <f t="shared" si="1"/>
        <v>79</v>
      </c>
      <c r="C84" s="4" t="s">
        <v>573</v>
      </c>
      <c r="D84" s="4" t="s">
        <v>670</v>
      </c>
      <c r="E84">
        <v>9620216</v>
      </c>
      <c r="G84" s="4" t="s">
        <v>296</v>
      </c>
      <c r="H84" s="4" t="s">
        <v>800</v>
      </c>
      <c r="I84">
        <v>8876366</v>
      </c>
      <c r="J84">
        <v>73668568</v>
      </c>
      <c r="K84" s="1">
        <v>1056622</v>
      </c>
      <c r="L84" s="1">
        <v>8708</v>
      </c>
      <c r="M84" s="1" t="s">
        <v>7</v>
      </c>
      <c r="O84" s="36"/>
      <c r="P84" s="1"/>
      <c r="Q84"/>
    </row>
    <row r="85" spans="1:17" x14ac:dyDescent="0.3">
      <c r="A85" s="1">
        <v>78</v>
      </c>
      <c r="B85" s="1">
        <f t="shared" si="1"/>
        <v>80</v>
      </c>
      <c r="C85" s="4" t="s">
        <v>1367</v>
      </c>
      <c r="D85" s="4" t="s">
        <v>1368</v>
      </c>
      <c r="E85">
        <v>3889774</v>
      </c>
      <c r="F85">
        <v>71074644</v>
      </c>
      <c r="G85" s="4" t="s">
        <v>1369</v>
      </c>
      <c r="H85" s="4" t="s">
        <v>1370</v>
      </c>
      <c r="I85">
        <v>4697603</v>
      </c>
      <c r="K85" s="1">
        <v>1056854</v>
      </c>
      <c r="L85" s="1">
        <v>8740</v>
      </c>
      <c r="M85" s="1" t="s">
        <v>11</v>
      </c>
      <c r="O85" s="36"/>
      <c r="P85" s="1"/>
      <c r="Q85"/>
    </row>
    <row r="86" spans="1:17" x14ac:dyDescent="0.3">
      <c r="A86" s="26">
        <v>79</v>
      </c>
      <c r="B86" s="26">
        <f t="shared" si="1"/>
        <v>81</v>
      </c>
      <c r="C86" s="27" t="s">
        <v>425</v>
      </c>
      <c r="D86" s="27" t="s">
        <v>426</v>
      </c>
      <c r="E86" s="28"/>
      <c r="F86" s="28"/>
      <c r="G86" s="27" t="s">
        <v>427</v>
      </c>
      <c r="H86" s="27" t="s">
        <v>428</v>
      </c>
      <c r="I86" s="28">
        <v>10405443</v>
      </c>
      <c r="J86" s="28">
        <v>63584852</v>
      </c>
      <c r="K86" s="26">
        <v>1057253</v>
      </c>
      <c r="L86" s="26" t="s">
        <v>31</v>
      </c>
      <c r="M86" s="26" t="s">
        <v>5</v>
      </c>
      <c r="N86" s="26"/>
      <c r="O86" s="39"/>
      <c r="P86" s="1"/>
      <c r="Q86"/>
    </row>
    <row r="87" spans="1:17" x14ac:dyDescent="0.3">
      <c r="A87" s="26">
        <v>80</v>
      </c>
      <c r="B87" s="26">
        <f t="shared" si="1"/>
        <v>82</v>
      </c>
      <c r="C87" s="27" t="s">
        <v>159</v>
      </c>
      <c r="D87" s="27" t="s">
        <v>160</v>
      </c>
      <c r="E87" s="28">
        <v>4129162</v>
      </c>
      <c r="F87" s="28"/>
      <c r="G87" s="27" t="s">
        <v>161</v>
      </c>
      <c r="H87" s="27" t="s">
        <v>162</v>
      </c>
      <c r="I87" s="28">
        <v>7166513</v>
      </c>
      <c r="J87" s="28">
        <v>77361158</v>
      </c>
      <c r="K87" s="26">
        <v>1056748</v>
      </c>
      <c r="L87" s="26">
        <v>56274</v>
      </c>
      <c r="M87" s="26" t="s">
        <v>4</v>
      </c>
      <c r="N87" s="26"/>
      <c r="O87" s="39"/>
      <c r="P87" s="1"/>
      <c r="Q87"/>
    </row>
    <row r="88" spans="1:17" x14ac:dyDescent="0.3">
      <c r="A88" s="1">
        <v>81</v>
      </c>
      <c r="B88" s="1">
        <f t="shared" si="1"/>
        <v>83</v>
      </c>
      <c r="C88" s="4" t="s">
        <v>1100</v>
      </c>
      <c r="D88" s="4" t="s">
        <v>1101</v>
      </c>
      <c r="E88">
        <v>3961330</v>
      </c>
      <c r="G88" s="4" t="s">
        <v>1102</v>
      </c>
      <c r="H88" s="4" t="s">
        <v>756</v>
      </c>
      <c r="I88">
        <v>3901191</v>
      </c>
      <c r="J88">
        <v>76673477</v>
      </c>
      <c r="K88" s="1">
        <v>1057339</v>
      </c>
      <c r="L88" s="1">
        <v>8674</v>
      </c>
      <c r="M88" s="1" t="s">
        <v>8</v>
      </c>
      <c r="O88" s="36"/>
      <c r="P88" s="1"/>
      <c r="Q88"/>
    </row>
    <row r="89" spans="1:17" x14ac:dyDescent="0.3">
      <c r="A89" s="1">
        <v>82</v>
      </c>
      <c r="B89" s="1">
        <f t="shared" si="1"/>
        <v>84</v>
      </c>
      <c r="C89" s="4" t="s">
        <v>1137</v>
      </c>
      <c r="D89" s="4" t="s">
        <v>1138</v>
      </c>
      <c r="E89">
        <v>6276629</v>
      </c>
      <c r="G89" s="4" t="s">
        <v>312</v>
      </c>
      <c r="H89" s="4" t="s">
        <v>1139</v>
      </c>
      <c r="I89">
        <v>8166561</v>
      </c>
      <c r="J89">
        <v>77193873</v>
      </c>
      <c r="K89" s="1">
        <v>1056924</v>
      </c>
      <c r="L89" s="1">
        <v>8654</v>
      </c>
      <c r="M89" s="1" t="s">
        <v>9</v>
      </c>
      <c r="O89" s="36"/>
      <c r="P89" s="1"/>
      <c r="Q89"/>
    </row>
    <row r="90" spans="1:17" x14ac:dyDescent="0.3">
      <c r="A90" s="26">
        <v>260</v>
      </c>
      <c r="B90" s="26">
        <f t="shared" si="1"/>
        <v>85</v>
      </c>
      <c r="C90" s="27" t="s">
        <v>29</v>
      </c>
      <c r="D90" s="27" t="s">
        <v>567</v>
      </c>
      <c r="E90" s="28">
        <v>8931699</v>
      </c>
      <c r="F90" s="28"/>
      <c r="G90" s="27" t="s">
        <v>520</v>
      </c>
      <c r="H90" s="27" t="s">
        <v>568</v>
      </c>
      <c r="I90" s="28">
        <v>8178278</v>
      </c>
      <c r="J90" s="28">
        <v>79477722</v>
      </c>
      <c r="K90" s="26">
        <v>1057998</v>
      </c>
      <c r="L90" s="26">
        <v>56286</v>
      </c>
      <c r="M90" s="26" t="s">
        <v>6</v>
      </c>
      <c r="N90" s="26"/>
      <c r="O90" s="39"/>
      <c r="P90" s="1"/>
      <c r="Q90"/>
    </row>
    <row r="91" spans="1:17" x14ac:dyDescent="0.3">
      <c r="A91" s="18">
        <v>84</v>
      </c>
      <c r="B91" s="1">
        <f t="shared" si="1"/>
        <v>86</v>
      </c>
      <c r="C91" s="4" t="s">
        <v>1496</v>
      </c>
      <c r="D91" s="4" t="s">
        <v>1497</v>
      </c>
      <c r="E91" s="8">
        <v>4684660</v>
      </c>
      <c r="F91">
        <v>72193550</v>
      </c>
      <c r="G91" s="4" t="s">
        <v>288</v>
      </c>
      <c r="H91" s="4" t="s">
        <v>1498</v>
      </c>
      <c r="I91">
        <v>11321133</v>
      </c>
      <c r="K91" s="18">
        <v>1058997</v>
      </c>
      <c r="L91" s="1">
        <v>82603</v>
      </c>
      <c r="M91" s="1" t="s">
        <v>12</v>
      </c>
      <c r="O91" s="36"/>
      <c r="P91" s="1"/>
      <c r="Q91"/>
    </row>
    <row r="92" spans="1:17" x14ac:dyDescent="0.3">
      <c r="A92" s="26">
        <v>85</v>
      </c>
      <c r="B92" s="26">
        <f t="shared" si="1"/>
        <v>87</v>
      </c>
      <c r="C92" s="27" t="s">
        <v>1113</v>
      </c>
      <c r="D92" s="27" t="s">
        <v>220</v>
      </c>
      <c r="E92" s="28">
        <v>5103986</v>
      </c>
      <c r="F92" s="28">
        <v>67788719</v>
      </c>
      <c r="G92" s="27" t="s">
        <v>1114</v>
      </c>
      <c r="H92" s="27" t="s">
        <v>1115</v>
      </c>
      <c r="I92" s="28">
        <v>9042811</v>
      </c>
      <c r="J92" s="28"/>
      <c r="K92" s="26">
        <v>1057391</v>
      </c>
      <c r="L92" s="26" t="s">
        <v>31</v>
      </c>
      <c r="M92" s="26" t="s">
        <v>9</v>
      </c>
      <c r="N92" s="26"/>
      <c r="O92" s="39"/>
      <c r="P92" s="1"/>
      <c r="Q92"/>
    </row>
    <row r="93" spans="1:17" x14ac:dyDescent="0.3">
      <c r="A93" s="26" t="s">
        <v>3120</v>
      </c>
      <c r="B93" s="26">
        <f t="shared" si="1"/>
        <v>88</v>
      </c>
      <c r="C93" s="27" t="s">
        <v>569</v>
      </c>
      <c r="D93" s="27" t="s">
        <v>570</v>
      </c>
      <c r="E93" s="28">
        <v>6272973</v>
      </c>
      <c r="F93" s="28"/>
      <c r="G93" s="27" t="s">
        <v>255</v>
      </c>
      <c r="H93" s="27" t="s">
        <v>571</v>
      </c>
      <c r="I93" s="28">
        <v>8105009</v>
      </c>
      <c r="J93" s="28">
        <v>63535274</v>
      </c>
      <c r="K93" s="26">
        <v>1058073</v>
      </c>
      <c r="L93" s="26">
        <v>56254</v>
      </c>
      <c r="M93" s="26" t="s">
        <v>6</v>
      </c>
      <c r="N93" s="26" t="s">
        <v>12</v>
      </c>
      <c r="O93" s="39"/>
      <c r="P93" s="1"/>
      <c r="Q93"/>
    </row>
    <row r="94" spans="1:17" x14ac:dyDescent="0.3">
      <c r="A94" s="26">
        <v>87</v>
      </c>
      <c r="B94" s="26">
        <f t="shared" si="1"/>
        <v>89</v>
      </c>
      <c r="C94" s="27" t="s">
        <v>1013</v>
      </c>
      <c r="D94" s="27" t="s">
        <v>1014</v>
      </c>
      <c r="E94" s="28">
        <v>4603324</v>
      </c>
      <c r="F94" s="28"/>
      <c r="G94" s="27" t="s">
        <v>1015</v>
      </c>
      <c r="H94" s="27" t="s">
        <v>1016</v>
      </c>
      <c r="I94" s="28">
        <v>6248105</v>
      </c>
      <c r="J94" s="28">
        <v>76686400</v>
      </c>
      <c r="K94" s="29">
        <v>11665948</v>
      </c>
      <c r="L94" s="26">
        <v>82646</v>
      </c>
      <c r="M94" s="26" t="s">
        <v>8</v>
      </c>
      <c r="N94" s="26"/>
      <c r="O94" s="39"/>
      <c r="P94" s="1"/>
      <c r="Q94"/>
    </row>
    <row r="95" spans="1:17" x14ac:dyDescent="0.3">
      <c r="A95" s="1">
        <v>88</v>
      </c>
      <c r="B95" s="1">
        <f t="shared" si="1"/>
        <v>90</v>
      </c>
      <c r="C95" s="4" t="s">
        <v>1093</v>
      </c>
      <c r="D95" s="4" t="s">
        <v>1094</v>
      </c>
      <c r="E95">
        <v>7579327</v>
      </c>
      <c r="G95" s="4" t="s">
        <v>1095</v>
      </c>
      <c r="H95" s="4" t="s">
        <v>102</v>
      </c>
      <c r="I95">
        <v>12427503</v>
      </c>
      <c r="J95">
        <v>77010697</v>
      </c>
      <c r="K95" s="1">
        <v>1055384</v>
      </c>
      <c r="L95" s="1">
        <v>8556</v>
      </c>
      <c r="M95" s="1" t="s">
        <v>8</v>
      </c>
      <c r="O95" s="36" t="s">
        <v>2949</v>
      </c>
      <c r="P95" s="1"/>
      <c r="Q95"/>
    </row>
    <row r="96" spans="1:17" x14ac:dyDescent="0.3">
      <c r="A96" s="1">
        <v>172</v>
      </c>
      <c r="B96" s="1">
        <f t="shared" si="1"/>
        <v>91</v>
      </c>
      <c r="C96" s="4" t="s">
        <v>573</v>
      </c>
      <c r="D96" s="4" t="s">
        <v>305</v>
      </c>
      <c r="G96" s="4" t="s">
        <v>574</v>
      </c>
      <c r="H96" s="4" t="s">
        <v>575</v>
      </c>
      <c r="I96">
        <v>7826188</v>
      </c>
      <c r="J96">
        <v>766135278</v>
      </c>
      <c r="K96" s="1">
        <v>1057685</v>
      </c>
      <c r="L96" s="1">
        <v>64168</v>
      </c>
      <c r="M96" s="1" t="s">
        <v>6</v>
      </c>
      <c r="O96" s="36"/>
      <c r="P96" s="1"/>
      <c r="Q96"/>
    </row>
    <row r="97" spans="1:17" x14ac:dyDescent="0.3">
      <c r="A97" s="26">
        <v>90</v>
      </c>
      <c r="B97" s="26">
        <f t="shared" si="1"/>
        <v>92</v>
      </c>
      <c r="C97" s="27" t="s">
        <v>1225</v>
      </c>
      <c r="D97" s="27" t="s">
        <v>1226</v>
      </c>
      <c r="E97" s="28"/>
      <c r="F97" s="28"/>
      <c r="G97" s="27" t="s">
        <v>1227</v>
      </c>
      <c r="H97" s="27" t="s">
        <v>1228</v>
      </c>
      <c r="I97" s="28">
        <v>5386305</v>
      </c>
      <c r="J97" s="28">
        <v>78175097</v>
      </c>
      <c r="K97" s="26">
        <v>1056573</v>
      </c>
      <c r="L97" s="26" t="s">
        <v>31</v>
      </c>
      <c r="M97" s="26" t="s">
        <v>9</v>
      </c>
      <c r="N97" s="26"/>
      <c r="O97" s="39"/>
      <c r="P97" s="1"/>
      <c r="Q97"/>
    </row>
    <row r="98" spans="1:17" x14ac:dyDescent="0.3">
      <c r="A98" s="1">
        <v>91</v>
      </c>
      <c r="B98" s="1">
        <f t="shared" si="1"/>
        <v>93</v>
      </c>
      <c r="C98" s="4" t="s">
        <v>806</v>
      </c>
      <c r="D98" s="4" t="s">
        <v>1152</v>
      </c>
      <c r="E98">
        <v>9002284</v>
      </c>
      <c r="G98" s="4" t="s">
        <v>1574</v>
      </c>
      <c r="H98" s="4" t="s">
        <v>1575</v>
      </c>
      <c r="I98">
        <v>9702061</v>
      </c>
      <c r="J98">
        <v>78090833</v>
      </c>
      <c r="K98" s="1">
        <v>1056560</v>
      </c>
      <c r="L98" s="1">
        <v>82604</v>
      </c>
      <c r="M98" s="1" t="s">
        <v>13</v>
      </c>
      <c r="O98" s="40" t="s">
        <v>2953</v>
      </c>
      <c r="P98" s="1"/>
      <c r="Q98"/>
    </row>
    <row r="99" spans="1:17" x14ac:dyDescent="0.3">
      <c r="A99" s="26">
        <v>92</v>
      </c>
      <c r="B99" s="26">
        <f t="shared" si="1"/>
        <v>94</v>
      </c>
      <c r="C99" s="27" t="s">
        <v>1090</v>
      </c>
      <c r="D99" s="27" t="s">
        <v>825</v>
      </c>
      <c r="E99" s="28">
        <v>4575064</v>
      </c>
      <c r="F99" s="28"/>
      <c r="G99" s="27" t="s">
        <v>95</v>
      </c>
      <c r="H99" s="27" t="s">
        <v>1091</v>
      </c>
      <c r="I99" s="28">
        <v>8061970</v>
      </c>
      <c r="J99" s="28">
        <v>75056850</v>
      </c>
      <c r="K99" s="26">
        <v>1057395</v>
      </c>
      <c r="L99" s="26">
        <v>56045</v>
      </c>
      <c r="M99" s="26" t="s">
        <v>8</v>
      </c>
      <c r="N99" s="26" t="s">
        <v>20</v>
      </c>
      <c r="O99" s="39"/>
      <c r="P99" s="1"/>
      <c r="Q99"/>
    </row>
    <row r="100" spans="1:17" x14ac:dyDescent="0.3">
      <c r="A100" s="1">
        <v>93</v>
      </c>
      <c r="B100" s="1">
        <f t="shared" si="1"/>
        <v>95</v>
      </c>
      <c r="C100" s="4" t="s">
        <v>1027</v>
      </c>
      <c r="D100" s="4" t="s">
        <v>1028</v>
      </c>
      <c r="E100">
        <v>6300707</v>
      </c>
      <c r="G100" s="4" t="s">
        <v>1029</v>
      </c>
      <c r="H100" s="4" t="s">
        <v>1030</v>
      </c>
      <c r="I100">
        <v>9819048</v>
      </c>
      <c r="J100">
        <v>77014775</v>
      </c>
      <c r="K100" s="1">
        <v>1057394</v>
      </c>
      <c r="L100" s="1">
        <v>8712</v>
      </c>
      <c r="M100" s="1" t="s">
        <v>8</v>
      </c>
      <c r="O100" s="36"/>
      <c r="P100" s="1"/>
      <c r="Q100"/>
    </row>
    <row r="101" spans="1:17" x14ac:dyDescent="0.3">
      <c r="A101" s="1">
        <v>95</v>
      </c>
      <c r="B101" s="1">
        <f t="shared" si="1"/>
        <v>96</v>
      </c>
      <c r="C101" s="4" t="s">
        <v>123</v>
      </c>
      <c r="D101" s="4" t="s">
        <v>124</v>
      </c>
      <c r="E101">
        <v>5387385</v>
      </c>
      <c r="G101" s="4" t="s">
        <v>87</v>
      </c>
      <c r="H101" s="4" t="s">
        <v>125</v>
      </c>
      <c r="I101">
        <v>7744273</v>
      </c>
      <c r="J101">
        <v>77816125</v>
      </c>
      <c r="K101" s="1">
        <v>1056950</v>
      </c>
      <c r="L101" s="1">
        <v>8572</v>
      </c>
      <c r="M101" s="1" t="s">
        <v>4</v>
      </c>
      <c r="O101" s="36"/>
      <c r="P101" s="1"/>
      <c r="Q101"/>
    </row>
    <row r="102" spans="1:17" x14ac:dyDescent="0.3">
      <c r="A102" s="1">
        <v>96</v>
      </c>
      <c r="B102" s="1">
        <f t="shared" si="1"/>
        <v>97</v>
      </c>
      <c r="C102" s="4" t="s">
        <v>1559</v>
      </c>
      <c r="D102" s="4" t="s">
        <v>1560</v>
      </c>
      <c r="E102">
        <v>6264106</v>
      </c>
      <c r="G102" s="4" t="s">
        <v>1391</v>
      </c>
      <c r="H102" s="4" t="s">
        <v>1561</v>
      </c>
      <c r="I102">
        <v>4712056</v>
      </c>
      <c r="J102">
        <v>77161594</v>
      </c>
      <c r="K102" s="1">
        <v>1057114</v>
      </c>
      <c r="L102" s="1">
        <v>56011</v>
      </c>
      <c r="M102" s="1" t="s">
        <v>13</v>
      </c>
      <c r="O102" s="36"/>
      <c r="P102" s="1"/>
      <c r="Q102"/>
    </row>
    <row r="103" spans="1:17" x14ac:dyDescent="0.3">
      <c r="A103" s="1">
        <v>97</v>
      </c>
      <c r="B103" s="1">
        <f t="shared" si="1"/>
        <v>98</v>
      </c>
      <c r="C103" s="4" t="s">
        <v>470</v>
      </c>
      <c r="D103" s="4" t="s">
        <v>471</v>
      </c>
      <c r="E103">
        <v>9850212</v>
      </c>
      <c r="G103" s="4" t="s">
        <v>472</v>
      </c>
      <c r="H103" s="4" t="s">
        <v>473</v>
      </c>
      <c r="I103">
        <v>7791433</v>
      </c>
      <c r="J103">
        <v>68929405</v>
      </c>
      <c r="K103" s="1">
        <v>1057425</v>
      </c>
      <c r="L103" s="1">
        <v>8573</v>
      </c>
      <c r="M103" s="1" t="s">
        <v>5</v>
      </c>
      <c r="N103" s="1" t="s">
        <v>9</v>
      </c>
      <c r="O103" s="36"/>
      <c r="P103" s="1"/>
      <c r="Q103"/>
    </row>
    <row r="104" spans="1:17" x14ac:dyDescent="0.3">
      <c r="A104" s="1">
        <v>98</v>
      </c>
      <c r="B104" s="1">
        <f t="shared" ref="B104:B167" si="2">ROW(B99)</f>
        <v>99</v>
      </c>
      <c r="C104" s="4" t="s">
        <v>1638</v>
      </c>
      <c r="D104" s="4" t="s">
        <v>1639</v>
      </c>
      <c r="G104" s="4" t="s">
        <v>1640</v>
      </c>
      <c r="H104" s="4" t="s">
        <v>1641</v>
      </c>
      <c r="I104">
        <v>7831496</v>
      </c>
      <c r="J104">
        <v>64441882</v>
      </c>
      <c r="K104" s="11">
        <v>1057362</v>
      </c>
      <c r="L104" s="1">
        <v>82554</v>
      </c>
      <c r="M104" s="1" t="s">
        <v>14</v>
      </c>
      <c r="O104" s="36"/>
      <c r="P104" s="1"/>
      <c r="Q104"/>
    </row>
    <row r="105" spans="1:17" ht="27" x14ac:dyDescent="0.3">
      <c r="A105" s="26">
        <v>345</v>
      </c>
      <c r="B105" s="26">
        <f t="shared" si="2"/>
        <v>100</v>
      </c>
      <c r="C105" s="34" t="s">
        <v>2973</v>
      </c>
      <c r="D105" s="27" t="s">
        <v>3009</v>
      </c>
      <c r="E105" s="28">
        <v>8914926</v>
      </c>
      <c r="F105" s="28"/>
      <c r="G105" s="27" t="s">
        <v>581</v>
      </c>
      <c r="H105" s="27" t="s">
        <v>582</v>
      </c>
      <c r="I105" s="28">
        <v>8893403</v>
      </c>
      <c r="J105" s="28">
        <v>75395093</v>
      </c>
      <c r="K105" s="26">
        <v>1057786</v>
      </c>
      <c r="L105" s="26">
        <v>56290</v>
      </c>
      <c r="M105" s="26" t="s">
        <v>6</v>
      </c>
      <c r="N105" s="26"/>
      <c r="O105" s="39"/>
      <c r="P105" s="1"/>
      <c r="Q105"/>
    </row>
    <row r="106" spans="1:17" x14ac:dyDescent="0.3">
      <c r="A106" s="1">
        <v>100</v>
      </c>
      <c r="B106" s="1">
        <f t="shared" si="2"/>
        <v>101</v>
      </c>
      <c r="C106" s="4" t="s">
        <v>728</v>
      </c>
      <c r="D106" s="4" t="s">
        <v>729</v>
      </c>
      <c r="G106" s="4" t="s">
        <v>730</v>
      </c>
      <c r="H106" s="4" t="s">
        <v>731</v>
      </c>
      <c r="I106">
        <v>5885753</v>
      </c>
      <c r="J106">
        <v>73135419</v>
      </c>
      <c r="K106" s="1">
        <v>1055578</v>
      </c>
      <c r="L106" s="1">
        <v>64169</v>
      </c>
      <c r="M106" s="1" t="s">
        <v>7</v>
      </c>
      <c r="O106" s="36"/>
      <c r="P106" s="1"/>
      <c r="Q106"/>
    </row>
    <row r="107" spans="1:17" x14ac:dyDescent="0.3">
      <c r="A107" s="1">
        <v>101</v>
      </c>
      <c r="B107" s="1">
        <f t="shared" si="2"/>
        <v>102</v>
      </c>
      <c r="C107" s="4" t="s">
        <v>29</v>
      </c>
      <c r="D107" s="4" t="s">
        <v>738</v>
      </c>
      <c r="G107" s="4" t="s">
        <v>1581</v>
      </c>
      <c r="H107" s="4" t="s">
        <v>1582</v>
      </c>
      <c r="I107">
        <v>6266767</v>
      </c>
      <c r="J107">
        <v>69077649</v>
      </c>
      <c r="K107" s="1">
        <v>1057066</v>
      </c>
      <c r="L107" s="1">
        <v>8675</v>
      </c>
      <c r="M107" s="1" t="s">
        <v>13</v>
      </c>
      <c r="O107" s="36"/>
      <c r="P107" s="1"/>
      <c r="Q107"/>
    </row>
    <row r="108" spans="1:17" x14ac:dyDescent="0.3">
      <c r="A108" s="26">
        <v>219</v>
      </c>
      <c r="B108" s="26">
        <f t="shared" si="2"/>
        <v>103</v>
      </c>
      <c r="C108" s="27" t="s">
        <v>584</v>
      </c>
      <c r="D108" s="27" t="s">
        <v>585</v>
      </c>
      <c r="E108" s="28">
        <v>4620306</v>
      </c>
      <c r="F108" s="28"/>
      <c r="G108" s="27" t="s">
        <v>54</v>
      </c>
      <c r="H108" s="27" t="s">
        <v>586</v>
      </c>
      <c r="I108" s="28">
        <v>4663694</v>
      </c>
      <c r="J108" s="28">
        <v>74628783</v>
      </c>
      <c r="K108" s="26">
        <v>1057806</v>
      </c>
      <c r="L108" s="26">
        <v>82644</v>
      </c>
      <c r="M108" s="26" t="s">
        <v>6</v>
      </c>
      <c r="N108" s="26"/>
      <c r="O108" s="39"/>
      <c r="P108" s="1"/>
      <c r="Q108"/>
    </row>
    <row r="109" spans="1:17" x14ac:dyDescent="0.3">
      <c r="A109" s="1">
        <v>103</v>
      </c>
      <c r="B109" s="1">
        <f t="shared" si="2"/>
        <v>104</v>
      </c>
      <c r="C109" s="4" t="s">
        <v>1341</v>
      </c>
      <c r="D109" s="4" t="s">
        <v>1342</v>
      </c>
      <c r="E109">
        <v>7831461</v>
      </c>
      <c r="G109" s="4" t="s">
        <v>209</v>
      </c>
      <c r="H109" s="4" t="s">
        <v>1343</v>
      </c>
      <c r="I109">
        <v>8881596</v>
      </c>
      <c r="J109">
        <v>67772024</v>
      </c>
      <c r="K109" s="1">
        <v>1057466</v>
      </c>
      <c r="L109" s="1">
        <v>64172</v>
      </c>
      <c r="M109" s="1" t="s">
        <v>11</v>
      </c>
      <c r="N109" s="1" t="s">
        <v>14</v>
      </c>
      <c r="O109" s="36"/>
      <c r="P109" s="1"/>
      <c r="Q109"/>
    </row>
    <row r="110" spans="1:17" x14ac:dyDescent="0.3">
      <c r="A110" s="1">
        <v>233</v>
      </c>
      <c r="B110" s="1">
        <f t="shared" si="2"/>
        <v>105</v>
      </c>
      <c r="C110" s="4" t="s">
        <v>245</v>
      </c>
      <c r="D110" s="4" t="s">
        <v>588</v>
      </c>
      <c r="E110">
        <v>5373797</v>
      </c>
      <c r="G110" s="4" t="s">
        <v>589</v>
      </c>
      <c r="H110" s="4" t="s">
        <v>590</v>
      </c>
      <c r="I110">
        <v>9631023</v>
      </c>
      <c r="J110" s="8">
        <v>76314451</v>
      </c>
      <c r="K110" s="1">
        <v>1057896</v>
      </c>
      <c r="L110" s="1">
        <v>82612</v>
      </c>
      <c r="M110" s="1" t="s">
        <v>6</v>
      </c>
      <c r="N110" s="1" t="s">
        <v>19</v>
      </c>
      <c r="O110" s="36"/>
      <c r="P110" s="1"/>
      <c r="Q110"/>
    </row>
    <row r="111" spans="1:17" x14ac:dyDescent="0.3">
      <c r="A111" s="1">
        <v>190</v>
      </c>
      <c r="B111" s="1">
        <f t="shared" si="2"/>
        <v>106</v>
      </c>
      <c r="C111" s="4" t="s">
        <v>592</v>
      </c>
      <c r="D111" s="4" t="s">
        <v>593</v>
      </c>
      <c r="G111" s="4" t="s">
        <v>594</v>
      </c>
      <c r="H111" s="4" t="s">
        <v>595</v>
      </c>
      <c r="I111">
        <v>7817876</v>
      </c>
      <c r="J111">
        <v>68946862</v>
      </c>
      <c r="K111" s="1">
        <v>1057737</v>
      </c>
      <c r="L111" s="1">
        <v>82566</v>
      </c>
      <c r="M111" s="1" t="s">
        <v>6</v>
      </c>
      <c r="O111" s="36"/>
      <c r="P111" s="1"/>
      <c r="Q111"/>
    </row>
    <row r="112" spans="1:17" x14ac:dyDescent="0.3">
      <c r="A112" s="1">
        <v>106</v>
      </c>
      <c r="B112" s="1">
        <f t="shared" si="2"/>
        <v>107</v>
      </c>
      <c r="C112" s="4" t="s">
        <v>770</v>
      </c>
      <c r="D112" s="4" t="s">
        <v>771</v>
      </c>
      <c r="G112" s="4" t="s">
        <v>772</v>
      </c>
      <c r="H112" s="4" t="s">
        <v>773</v>
      </c>
      <c r="I112">
        <v>9686198</v>
      </c>
      <c r="J112">
        <v>61331913</v>
      </c>
      <c r="K112" s="1">
        <v>1057480</v>
      </c>
      <c r="L112" s="1">
        <v>8669</v>
      </c>
      <c r="M112" s="1" t="s">
        <v>7</v>
      </c>
      <c r="O112" s="36"/>
      <c r="P112" s="35"/>
      <c r="Q112"/>
    </row>
    <row r="113" spans="1:17" x14ac:dyDescent="0.3">
      <c r="A113" s="1">
        <v>107</v>
      </c>
      <c r="B113" s="1">
        <f t="shared" si="2"/>
        <v>108</v>
      </c>
      <c r="C113" s="4" t="s">
        <v>85</v>
      </c>
      <c r="D113" s="4" t="s">
        <v>1059</v>
      </c>
      <c r="E113">
        <v>6271031</v>
      </c>
      <c r="G113" s="4" t="s">
        <v>1060</v>
      </c>
      <c r="H113" s="4" t="s">
        <v>1061</v>
      </c>
      <c r="I113">
        <v>6201784</v>
      </c>
      <c r="J113">
        <v>61665954</v>
      </c>
      <c r="K113" s="1">
        <v>1056848</v>
      </c>
      <c r="L113" s="1">
        <v>8716</v>
      </c>
      <c r="M113" s="1" t="s">
        <v>8</v>
      </c>
      <c r="N113" s="1" t="s">
        <v>12</v>
      </c>
      <c r="O113" s="36"/>
      <c r="P113" s="1"/>
      <c r="Q113"/>
    </row>
    <row r="114" spans="1:17" x14ac:dyDescent="0.3">
      <c r="A114" s="1">
        <v>108</v>
      </c>
      <c r="B114" s="1">
        <f t="shared" si="2"/>
        <v>109</v>
      </c>
      <c r="C114" s="4" t="s">
        <v>824</v>
      </c>
      <c r="D114" s="4" t="s">
        <v>825</v>
      </c>
      <c r="E114">
        <v>5841040</v>
      </c>
      <c r="G114" s="4" t="s">
        <v>826</v>
      </c>
      <c r="H114" s="4" t="s">
        <v>827</v>
      </c>
      <c r="I114">
        <v>7781952</v>
      </c>
      <c r="J114">
        <v>71300120</v>
      </c>
      <c r="K114" s="1">
        <v>1057330</v>
      </c>
      <c r="L114" s="1">
        <v>7838</v>
      </c>
      <c r="M114" s="1" t="s">
        <v>7</v>
      </c>
      <c r="O114" s="36"/>
      <c r="P114" s="1"/>
      <c r="Q114"/>
    </row>
    <row r="115" spans="1:17" x14ac:dyDescent="0.3">
      <c r="A115" s="1">
        <v>109</v>
      </c>
      <c r="B115" s="1">
        <f t="shared" si="2"/>
        <v>110</v>
      </c>
      <c r="C115" s="4" t="s">
        <v>1416</v>
      </c>
      <c r="D115" s="4" t="s">
        <v>1417</v>
      </c>
      <c r="E115">
        <v>4625789</v>
      </c>
      <c r="F115">
        <v>69042821</v>
      </c>
      <c r="G115" s="4" t="s">
        <v>778</v>
      </c>
      <c r="H115" s="4" t="s">
        <v>1408</v>
      </c>
      <c r="I115">
        <v>5841999</v>
      </c>
      <c r="K115" s="1">
        <v>1056582</v>
      </c>
      <c r="L115" s="1">
        <v>8748</v>
      </c>
      <c r="M115" s="1" t="s">
        <v>11</v>
      </c>
      <c r="O115" s="36"/>
      <c r="P115" s="1"/>
      <c r="Q115"/>
    </row>
    <row r="116" spans="1:17" ht="27" x14ac:dyDescent="0.3">
      <c r="A116" s="26">
        <v>110</v>
      </c>
      <c r="B116" s="26">
        <f t="shared" si="2"/>
        <v>111</v>
      </c>
      <c r="C116" s="27" t="s">
        <v>1056</v>
      </c>
      <c r="D116" s="27" t="s">
        <v>785</v>
      </c>
      <c r="E116" s="28">
        <v>6270078</v>
      </c>
      <c r="F116" s="28">
        <v>65075644</v>
      </c>
      <c r="G116" s="34" t="s">
        <v>2958</v>
      </c>
      <c r="H116" s="27" t="s">
        <v>1057</v>
      </c>
      <c r="I116" s="28">
        <v>7715702</v>
      </c>
      <c r="J116" s="28"/>
      <c r="K116" s="26">
        <v>21012025</v>
      </c>
      <c r="L116" s="26" t="s">
        <v>31</v>
      </c>
      <c r="M116" s="26" t="s">
        <v>8</v>
      </c>
      <c r="N116" s="26"/>
      <c r="O116" s="39"/>
      <c r="P116" s="1"/>
      <c r="Q116"/>
    </row>
    <row r="117" spans="1:17" x14ac:dyDescent="0.3">
      <c r="A117" s="1">
        <v>111</v>
      </c>
      <c r="B117" s="1">
        <f t="shared" si="2"/>
        <v>112</v>
      </c>
      <c r="C117" s="4" t="s">
        <v>257</v>
      </c>
      <c r="D117" s="4" t="s">
        <v>1457</v>
      </c>
      <c r="E117">
        <v>4575920</v>
      </c>
      <c r="F117">
        <v>74643467</v>
      </c>
      <c r="G117" s="4" t="s">
        <v>589</v>
      </c>
      <c r="H117" s="4" t="s">
        <v>1458</v>
      </c>
      <c r="K117" s="1">
        <v>1057458</v>
      </c>
      <c r="L117" s="1">
        <v>64159</v>
      </c>
      <c r="M117" s="1" t="s">
        <v>12</v>
      </c>
      <c r="O117" s="36"/>
      <c r="P117" s="1"/>
      <c r="Q117"/>
    </row>
    <row r="118" spans="1:17" x14ac:dyDescent="0.3">
      <c r="A118" s="1">
        <v>112</v>
      </c>
      <c r="B118" s="1">
        <f t="shared" si="2"/>
        <v>113</v>
      </c>
      <c r="C118" s="4" t="s">
        <v>1004</v>
      </c>
      <c r="D118" s="4" t="s">
        <v>1005</v>
      </c>
      <c r="E118">
        <v>5416988</v>
      </c>
      <c r="F118">
        <v>69090450</v>
      </c>
      <c r="G118" s="4" t="s">
        <v>1006</v>
      </c>
      <c r="H118" s="4" t="s">
        <v>1007</v>
      </c>
      <c r="I118">
        <v>6219606</v>
      </c>
      <c r="J118">
        <v>78051955</v>
      </c>
      <c r="K118" s="1">
        <v>1056930</v>
      </c>
      <c r="L118" s="1">
        <v>8711</v>
      </c>
      <c r="M118" s="1" t="s">
        <v>8</v>
      </c>
      <c r="O118" s="36"/>
      <c r="P118" s="1"/>
      <c r="Q118"/>
    </row>
    <row r="119" spans="1:17" x14ac:dyDescent="0.3">
      <c r="A119" s="26">
        <v>113</v>
      </c>
      <c r="B119" s="26">
        <f t="shared" si="2"/>
        <v>114</v>
      </c>
      <c r="C119" s="27" t="s">
        <v>335</v>
      </c>
      <c r="D119" s="27" t="s">
        <v>1617</v>
      </c>
      <c r="E119" s="28"/>
      <c r="F119" s="28"/>
      <c r="G119" s="27" t="s">
        <v>1549</v>
      </c>
      <c r="H119" s="27" t="s">
        <v>1618</v>
      </c>
      <c r="I119" s="28">
        <v>4045651</v>
      </c>
      <c r="J119" s="28">
        <v>63699688</v>
      </c>
      <c r="K119" s="26">
        <v>1057452</v>
      </c>
      <c r="L119" s="26">
        <v>82632</v>
      </c>
      <c r="M119" s="26" t="s">
        <v>14</v>
      </c>
      <c r="N119" s="26"/>
      <c r="O119" s="39"/>
      <c r="P119" s="1"/>
      <c r="Q119"/>
    </row>
    <row r="120" spans="1:17" x14ac:dyDescent="0.3">
      <c r="A120" s="1">
        <v>114</v>
      </c>
      <c r="B120" s="1">
        <f t="shared" si="2"/>
        <v>115</v>
      </c>
      <c r="C120" s="4" t="s">
        <v>737</v>
      </c>
      <c r="D120" s="4" t="s">
        <v>738</v>
      </c>
      <c r="G120" s="4" t="s">
        <v>739</v>
      </c>
      <c r="H120" s="4" t="s">
        <v>740</v>
      </c>
      <c r="I120">
        <v>4564236</v>
      </c>
      <c r="J120">
        <v>78175546</v>
      </c>
      <c r="K120" s="1">
        <v>1057204</v>
      </c>
      <c r="L120" s="1">
        <v>8703</v>
      </c>
      <c r="M120" s="1" t="s">
        <v>7</v>
      </c>
      <c r="O120" s="36"/>
      <c r="P120" s="1"/>
      <c r="Q120"/>
    </row>
    <row r="121" spans="1:17" x14ac:dyDescent="0.3">
      <c r="A121" s="1">
        <v>115</v>
      </c>
      <c r="B121" s="1">
        <f t="shared" si="2"/>
        <v>116</v>
      </c>
      <c r="C121" s="4" t="s">
        <v>144</v>
      </c>
      <c r="D121" s="4" t="s">
        <v>847</v>
      </c>
      <c r="E121">
        <v>6338019</v>
      </c>
      <c r="G121" s="4" t="s">
        <v>848</v>
      </c>
      <c r="H121" s="4" t="s">
        <v>849</v>
      </c>
      <c r="I121">
        <v>7723976</v>
      </c>
      <c r="J121">
        <v>75670121</v>
      </c>
      <c r="K121" s="1">
        <v>1057459</v>
      </c>
      <c r="L121" s="1">
        <v>82552</v>
      </c>
      <c r="M121" s="1" t="s">
        <v>7</v>
      </c>
      <c r="O121" s="36"/>
      <c r="P121" s="1"/>
      <c r="Q121"/>
    </row>
    <row r="122" spans="1:17" x14ac:dyDescent="0.3">
      <c r="A122" s="26">
        <v>116</v>
      </c>
      <c r="B122" s="26">
        <f t="shared" si="2"/>
        <v>117</v>
      </c>
      <c r="C122" s="27" t="s">
        <v>1283</v>
      </c>
      <c r="D122" s="27" t="s">
        <v>84</v>
      </c>
      <c r="E122" s="28"/>
      <c r="F122" s="28"/>
      <c r="G122" s="27" t="s">
        <v>1284</v>
      </c>
      <c r="H122" s="27" t="s">
        <v>1285</v>
      </c>
      <c r="I122" s="28">
        <v>6257755</v>
      </c>
      <c r="J122" s="28">
        <v>67839881</v>
      </c>
      <c r="K122" s="26">
        <v>1057092</v>
      </c>
      <c r="L122" s="26">
        <v>56106</v>
      </c>
      <c r="M122" s="26" t="s">
        <v>10</v>
      </c>
      <c r="N122" s="26"/>
      <c r="O122" s="39"/>
      <c r="P122" s="1"/>
      <c r="Q122"/>
    </row>
    <row r="123" spans="1:17" x14ac:dyDescent="0.3">
      <c r="A123" s="1">
        <v>117</v>
      </c>
      <c r="B123" s="1">
        <f t="shared" si="2"/>
        <v>118</v>
      </c>
      <c r="C123" s="4" t="s">
        <v>1348</v>
      </c>
      <c r="D123" s="4" t="s">
        <v>1349</v>
      </c>
      <c r="G123" s="4" t="s">
        <v>1350</v>
      </c>
      <c r="H123" s="4" t="s">
        <v>1351</v>
      </c>
      <c r="I123">
        <v>7708513</v>
      </c>
      <c r="J123">
        <v>78110841</v>
      </c>
      <c r="K123" s="1">
        <v>1055430</v>
      </c>
      <c r="L123" s="1">
        <v>8736</v>
      </c>
      <c r="M123" s="1" t="s">
        <v>11</v>
      </c>
      <c r="O123" s="36"/>
      <c r="P123" s="1"/>
    </row>
    <row r="124" spans="1:17" x14ac:dyDescent="0.3">
      <c r="A124" s="1">
        <v>226</v>
      </c>
      <c r="B124" s="1">
        <f t="shared" si="2"/>
        <v>119</v>
      </c>
      <c r="C124" s="4" t="s">
        <v>602</v>
      </c>
      <c r="D124" s="4" t="s">
        <v>598</v>
      </c>
      <c r="E124">
        <v>8998464</v>
      </c>
      <c r="G124" s="4" t="s">
        <v>312</v>
      </c>
      <c r="H124" s="4" t="s">
        <v>603</v>
      </c>
      <c r="I124">
        <v>7821401</v>
      </c>
      <c r="J124">
        <v>64331837</v>
      </c>
      <c r="K124" s="1">
        <v>1057914</v>
      </c>
      <c r="L124" s="1">
        <v>64179</v>
      </c>
      <c r="M124" s="1" t="s">
        <v>6</v>
      </c>
      <c r="N124" s="1" t="s">
        <v>20</v>
      </c>
      <c r="O124" s="36"/>
      <c r="P124" s="1"/>
    </row>
    <row r="125" spans="1:17" x14ac:dyDescent="0.3">
      <c r="A125" s="1">
        <v>119</v>
      </c>
      <c r="B125" s="1">
        <f t="shared" si="2"/>
        <v>120</v>
      </c>
      <c r="C125" s="4" t="s">
        <v>547</v>
      </c>
      <c r="D125" s="4" t="s">
        <v>1589</v>
      </c>
      <c r="E125">
        <v>5669002</v>
      </c>
      <c r="G125" s="4" t="s">
        <v>296</v>
      </c>
      <c r="H125" s="4" t="s">
        <v>1590</v>
      </c>
      <c r="I125">
        <v>8241018</v>
      </c>
      <c r="J125">
        <v>78146529</v>
      </c>
      <c r="K125" s="1">
        <v>1056897</v>
      </c>
      <c r="L125" s="1">
        <v>64189</v>
      </c>
      <c r="M125" s="1" t="s">
        <v>13</v>
      </c>
      <c r="O125" s="36"/>
      <c r="P125" s="1"/>
    </row>
    <row r="126" spans="1:17" x14ac:dyDescent="0.3">
      <c r="A126" s="26" t="s">
        <v>3132</v>
      </c>
      <c r="B126" s="26">
        <f t="shared" si="2"/>
        <v>121</v>
      </c>
      <c r="C126" s="27" t="s">
        <v>597</v>
      </c>
      <c r="D126" s="27" t="s">
        <v>598</v>
      </c>
      <c r="E126" s="28">
        <v>5373520</v>
      </c>
      <c r="F126" s="28"/>
      <c r="G126" s="27" t="s">
        <v>599</v>
      </c>
      <c r="H126" s="27" t="s">
        <v>600</v>
      </c>
      <c r="I126" s="28">
        <v>9717821</v>
      </c>
      <c r="J126" s="31">
        <v>62122694</v>
      </c>
      <c r="K126" s="26">
        <v>1057642</v>
      </c>
      <c r="L126" s="26">
        <v>56287</v>
      </c>
      <c r="M126" s="26" t="s">
        <v>6</v>
      </c>
      <c r="N126" s="26" t="s">
        <v>15</v>
      </c>
      <c r="O126" s="39"/>
      <c r="P126" s="1"/>
    </row>
    <row r="127" spans="1:17" x14ac:dyDescent="0.3">
      <c r="A127" s="1">
        <v>121</v>
      </c>
      <c r="B127" s="1">
        <f t="shared" si="2"/>
        <v>122</v>
      </c>
      <c r="C127" s="4" t="s">
        <v>1161</v>
      </c>
      <c r="D127" s="4" t="s">
        <v>1162</v>
      </c>
      <c r="G127" s="4" t="s">
        <v>1164</v>
      </c>
      <c r="H127" s="4" t="s">
        <v>1163</v>
      </c>
      <c r="I127">
        <v>5853979</v>
      </c>
      <c r="J127">
        <v>70244353</v>
      </c>
      <c r="K127" s="1">
        <v>1056841</v>
      </c>
      <c r="L127" s="1">
        <v>8683</v>
      </c>
      <c r="M127" s="1" t="s">
        <v>9</v>
      </c>
      <c r="O127" s="36"/>
      <c r="P127" s="1"/>
    </row>
    <row r="128" spans="1:17" x14ac:dyDescent="0.3">
      <c r="A128" s="1">
        <v>122</v>
      </c>
      <c r="B128" s="1">
        <f t="shared" si="2"/>
        <v>123</v>
      </c>
      <c r="C128" s="4" t="s">
        <v>518</v>
      </c>
      <c r="D128" s="4" t="s">
        <v>1647</v>
      </c>
      <c r="E128">
        <v>5829369</v>
      </c>
      <c r="G128" s="4" t="s">
        <v>1648</v>
      </c>
      <c r="H128" s="4" t="s">
        <v>1649</v>
      </c>
      <c r="I128">
        <v>5853924</v>
      </c>
      <c r="J128">
        <v>78197533</v>
      </c>
      <c r="K128" s="1">
        <v>1057551</v>
      </c>
      <c r="L128" s="1">
        <v>64173</v>
      </c>
      <c r="M128" s="1" t="s">
        <v>14</v>
      </c>
      <c r="O128" s="36"/>
      <c r="P128" s="1"/>
    </row>
    <row r="129" spans="1:17" x14ac:dyDescent="0.3">
      <c r="A129" s="1">
        <v>123</v>
      </c>
      <c r="B129" s="1">
        <f t="shared" si="2"/>
        <v>124</v>
      </c>
      <c r="C129" s="4" t="s">
        <v>60</v>
      </c>
      <c r="D129" s="4" t="s">
        <v>61</v>
      </c>
      <c r="E129">
        <v>5496704</v>
      </c>
      <c r="G129" s="4" t="s">
        <v>62</v>
      </c>
      <c r="H129" s="4" t="s">
        <v>63</v>
      </c>
      <c r="I129">
        <v>5496732</v>
      </c>
      <c r="J129">
        <v>74401350</v>
      </c>
      <c r="K129" s="1">
        <v>1057550</v>
      </c>
      <c r="L129" s="1">
        <v>8696</v>
      </c>
      <c r="M129" s="1" t="s">
        <v>4</v>
      </c>
      <c r="N129" s="1" t="s">
        <v>2411</v>
      </c>
      <c r="O129" s="36"/>
      <c r="P129" s="1"/>
    </row>
    <row r="130" spans="1:17" x14ac:dyDescent="0.3">
      <c r="A130" s="26">
        <v>124</v>
      </c>
      <c r="B130" s="26">
        <f t="shared" si="2"/>
        <v>125</v>
      </c>
      <c r="C130" s="27" t="s">
        <v>245</v>
      </c>
      <c r="D130" s="27" t="s">
        <v>605</v>
      </c>
      <c r="E130" s="28">
        <v>7817995</v>
      </c>
      <c r="F130" s="28">
        <v>69247368</v>
      </c>
      <c r="G130" s="27" t="s">
        <v>555</v>
      </c>
      <c r="H130" s="27" t="s">
        <v>606</v>
      </c>
      <c r="I130" s="28">
        <v>8240932</v>
      </c>
      <c r="J130" s="28"/>
      <c r="K130" s="26">
        <v>1057552</v>
      </c>
      <c r="L130" s="26" t="s">
        <v>31</v>
      </c>
      <c r="M130" s="26" t="s">
        <v>6</v>
      </c>
      <c r="N130" s="26"/>
      <c r="O130" s="39"/>
      <c r="P130" s="1"/>
    </row>
    <row r="131" spans="1:17" x14ac:dyDescent="0.3">
      <c r="A131" s="1">
        <v>125</v>
      </c>
      <c r="B131" s="1">
        <f t="shared" si="2"/>
        <v>126</v>
      </c>
      <c r="C131" s="4" t="s">
        <v>2065</v>
      </c>
      <c r="D131" s="4" t="s">
        <v>289</v>
      </c>
      <c r="E131">
        <v>5380220</v>
      </c>
      <c r="F131">
        <v>61351302</v>
      </c>
      <c r="G131" s="4" t="s">
        <v>2066</v>
      </c>
      <c r="H131" s="4" t="s">
        <v>610</v>
      </c>
      <c r="K131" s="1">
        <v>1057568</v>
      </c>
      <c r="L131" s="1">
        <v>82551</v>
      </c>
      <c r="M131" s="1" t="s">
        <v>15</v>
      </c>
      <c r="O131" s="36" t="s">
        <v>2951</v>
      </c>
      <c r="P131" s="1"/>
    </row>
    <row r="132" spans="1:17" x14ac:dyDescent="0.3">
      <c r="A132" s="1">
        <v>126</v>
      </c>
      <c r="B132" s="1">
        <f t="shared" si="2"/>
        <v>127</v>
      </c>
      <c r="C132" s="4" t="s">
        <v>991</v>
      </c>
      <c r="D132" s="4" t="s">
        <v>992</v>
      </c>
      <c r="E132">
        <v>8068571</v>
      </c>
      <c r="G132" s="4" t="s">
        <v>811</v>
      </c>
      <c r="H132" s="4" t="s">
        <v>993</v>
      </c>
      <c r="I132">
        <v>6379100</v>
      </c>
      <c r="J132">
        <v>75696543</v>
      </c>
      <c r="K132" s="1">
        <v>1056831</v>
      </c>
      <c r="L132" s="1">
        <v>8713</v>
      </c>
      <c r="M132" s="1" t="s">
        <v>8</v>
      </c>
      <c r="O132" s="36"/>
      <c r="P132" s="1"/>
    </row>
    <row r="133" spans="1:17" ht="27" x14ac:dyDescent="0.3">
      <c r="A133" s="26">
        <v>127</v>
      </c>
      <c r="B133" s="26">
        <f t="shared" si="2"/>
        <v>128</v>
      </c>
      <c r="C133" s="27" t="s">
        <v>1279</v>
      </c>
      <c r="D133" s="27" t="s">
        <v>1280</v>
      </c>
      <c r="E133" s="28">
        <v>7777981</v>
      </c>
      <c r="F133" s="28"/>
      <c r="G133" s="34" t="s">
        <v>2964</v>
      </c>
      <c r="H133" s="27" t="s">
        <v>1281</v>
      </c>
      <c r="I133" s="28">
        <v>6359114</v>
      </c>
      <c r="J133" s="28">
        <v>70929170</v>
      </c>
      <c r="K133" s="26">
        <v>1055467</v>
      </c>
      <c r="L133" s="26">
        <v>56037</v>
      </c>
      <c r="M133" s="26" t="s">
        <v>10</v>
      </c>
      <c r="N133" s="26"/>
      <c r="O133" s="39"/>
      <c r="P133" s="1"/>
    </row>
    <row r="134" spans="1:17" x14ac:dyDescent="0.3">
      <c r="A134" s="1">
        <v>128</v>
      </c>
      <c r="B134" s="1">
        <f t="shared" si="2"/>
        <v>129</v>
      </c>
      <c r="C134" s="4" t="s">
        <v>1380</v>
      </c>
      <c r="D134" s="4" t="s">
        <v>1381</v>
      </c>
      <c r="E134">
        <v>6531754</v>
      </c>
      <c r="G134" s="4" t="s">
        <v>1350</v>
      </c>
      <c r="H134" s="4" t="s">
        <v>1382</v>
      </c>
      <c r="I134">
        <v>6441422</v>
      </c>
      <c r="J134">
        <v>78440491</v>
      </c>
      <c r="K134" s="1">
        <v>1057516</v>
      </c>
      <c r="L134" s="1">
        <v>8742</v>
      </c>
      <c r="M134" s="1" t="s">
        <v>11</v>
      </c>
      <c r="O134" s="36"/>
      <c r="P134" s="1"/>
      <c r="Q134"/>
    </row>
    <row r="135" spans="1:17" x14ac:dyDescent="0.3">
      <c r="A135" s="26">
        <v>197</v>
      </c>
      <c r="B135" s="26">
        <f t="shared" si="2"/>
        <v>130</v>
      </c>
      <c r="C135" s="27" t="s">
        <v>144</v>
      </c>
      <c r="D135" s="27" t="s">
        <v>616</v>
      </c>
      <c r="E135" s="28">
        <v>7807438</v>
      </c>
      <c r="F135" s="28"/>
      <c r="G135" s="27" t="s">
        <v>209</v>
      </c>
      <c r="H135" s="27" t="s">
        <v>600</v>
      </c>
      <c r="I135" s="28">
        <v>9796283</v>
      </c>
      <c r="J135" s="28">
        <v>74649603</v>
      </c>
      <c r="K135" s="26">
        <v>1057631</v>
      </c>
      <c r="L135" s="26">
        <v>56262</v>
      </c>
      <c r="M135" s="26" t="s">
        <v>6</v>
      </c>
      <c r="N135" s="26" t="s">
        <v>618</v>
      </c>
      <c r="O135" s="39"/>
      <c r="P135" s="1"/>
      <c r="Q135"/>
    </row>
    <row r="136" spans="1:17" x14ac:dyDescent="0.3">
      <c r="A136" s="1">
        <v>130</v>
      </c>
      <c r="B136" s="1">
        <f t="shared" si="2"/>
        <v>131</v>
      </c>
      <c r="C136" s="4" t="s">
        <v>155</v>
      </c>
      <c r="D136" s="4" t="s">
        <v>454</v>
      </c>
      <c r="E136">
        <v>6313211</v>
      </c>
      <c r="G136" s="4" t="s">
        <v>613</v>
      </c>
      <c r="H136" s="4" t="s">
        <v>969</v>
      </c>
      <c r="I136">
        <v>6304812</v>
      </c>
      <c r="J136">
        <v>68919964</v>
      </c>
      <c r="K136" s="1">
        <v>1056872</v>
      </c>
      <c r="L136" s="1">
        <v>64181</v>
      </c>
      <c r="M136" s="1" t="s">
        <v>13</v>
      </c>
      <c r="O136" s="36"/>
      <c r="P136" s="1"/>
      <c r="Q136"/>
    </row>
    <row r="137" spans="1:17" x14ac:dyDescent="0.3">
      <c r="A137" s="1">
        <v>131</v>
      </c>
      <c r="B137" s="1">
        <f t="shared" si="2"/>
        <v>132</v>
      </c>
      <c r="C137" s="4" t="s">
        <v>93</v>
      </c>
      <c r="D137" s="4" t="s">
        <v>974</v>
      </c>
      <c r="G137" s="4" t="s">
        <v>975</v>
      </c>
      <c r="H137" s="4" t="s">
        <v>976</v>
      </c>
      <c r="I137">
        <v>5419293</v>
      </c>
      <c r="J137">
        <v>67886200</v>
      </c>
      <c r="K137" s="1">
        <v>1057512</v>
      </c>
      <c r="L137" s="1">
        <v>8714</v>
      </c>
      <c r="M137" s="1" t="s">
        <v>8</v>
      </c>
      <c r="O137" s="36"/>
      <c r="P137" s="1"/>
      <c r="Q137"/>
    </row>
    <row r="138" spans="1:17" x14ac:dyDescent="0.3">
      <c r="A138" s="26">
        <v>132</v>
      </c>
      <c r="B138" s="26">
        <f t="shared" si="2"/>
        <v>133</v>
      </c>
      <c r="C138" s="27" t="s">
        <v>802</v>
      </c>
      <c r="D138" s="27" t="s">
        <v>1070</v>
      </c>
      <c r="E138" s="28"/>
      <c r="F138" s="28"/>
      <c r="G138" s="27" t="s">
        <v>1071</v>
      </c>
      <c r="H138" s="27" t="s">
        <v>1072</v>
      </c>
      <c r="I138" s="28">
        <v>7765494</v>
      </c>
      <c r="J138" s="28">
        <v>70447274</v>
      </c>
      <c r="K138" s="26">
        <v>1057412</v>
      </c>
      <c r="L138" s="26">
        <v>82647</v>
      </c>
      <c r="M138" s="26" t="s">
        <v>8</v>
      </c>
      <c r="N138" s="26"/>
      <c r="O138" s="39"/>
      <c r="P138" s="1"/>
      <c r="Q138"/>
    </row>
    <row r="139" spans="1:17" x14ac:dyDescent="0.3">
      <c r="A139" s="1">
        <v>252</v>
      </c>
      <c r="B139" s="1">
        <f t="shared" si="2"/>
        <v>134</v>
      </c>
      <c r="C139" s="4" t="s">
        <v>463</v>
      </c>
      <c r="D139" s="4" t="s">
        <v>612</v>
      </c>
      <c r="E139">
        <v>9610334</v>
      </c>
      <c r="G139" s="4" t="s">
        <v>613</v>
      </c>
      <c r="H139" s="4" t="s">
        <v>614</v>
      </c>
      <c r="I139">
        <v>6348907</v>
      </c>
      <c r="J139">
        <v>75582361</v>
      </c>
      <c r="K139" s="1">
        <v>1057881</v>
      </c>
      <c r="L139" s="1">
        <v>56016</v>
      </c>
      <c r="M139" s="1" t="s">
        <v>6</v>
      </c>
      <c r="N139" s="1" t="s">
        <v>12</v>
      </c>
      <c r="O139" s="36"/>
      <c r="P139" s="1"/>
      <c r="Q139"/>
    </row>
    <row r="140" spans="1:17" x14ac:dyDescent="0.3">
      <c r="A140" s="1">
        <v>134</v>
      </c>
      <c r="B140" s="1">
        <f t="shared" si="2"/>
        <v>135</v>
      </c>
      <c r="C140" s="4" t="s">
        <v>2296</v>
      </c>
      <c r="D140" s="4" t="s">
        <v>2297</v>
      </c>
      <c r="E140">
        <v>4621791</v>
      </c>
      <c r="G140" s="4" t="s">
        <v>1180</v>
      </c>
      <c r="H140" s="4" t="s">
        <v>612</v>
      </c>
      <c r="I140">
        <v>4724393</v>
      </c>
      <c r="J140">
        <v>69079563</v>
      </c>
      <c r="K140" s="1">
        <v>1057108</v>
      </c>
      <c r="L140" s="1">
        <v>8551</v>
      </c>
      <c r="M140" s="1" t="s">
        <v>18</v>
      </c>
      <c r="O140" s="36"/>
      <c r="P140" s="1"/>
      <c r="Q140"/>
    </row>
    <row r="141" spans="1:17" x14ac:dyDescent="0.3">
      <c r="A141" s="1">
        <v>135</v>
      </c>
      <c r="B141" s="1">
        <f t="shared" si="2"/>
        <v>136</v>
      </c>
      <c r="C141" s="4" t="s">
        <v>766</v>
      </c>
      <c r="D141" s="4" t="s">
        <v>767</v>
      </c>
      <c r="E141">
        <v>4714502</v>
      </c>
      <c r="G141" s="4" t="s">
        <v>768</v>
      </c>
      <c r="H141" s="4" t="s">
        <v>769</v>
      </c>
      <c r="I141">
        <v>6339910</v>
      </c>
      <c r="J141">
        <v>70825733</v>
      </c>
      <c r="K141">
        <v>1056835</v>
      </c>
      <c r="L141" s="1">
        <v>64170</v>
      </c>
      <c r="M141" s="1" t="s">
        <v>7</v>
      </c>
      <c r="O141" s="36"/>
      <c r="P141" s="1"/>
      <c r="Q141"/>
    </row>
    <row r="142" spans="1:17" x14ac:dyDescent="0.3">
      <c r="A142" s="1">
        <v>136</v>
      </c>
      <c r="B142" s="1">
        <f t="shared" si="2"/>
        <v>137</v>
      </c>
      <c r="C142" s="4" t="s">
        <v>111</v>
      </c>
      <c r="D142" s="4" t="s">
        <v>112</v>
      </c>
      <c r="E142">
        <v>7711794</v>
      </c>
      <c r="G142" s="4" t="s">
        <v>113</v>
      </c>
      <c r="H142" s="4" t="s">
        <v>114</v>
      </c>
      <c r="I142">
        <v>8167708</v>
      </c>
      <c r="J142" s="8">
        <v>76307822</v>
      </c>
      <c r="K142" s="1">
        <v>1056838</v>
      </c>
      <c r="L142" s="1">
        <v>82553</v>
      </c>
      <c r="M142" s="1" t="s">
        <v>4</v>
      </c>
      <c r="O142" s="36"/>
      <c r="P142" s="1"/>
      <c r="Q142"/>
    </row>
    <row r="143" spans="1:17" x14ac:dyDescent="0.3">
      <c r="A143" s="1">
        <v>271</v>
      </c>
      <c r="B143" s="1">
        <f t="shared" si="2"/>
        <v>138</v>
      </c>
      <c r="C143" s="4" t="s">
        <v>608</v>
      </c>
      <c r="D143" s="4" t="s">
        <v>609</v>
      </c>
      <c r="E143">
        <v>2888145</v>
      </c>
      <c r="G143" s="4" t="s">
        <v>574</v>
      </c>
      <c r="H143" s="4" t="s">
        <v>610</v>
      </c>
      <c r="I143">
        <v>1318229</v>
      </c>
      <c r="J143">
        <v>73486907</v>
      </c>
      <c r="K143" s="1">
        <v>1058543</v>
      </c>
      <c r="L143" s="1">
        <v>64174</v>
      </c>
      <c r="M143" s="1" t="s">
        <v>6</v>
      </c>
      <c r="N143" s="1" t="s">
        <v>6</v>
      </c>
      <c r="O143" s="47" t="s">
        <v>3010</v>
      </c>
      <c r="P143" s="1"/>
      <c r="Q143"/>
    </row>
    <row r="144" spans="1:17" x14ac:dyDescent="0.3">
      <c r="A144" s="26">
        <v>138</v>
      </c>
      <c r="B144" s="26">
        <f t="shared" si="2"/>
        <v>139</v>
      </c>
      <c r="C144" s="27" t="s">
        <v>1261</v>
      </c>
      <c r="D144" s="27" t="s">
        <v>1262</v>
      </c>
      <c r="E144" s="28">
        <v>5825146</v>
      </c>
      <c r="F144" s="28">
        <v>77391628</v>
      </c>
      <c r="G144" s="27" t="s">
        <v>508</v>
      </c>
      <c r="H144" s="27" t="s">
        <v>1263</v>
      </c>
      <c r="I144" s="28">
        <v>9748250</v>
      </c>
      <c r="J144" s="28"/>
      <c r="K144" s="26" t="s">
        <v>1264</v>
      </c>
      <c r="L144" s="26">
        <v>56289</v>
      </c>
      <c r="M144" s="26" t="s">
        <v>10</v>
      </c>
      <c r="N144" s="26"/>
      <c r="O144" s="39"/>
      <c r="P144" s="1"/>
      <c r="Q144"/>
    </row>
    <row r="145" spans="1:17" x14ac:dyDescent="0.3">
      <c r="A145" s="1">
        <v>139</v>
      </c>
      <c r="B145" s="1">
        <f t="shared" si="2"/>
        <v>140</v>
      </c>
      <c r="C145" s="4" t="s">
        <v>1538</v>
      </c>
      <c r="D145" s="4" t="s">
        <v>432</v>
      </c>
      <c r="E145">
        <v>6322336</v>
      </c>
      <c r="G145" s="4" t="s">
        <v>285</v>
      </c>
      <c r="H145" s="4" t="s">
        <v>1539</v>
      </c>
      <c r="I145">
        <v>8994309</v>
      </c>
      <c r="J145">
        <v>72638940</v>
      </c>
      <c r="K145" s="1">
        <v>1057217</v>
      </c>
      <c r="L145" s="1">
        <v>82564</v>
      </c>
      <c r="M145" s="1" t="s">
        <v>13</v>
      </c>
      <c r="N145" s="1" t="s">
        <v>16</v>
      </c>
      <c r="O145" s="36"/>
      <c r="P145" s="1"/>
      <c r="Q145"/>
    </row>
    <row r="146" spans="1:17" x14ac:dyDescent="0.3">
      <c r="A146" s="1">
        <v>391</v>
      </c>
      <c r="B146" s="1">
        <f t="shared" si="2"/>
        <v>141</v>
      </c>
      <c r="C146" s="4" t="s">
        <v>463</v>
      </c>
      <c r="D146" s="4" t="s">
        <v>2038</v>
      </c>
      <c r="E146">
        <v>5871348</v>
      </c>
      <c r="G146" s="4" t="s">
        <v>2039</v>
      </c>
      <c r="H146" s="4" t="s">
        <v>2040</v>
      </c>
      <c r="I146">
        <v>6376131</v>
      </c>
      <c r="J146">
        <v>67729519</v>
      </c>
      <c r="K146" s="9">
        <v>1061074</v>
      </c>
      <c r="L146" s="1">
        <v>82599</v>
      </c>
      <c r="M146" s="1" t="s">
        <v>15</v>
      </c>
      <c r="O146" s="36"/>
      <c r="P146" s="1"/>
      <c r="Q146"/>
    </row>
    <row r="147" spans="1:17" x14ac:dyDescent="0.3">
      <c r="A147" s="26">
        <v>141</v>
      </c>
      <c r="B147" s="26">
        <f t="shared" si="2"/>
        <v>142</v>
      </c>
      <c r="C147" s="27" t="s">
        <v>843</v>
      </c>
      <c r="D147" s="27" t="s">
        <v>1329</v>
      </c>
      <c r="E147" s="28">
        <v>5871490</v>
      </c>
      <c r="F147" s="28"/>
      <c r="G147" s="27" t="s">
        <v>1330</v>
      </c>
      <c r="H147" s="27" t="s">
        <v>432</v>
      </c>
      <c r="I147" s="28">
        <v>11339632</v>
      </c>
      <c r="J147" s="28">
        <v>71034020</v>
      </c>
      <c r="K147" s="26">
        <v>1057303</v>
      </c>
      <c r="L147" s="26" t="s">
        <v>31</v>
      </c>
      <c r="M147" s="26" t="s">
        <v>10</v>
      </c>
      <c r="N147" s="26"/>
      <c r="O147" s="39"/>
      <c r="P147" s="1"/>
      <c r="Q147"/>
    </row>
    <row r="148" spans="1:17" ht="27" x14ac:dyDescent="0.3">
      <c r="A148" s="26">
        <v>142</v>
      </c>
      <c r="B148" s="26">
        <f t="shared" si="2"/>
        <v>143</v>
      </c>
      <c r="C148" s="27" t="s">
        <v>319</v>
      </c>
      <c r="D148" s="27" t="s">
        <v>750</v>
      </c>
      <c r="E148" s="28">
        <v>8913728</v>
      </c>
      <c r="F148" s="28"/>
      <c r="G148" s="34" t="s">
        <v>2967</v>
      </c>
      <c r="H148" s="27" t="s">
        <v>751</v>
      </c>
      <c r="I148" s="28">
        <v>9794198</v>
      </c>
      <c r="J148" s="28">
        <v>76690460</v>
      </c>
      <c r="K148" s="26">
        <v>1057431</v>
      </c>
      <c r="L148" s="26">
        <v>56043</v>
      </c>
      <c r="M148" s="26" t="s">
        <v>7</v>
      </c>
      <c r="N148" s="26" t="s">
        <v>1403</v>
      </c>
      <c r="O148" s="39"/>
      <c r="P148" s="1"/>
      <c r="Q148"/>
    </row>
    <row r="149" spans="1:17" x14ac:dyDescent="0.3">
      <c r="A149" s="1">
        <v>143</v>
      </c>
      <c r="B149" s="1">
        <f t="shared" si="2"/>
        <v>144</v>
      </c>
      <c r="C149" s="4" t="s">
        <v>1117</v>
      </c>
      <c r="D149" s="4" t="s">
        <v>1118</v>
      </c>
      <c r="G149" s="4" t="s">
        <v>1119</v>
      </c>
      <c r="H149" s="4" t="s">
        <v>1120</v>
      </c>
      <c r="I149">
        <v>3913233</v>
      </c>
      <c r="J149" s="8">
        <v>67779255</v>
      </c>
      <c r="K149" s="1">
        <v>1056176</v>
      </c>
      <c r="L149" s="11">
        <v>82558</v>
      </c>
      <c r="M149" s="1" t="s">
        <v>9</v>
      </c>
      <c r="N149" s="11" t="s">
        <v>10</v>
      </c>
      <c r="O149" s="52">
        <v>8</v>
      </c>
      <c r="P149" s="1"/>
      <c r="Q149"/>
    </row>
    <row r="150" spans="1:17" x14ac:dyDescent="0.3">
      <c r="A150" s="1">
        <v>143</v>
      </c>
      <c r="B150" s="1">
        <f t="shared" si="2"/>
        <v>145</v>
      </c>
      <c r="C150" s="4" t="s">
        <v>1291</v>
      </c>
      <c r="D150" s="4" t="s">
        <v>1292</v>
      </c>
      <c r="G150" s="4" t="s">
        <v>671</v>
      </c>
      <c r="H150" s="4" t="s">
        <v>1293</v>
      </c>
      <c r="I150">
        <v>9003708</v>
      </c>
      <c r="J150">
        <v>75560036</v>
      </c>
      <c r="K150" s="1">
        <v>1056176</v>
      </c>
      <c r="L150" s="11">
        <v>82558</v>
      </c>
      <c r="M150" s="1" t="s">
        <v>10</v>
      </c>
      <c r="N150" s="11" t="s">
        <v>9</v>
      </c>
      <c r="O150" s="52">
        <v>8</v>
      </c>
      <c r="P150" s="1"/>
      <c r="Q150"/>
    </row>
    <row r="151" spans="1:17" ht="28.8" x14ac:dyDescent="0.3">
      <c r="A151" s="1">
        <v>144</v>
      </c>
      <c r="B151" s="1">
        <f t="shared" si="2"/>
        <v>146</v>
      </c>
      <c r="C151" s="4" t="s">
        <v>1410</v>
      </c>
      <c r="D151" s="4" t="s">
        <v>424</v>
      </c>
      <c r="E151">
        <v>7712898</v>
      </c>
      <c r="G151" s="4" t="s">
        <v>1411</v>
      </c>
      <c r="H151" s="4" t="s">
        <v>1412</v>
      </c>
      <c r="I151">
        <v>7712942</v>
      </c>
      <c r="J151">
        <v>67264622</v>
      </c>
      <c r="K151" s="1">
        <v>1057579</v>
      </c>
      <c r="L151" s="56" t="s">
        <v>3001</v>
      </c>
      <c r="M151" s="1" t="s">
        <v>11</v>
      </c>
      <c r="O151" s="51"/>
      <c r="P151" s="1"/>
      <c r="Q151"/>
    </row>
    <row r="152" spans="1:17" x14ac:dyDescent="0.3">
      <c r="A152" s="1">
        <v>145</v>
      </c>
      <c r="B152" s="1">
        <f t="shared" si="2"/>
        <v>147</v>
      </c>
      <c r="C152" s="4" t="s">
        <v>1178</v>
      </c>
      <c r="D152" s="4" t="s">
        <v>1179</v>
      </c>
      <c r="E152">
        <v>7682163</v>
      </c>
      <c r="G152" s="4" t="s">
        <v>1180</v>
      </c>
      <c r="H152" s="4" t="s">
        <v>1181</v>
      </c>
      <c r="I152">
        <v>7670975</v>
      </c>
      <c r="J152">
        <v>77057385</v>
      </c>
      <c r="K152" s="1">
        <v>949889</v>
      </c>
      <c r="L152" s="1">
        <v>82557</v>
      </c>
      <c r="M152" s="1" t="s">
        <v>9</v>
      </c>
      <c r="O152" s="36"/>
      <c r="P152" s="1"/>
      <c r="Q152"/>
    </row>
    <row r="153" spans="1:17" x14ac:dyDescent="0.3">
      <c r="A153" s="1">
        <v>146</v>
      </c>
      <c r="B153" s="1">
        <f t="shared" si="2"/>
        <v>148</v>
      </c>
      <c r="C153" s="4" t="s">
        <v>179</v>
      </c>
      <c r="D153" s="4" t="s">
        <v>1053</v>
      </c>
      <c r="G153" s="4" t="s">
        <v>646</v>
      </c>
      <c r="H153" s="4" t="s">
        <v>1054</v>
      </c>
      <c r="I153">
        <v>5697499</v>
      </c>
      <c r="J153">
        <v>73123550</v>
      </c>
      <c r="K153" s="1">
        <v>1057572</v>
      </c>
      <c r="L153" s="1">
        <v>8664</v>
      </c>
      <c r="M153" s="1" t="s">
        <v>8</v>
      </c>
      <c r="O153" s="36"/>
      <c r="P153" s="1"/>
    </row>
    <row r="154" spans="1:17" x14ac:dyDescent="0.3">
      <c r="A154" s="1">
        <v>147</v>
      </c>
      <c r="B154" s="1">
        <f t="shared" si="2"/>
        <v>149</v>
      </c>
      <c r="C154" s="4" t="s">
        <v>1082</v>
      </c>
      <c r="D154" s="4" t="s">
        <v>1083</v>
      </c>
      <c r="E154">
        <v>7726755</v>
      </c>
      <c r="F154">
        <v>71352358</v>
      </c>
      <c r="G154" s="4" t="s">
        <v>1084</v>
      </c>
      <c r="H154" s="4" t="s">
        <v>1085</v>
      </c>
      <c r="I154">
        <v>7826340</v>
      </c>
      <c r="J154">
        <v>62033079</v>
      </c>
      <c r="K154" s="1">
        <v>1057494</v>
      </c>
      <c r="L154" s="1">
        <v>56017</v>
      </c>
      <c r="M154" s="1" t="s">
        <v>8</v>
      </c>
      <c r="O154" s="36"/>
      <c r="P154" s="1"/>
      <c r="Q154"/>
    </row>
    <row r="155" spans="1:17" x14ac:dyDescent="0.3">
      <c r="A155" s="26">
        <v>148</v>
      </c>
      <c r="B155" s="26">
        <f t="shared" si="2"/>
        <v>150</v>
      </c>
      <c r="C155" s="27" t="s">
        <v>1050</v>
      </c>
      <c r="D155" s="27" t="s">
        <v>1051</v>
      </c>
      <c r="E155" s="28"/>
      <c r="F155" s="28"/>
      <c r="G155" s="27" t="s">
        <v>87</v>
      </c>
      <c r="H155" s="27" t="s">
        <v>1011</v>
      </c>
      <c r="I155" s="28">
        <v>11341790</v>
      </c>
      <c r="J155" s="28">
        <v>71398814</v>
      </c>
      <c r="K155" s="26">
        <v>1057019</v>
      </c>
      <c r="L155" s="26">
        <v>56260</v>
      </c>
      <c r="M155" s="26" t="s">
        <v>8</v>
      </c>
      <c r="N155" s="26"/>
      <c r="O155" s="39"/>
      <c r="P155" s="1"/>
      <c r="Q155"/>
    </row>
    <row r="156" spans="1:17" x14ac:dyDescent="0.3">
      <c r="A156" s="1">
        <v>149</v>
      </c>
      <c r="B156" s="1">
        <f t="shared" si="2"/>
        <v>151</v>
      </c>
      <c r="C156" s="4" t="s">
        <v>619</v>
      </c>
      <c r="D156" s="4" t="s">
        <v>620</v>
      </c>
      <c r="F156">
        <v>6242251</v>
      </c>
      <c r="G156" s="4" t="s">
        <v>621</v>
      </c>
      <c r="H156" s="4" t="s">
        <v>622</v>
      </c>
      <c r="I156">
        <v>6242251</v>
      </c>
      <c r="J156">
        <v>75056082</v>
      </c>
      <c r="K156" s="1">
        <v>1057001</v>
      </c>
      <c r="L156" s="1">
        <v>8723</v>
      </c>
      <c r="M156" s="1" t="s">
        <v>6</v>
      </c>
      <c r="O156" s="36"/>
      <c r="P156" s="1"/>
      <c r="Q156"/>
    </row>
    <row r="157" spans="1:17" x14ac:dyDescent="0.3">
      <c r="A157" s="26">
        <v>150</v>
      </c>
      <c r="B157" s="26">
        <f t="shared" si="2"/>
        <v>152</v>
      </c>
      <c r="C157" s="27" t="s">
        <v>1313</v>
      </c>
      <c r="D157" s="27" t="s">
        <v>1541</v>
      </c>
      <c r="E157" s="28"/>
      <c r="F157" s="28"/>
      <c r="G157" s="27" t="s">
        <v>1542</v>
      </c>
      <c r="H157" s="27" t="s">
        <v>1543</v>
      </c>
      <c r="I157" s="28">
        <v>8040351</v>
      </c>
      <c r="J157" s="28">
        <v>78583197</v>
      </c>
      <c r="K157" s="26">
        <v>1056939</v>
      </c>
      <c r="L157" s="26">
        <v>56255</v>
      </c>
      <c r="M157" s="26" t="s">
        <v>13</v>
      </c>
      <c r="N157" s="26"/>
      <c r="O157" s="39"/>
      <c r="P157" s="1"/>
      <c r="Q157"/>
    </row>
    <row r="158" spans="1:17" ht="27" x14ac:dyDescent="0.3">
      <c r="A158" s="26">
        <v>151</v>
      </c>
      <c r="B158" s="26">
        <f t="shared" si="2"/>
        <v>153</v>
      </c>
      <c r="C158" s="34" t="s">
        <v>2975</v>
      </c>
      <c r="D158" s="27" t="s">
        <v>963</v>
      </c>
      <c r="E158" s="28">
        <v>6274541</v>
      </c>
      <c r="F158" s="28"/>
      <c r="G158" s="27" t="s">
        <v>964</v>
      </c>
      <c r="H158" s="27" t="s">
        <v>965</v>
      </c>
      <c r="I158" s="28">
        <v>6370755</v>
      </c>
      <c r="J158" s="28">
        <v>60019430</v>
      </c>
      <c r="K158" s="26">
        <v>1057350</v>
      </c>
      <c r="L158" s="26">
        <v>82627</v>
      </c>
      <c r="M158" s="26" t="s">
        <v>8</v>
      </c>
      <c r="N158" s="26" t="s">
        <v>15</v>
      </c>
      <c r="O158" s="39"/>
      <c r="P158" s="1"/>
      <c r="Q158"/>
    </row>
    <row r="159" spans="1:17" ht="28.8" x14ac:dyDescent="0.3">
      <c r="A159" s="1">
        <v>402</v>
      </c>
      <c r="B159" s="1">
        <f t="shared" si="2"/>
        <v>154</v>
      </c>
      <c r="C159" s="4" t="s">
        <v>179</v>
      </c>
      <c r="D159" s="4" t="s">
        <v>624</v>
      </c>
      <c r="E159">
        <v>5385367</v>
      </c>
      <c r="G159" s="4" t="s">
        <v>228</v>
      </c>
      <c r="H159" s="4" t="s">
        <v>579</v>
      </c>
      <c r="I159">
        <v>7753904</v>
      </c>
      <c r="J159">
        <v>76325824</v>
      </c>
      <c r="K159" s="1">
        <v>1057222</v>
      </c>
      <c r="L159" s="53" t="s">
        <v>2983</v>
      </c>
      <c r="M159" s="1" t="s">
        <v>6</v>
      </c>
      <c r="O159" s="43"/>
      <c r="P159" s="1"/>
      <c r="Q159"/>
    </row>
    <row r="160" spans="1:17" x14ac:dyDescent="0.3">
      <c r="A160" s="1">
        <v>153</v>
      </c>
      <c r="B160" s="1">
        <f t="shared" si="2"/>
        <v>155</v>
      </c>
      <c r="C160" s="4" t="s">
        <v>1037</v>
      </c>
      <c r="D160" s="4" t="s">
        <v>1038</v>
      </c>
      <c r="E160">
        <v>5397405</v>
      </c>
      <c r="G160" s="4" t="s">
        <v>1039</v>
      </c>
      <c r="H160" s="4" t="s">
        <v>338</v>
      </c>
      <c r="I160">
        <v>6273515</v>
      </c>
      <c r="J160">
        <v>72605644</v>
      </c>
      <c r="K160" s="1">
        <v>1056874</v>
      </c>
      <c r="L160" s="1">
        <v>8715</v>
      </c>
      <c r="M160" s="1" t="s">
        <v>8</v>
      </c>
      <c r="O160" s="36"/>
      <c r="P160" s="1"/>
      <c r="Q160"/>
    </row>
    <row r="161" spans="1:17" x14ac:dyDescent="0.3">
      <c r="A161" s="1">
        <v>154</v>
      </c>
      <c r="B161" s="1">
        <f t="shared" si="2"/>
        <v>156</v>
      </c>
      <c r="C161" s="4" t="s">
        <v>705</v>
      </c>
      <c r="D161" s="4" t="s">
        <v>706</v>
      </c>
      <c r="E161">
        <v>5837613</v>
      </c>
      <c r="G161" s="4" t="s">
        <v>707</v>
      </c>
      <c r="H161" s="4" t="s">
        <v>708</v>
      </c>
      <c r="I161">
        <v>6290888</v>
      </c>
      <c r="J161">
        <v>71065401</v>
      </c>
      <c r="K161" s="1">
        <v>1057002</v>
      </c>
      <c r="L161" s="1">
        <v>56013</v>
      </c>
      <c r="M161" s="1" t="s">
        <v>7</v>
      </c>
      <c r="O161" s="36"/>
      <c r="P161" s="1"/>
      <c r="Q161"/>
    </row>
    <row r="162" spans="1:17" x14ac:dyDescent="0.3">
      <c r="A162" s="1">
        <v>155</v>
      </c>
      <c r="B162" s="1">
        <f t="shared" si="2"/>
        <v>157</v>
      </c>
      <c r="C162" s="4" t="s">
        <v>816</v>
      </c>
      <c r="D162" s="4" t="s">
        <v>817</v>
      </c>
      <c r="E162">
        <v>5417783</v>
      </c>
      <c r="G162" s="4" t="s">
        <v>505</v>
      </c>
      <c r="H162" s="4" t="s">
        <v>818</v>
      </c>
      <c r="I162">
        <v>7817929</v>
      </c>
      <c r="J162">
        <v>76060432</v>
      </c>
      <c r="K162" s="1">
        <v>1057004</v>
      </c>
      <c r="L162" s="1">
        <v>8561</v>
      </c>
      <c r="M162" s="1" t="s">
        <v>7</v>
      </c>
      <c r="O162" s="36"/>
      <c r="P162" s="1"/>
      <c r="Q162"/>
    </row>
    <row r="163" spans="1:17" ht="40.200000000000003" x14ac:dyDescent="0.3">
      <c r="A163" s="26">
        <v>156</v>
      </c>
      <c r="B163" s="26">
        <f t="shared" si="2"/>
        <v>158</v>
      </c>
      <c r="C163" s="27" t="s">
        <v>1602</v>
      </c>
      <c r="D163" s="27" t="s">
        <v>1603</v>
      </c>
      <c r="E163" s="28">
        <v>7831017</v>
      </c>
      <c r="F163" s="28"/>
      <c r="G163" s="27" t="s">
        <v>1604</v>
      </c>
      <c r="H163" s="27" t="s">
        <v>1605</v>
      </c>
      <c r="I163" s="28">
        <v>8989181</v>
      </c>
      <c r="J163" s="28">
        <v>69042251</v>
      </c>
      <c r="K163" s="33" t="s">
        <v>1606</v>
      </c>
      <c r="L163" s="26">
        <v>56272</v>
      </c>
      <c r="M163" s="26" t="s">
        <v>13</v>
      </c>
      <c r="N163" s="26"/>
      <c r="O163" s="39"/>
      <c r="P163" s="1"/>
      <c r="Q163"/>
    </row>
    <row r="164" spans="1:17" x14ac:dyDescent="0.3">
      <c r="A164" s="26">
        <v>157</v>
      </c>
      <c r="B164" s="26">
        <f t="shared" si="2"/>
        <v>159</v>
      </c>
      <c r="C164" s="27" t="s">
        <v>1132</v>
      </c>
      <c r="D164" s="27" t="s">
        <v>1133</v>
      </c>
      <c r="E164" s="28">
        <v>7663003</v>
      </c>
      <c r="F164" s="28"/>
      <c r="G164" s="27" t="s">
        <v>1134</v>
      </c>
      <c r="H164" s="27" t="s">
        <v>1135</v>
      </c>
      <c r="I164" s="28">
        <v>7826169</v>
      </c>
      <c r="J164" s="31">
        <v>75572025</v>
      </c>
      <c r="K164" s="26">
        <v>1057711</v>
      </c>
      <c r="L164" s="26">
        <v>82561</v>
      </c>
      <c r="M164" s="26" t="s">
        <v>9</v>
      </c>
      <c r="N164" s="26"/>
      <c r="O164" s="39"/>
      <c r="P164" s="1"/>
      <c r="Q164"/>
    </row>
    <row r="165" spans="1:17" x14ac:dyDescent="0.3">
      <c r="A165" s="1">
        <v>159</v>
      </c>
      <c r="B165" s="1">
        <f t="shared" si="2"/>
        <v>160</v>
      </c>
      <c r="C165" s="4" t="s">
        <v>1433</v>
      </c>
      <c r="D165" s="4" t="s">
        <v>1434</v>
      </c>
      <c r="G165" s="4" t="s">
        <v>1435</v>
      </c>
      <c r="H165" s="4" t="s">
        <v>1436</v>
      </c>
      <c r="I165">
        <v>5848489</v>
      </c>
      <c r="J165">
        <v>76384330</v>
      </c>
      <c r="K165" s="1">
        <v>1057315</v>
      </c>
      <c r="L165" s="1">
        <v>8718</v>
      </c>
      <c r="M165" s="1" t="s">
        <v>11</v>
      </c>
      <c r="O165" s="36"/>
      <c r="P165" s="1"/>
      <c r="Q165"/>
    </row>
    <row r="166" spans="1:17" x14ac:dyDescent="0.3">
      <c r="A166" s="1">
        <v>160</v>
      </c>
      <c r="B166" s="1">
        <f t="shared" si="2"/>
        <v>161</v>
      </c>
      <c r="C166" s="4" t="s">
        <v>115</v>
      </c>
      <c r="D166" s="4" t="s">
        <v>1510</v>
      </c>
      <c r="E166">
        <v>4631212</v>
      </c>
      <c r="G166" s="4" t="s">
        <v>1511</v>
      </c>
      <c r="H166" s="4" t="s">
        <v>1512</v>
      </c>
      <c r="I166">
        <v>7681140</v>
      </c>
      <c r="J166">
        <v>70202887</v>
      </c>
      <c r="K166" s="1">
        <v>1057530</v>
      </c>
      <c r="L166" s="1">
        <v>8728</v>
      </c>
      <c r="M166" s="1" t="s">
        <v>12</v>
      </c>
      <c r="O166" s="36"/>
      <c r="P166" s="1"/>
      <c r="Q166"/>
    </row>
    <row r="167" spans="1:17" x14ac:dyDescent="0.3">
      <c r="A167" s="1">
        <v>161</v>
      </c>
      <c r="B167" s="1">
        <f t="shared" si="2"/>
        <v>162</v>
      </c>
      <c r="C167" s="4" t="s">
        <v>1295</v>
      </c>
      <c r="D167" s="4" t="s">
        <v>1296</v>
      </c>
      <c r="G167" s="4" t="s">
        <v>1297</v>
      </c>
      <c r="H167" s="4" t="s">
        <v>1298</v>
      </c>
      <c r="I167">
        <v>8198240</v>
      </c>
      <c r="J167">
        <v>73131049</v>
      </c>
      <c r="K167" s="1">
        <v>1057608</v>
      </c>
      <c r="L167" s="1">
        <v>8666</v>
      </c>
      <c r="M167" s="1" t="s">
        <v>10</v>
      </c>
      <c r="N167" s="1" t="s">
        <v>20</v>
      </c>
      <c r="O167" s="36"/>
      <c r="P167" s="1"/>
      <c r="Q167"/>
    </row>
    <row r="168" spans="1:17" x14ac:dyDescent="0.3">
      <c r="A168" s="1">
        <v>162</v>
      </c>
      <c r="B168" s="1">
        <f t="shared" ref="B168:B231" si="3">ROW(B163)</f>
        <v>163</v>
      </c>
      <c r="C168" s="4" t="s">
        <v>1419</v>
      </c>
      <c r="D168" s="4" t="s">
        <v>1420</v>
      </c>
      <c r="E168">
        <v>6343854</v>
      </c>
      <c r="G168" s="4" t="s">
        <v>1421</v>
      </c>
      <c r="H168" s="4" t="s">
        <v>1422</v>
      </c>
      <c r="I168">
        <v>8067578</v>
      </c>
      <c r="J168">
        <v>78087697</v>
      </c>
      <c r="K168" s="1">
        <v>1057684</v>
      </c>
      <c r="L168" s="1">
        <v>8749</v>
      </c>
      <c r="M168" s="1" t="s">
        <v>11</v>
      </c>
      <c r="O168" s="36"/>
      <c r="P168" s="1"/>
      <c r="Q168"/>
    </row>
    <row r="169" spans="1:17" x14ac:dyDescent="0.3">
      <c r="A169" s="26">
        <v>163</v>
      </c>
      <c r="B169" s="26">
        <f t="shared" si="3"/>
        <v>164</v>
      </c>
      <c r="C169" s="27" t="s">
        <v>1000</v>
      </c>
      <c r="D169" s="27" t="s">
        <v>137</v>
      </c>
      <c r="E169" s="28">
        <v>7817965</v>
      </c>
      <c r="F169" s="28"/>
      <c r="G169" s="27" t="s">
        <v>1001</v>
      </c>
      <c r="H169" s="27" t="s">
        <v>1002</v>
      </c>
      <c r="I169" s="28">
        <v>9029049</v>
      </c>
      <c r="J169" s="28">
        <v>76681072</v>
      </c>
      <c r="K169" s="26">
        <v>1057671</v>
      </c>
      <c r="L169" s="26" t="s">
        <v>31</v>
      </c>
      <c r="M169" s="26" t="s">
        <v>8</v>
      </c>
      <c r="N169" s="26"/>
      <c r="O169" s="39"/>
      <c r="P169" s="1"/>
      <c r="Q169"/>
    </row>
    <row r="170" spans="1:17" x14ac:dyDescent="0.3">
      <c r="A170" s="1">
        <v>164</v>
      </c>
      <c r="B170" s="1">
        <f t="shared" si="3"/>
        <v>165</v>
      </c>
      <c r="C170" s="4" t="s">
        <v>1074</v>
      </c>
      <c r="D170" s="4" t="s">
        <v>2127</v>
      </c>
      <c r="E170">
        <v>9608922</v>
      </c>
      <c r="G170" s="4" t="s">
        <v>2128</v>
      </c>
      <c r="H170" s="4" t="s">
        <v>158</v>
      </c>
      <c r="I170">
        <v>76889668</v>
      </c>
      <c r="J170">
        <v>78432718</v>
      </c>
      <c r="K170" s="1">
        <v>1055320</v>
      </c>
      <c r="L170" s="1">
        <v>82560</v>
      </c>
      <c r="M170" s="1" t="s">
        <v>16</v>
      </c>
      <c r="O170" s="36"/>
      <c r="P170" s="1"/>
      <c r="Q170"/>
    </row>
    <row r="171" spans="1:17" ht="28.8" x14ac:dyDescent="0.3">
      <c r="A171" s="1">
        <v>165</v>
      </c>
      <c r="B171" s="1">
        <f t="shared" si="3"/>
        <v>166</v>
      </c>
      <c r="C171" s="4" t="s">
        <v>1074</v>
      </c>
      <c r="D171" s="4" t="s">
        <v>1075</v>
      </c>
      <c r="G171" s="4" t="s">
        <v>1076</v>
      </c>
      <c r="H171" s="4" t="s">
        <v>326</v>
      </c>
      <c r="I171">
        <v>8205001</v>
      </c>
      <c r="J171" s="8">
        <v>78418576</v>
      </c>
      <c r="K171" s="1">
        <v>1057681</v>
      </c>
      <c r="L171" s="56" t="s">
        <v>3008</v>
      </c>
      <c r="M171" s="1" t="s">
        <v>8</v>
      </c>
      <c r="O171" s="51"/>
      <c r="P171" s="1"/>
      <c r="Q171"/>
    </row>
    <row r="172" spans="1:17" x14ac:dyDescent="0.3">
      <c r="A172" s="26">
        <v>166</v>
      </c>
      <c r="B172" s="26">
        <f t="shared" si="3"/>
        <v>167</v>
      </c>
      <c r="C172" s="27" t="s">
        <v>208</v>
      </c>
      <c r="D172" s="27" t="s">
        <v>1502</v>
      </c>
      <c r="E172" s="28">
        <v>5689122</v>
      </c>
      <c r="F172" s="31">
        <v>67886799</v>
      </c>
      <c r="G172" s="27" t="s">
        <v>1503</v>
      </c>
      <c r="H172" s="27" t="s">
        <v>1504</v>
      </c>
      <c r="I172" s="28">
        <v>5671563</v>
      </c>
      <c r="J172" s="28"/>
      <c r="K172" s="26">
        <v>1057569</v>
      </c>
      <c r="L172" s="26">
        <v>82628</v>
      </c>
      <c r="M172" s="26" t="s">
        <v>12</v>
      </c>
      <c r="N172" s="26" t="s">
        <v>20</v>
      </c>
      <c r="O172" s="39"/>
      <c r="P172" s="1"/>
      <c r="Q172"/>
    </row>
    <row r="173" spans="1:17" x14ac:dyDescent="0.3">
      <c r="A173" s="1">
        <v>167</v>
      </c>
      <c r="B173" s="1">
        <f t="shared" si="3"/>
        <v>168</v>
      </c>
      <c r="C173" s="4" t="s">
        <v>995</v>
      </c>
      <c r="D173" s="4" t="s">
        <v>996</v>
      </c>
      <c r="E173">
        <v>4589088</v>
      </c>
      <c r="F173">
        <v>74943909</v>
      </c>
      <c r="G173" s="4" t="s">
        <v>997</v>
      </c>
      <c r="H173" s="4" t="s">
        <v>998</v>
      </c>
      <c r="I173">
        <v>5824742</v>
      </c>
      <c r="K173" s="1">
        <v>1056007</v>
      </c>
      <c r="L173" s="1">
        <v>64175</v>
      </c>
      <c r="M173" s="1" t="s">
        <v>8</v>
      </c>
      <c r="O173" s="36"/>
      <c r="P173" s="1"/>
      <c r="Q173"/>
    </row>
    <row r="174" spans="1:17" x14ac:dyDescent="0.3">
      <c r="A174" s="1">
        <v>168</v>
      </c>
      <c r="B174" s="1">
        <f t="shared" si="3"/>
        <v>169</v>
      </c>
      <c r="C174" s="4" t="s">
        <v>265</v>
      </c>
      <c r="D174" s="4" t="s">
        <v>762</v>
      </c>
      <c r="E174">
        <v>6287658</v>
      </c>
      <c r="G174" s="4" t="s">
        <v>763</v>
      </c>
      <c r="H174" s="4" t="s">
        <v>764</v>
      </c>
      <c r="I174">
        <v>7772601</v>
      </c>
      <c r="J174">
        <v>76699232</v>
      </c>
      <c r="K174" s="1">
        <v>1057600</v>
      </c>
      <c r="L174" s="1">
        <v>8704</v>
      </c>
      <c r="M174" s="1" t="s">
        <v>7</v>
      </c>
      <c r="O174" s="36"/>
      <c r="P174" s="1"/>
      <c r="Q174"/>
    </row>
    <row r="175" spans="1:17" x14ac:dyDescent="0.3">
      <c r="A175" s="1">
        <v>169</v>
      </c>
      <c r="B175" s="1">
        <f t="shared" si="3"/>
        <v>170</v>
      </c>
      <c r="C175" s="4" t="s">
        <v>547</v>
      </c>
      <c r="D175" s="4" t="s">
        <v>1473</v>
      </c>
      <c r="G175" s="4" t="s">
        <v>1474</v>
      </c>
      <c r="H175" s="4" t="s">
        <v>1475</v>
      </c>
      <c r="I175">
        <v>6245595</v>
      </c>
      <c r="J175">
        <v>77648853</v>
      </c>
      <c r="K175" s="1">
        <v>1057702</v>
      </c>
      <c r="L175" s="1">
        <v>8661</v>
      </c>
      <c r="M175" s="1" t="s">
        <v>12</v>
      </c>
      <c r="O175" s="36"/>
      <c r="P175" s="1"/>
      <c r="Q175"/>
    </row>
    <row r="176" spans="1:17" x14ac:dyDescent="0.3">
      <c r="A176" s="1">
        <v>170</v>
      </c>
      <c r="B176" s="1">
        <f t="shared" si="3"/>
        <v>171</v>
      </c>
      <c r="C176" s="4" t="s">
        <v>1399</v>
      </c>
      <c r="D176" s="4" t="s">
        <v>1186</v>
      </c>
      <c r="E176">
        <v>4733918</v>
      </c>
      <c r="G176" s="4" t="s">
        <v>165</v>
      </c>
      <c r="H176" s="4" t="s">
        <v>1400</v>
      </c>
      <c r="I176">
        <v>6289952</v>
      </c>
      <c r="J176">
        <v>75694353</v>
      </c>
      <c r="K176" s="1">
        <v>1057658</v>
      </c>
      <c r="L176" s="1">
        <v>8745</v>
      </c>
      <c r="M176" s="1" t="s">
        <v>11</v>
      </c>
      <c r="N176" s="1" t="s">
        <v>16</v>
      </c>
      <c r="O176" s="36"/>
      <c r="P176" s="1"/>
      <c r="Q176"/>
    </row>
    <row r="177" spans="1:17" x14ac:dyDescent="0.3">
      <c r="A177" s="1">
        <v>171</v>
      </c>
      <c r="B177" s="1">
        <f t="shared" si="3"/>
        <v>172</v>
      </c>
      <c r="C177" s="4" t="s">
        <v>152</v>
      </c>
      <c r="D177" s="4" t="s">
        <v>153</v>
      </c>
      <c r="E177">
        <v>9735650</v>
      </c>
      <c r="G177" s="4" t="s">
        <v>132</v>
      </c>
      <c r="H177" s="4" t="s">
        <v>154</v>
      </c>
      <c r="I177">
        <v>8944716</v>
      </c>
      <c r="J177">
        <v>67827702</v>
      </c>
      <c r="K177" s="1">
        <v>1056718</v>
      </c>
      <c r="L177" s="1">
        <v>8598</v>
      </c>
      <c r="M177" s="1" t="s">
        <v>4</v>
      </c>
      <c r="O177" s="36"/>
      <c r="P177" s="1"/>
      <c r="Q177"/>
    </row>
    <row r="178" spans="1:17" ht="27" x14ac:dyDescent="0.3">
      <c r="A178" s="26" t="s">
        <v>3136</v>
      </c>
      <c r="B178" s="26">
        <f t="shared" si="3"/>
        <v>173</v>
      </c>
      <c r="C178" s="27" t="s">
        <v>625</v>
      </c>
      <c r="D178" s="27" t="s">
        <v>626</v>
      </c>
      <c r="E178" s="28">
        <v>6290117</v>
      </c>
      <c r="F178" s="28"/>
      <c r="G178" s="34" t="s">
        <v>2957</v>
      </c>
      <c r="H178" s="27" t="s">
        <v>627</v>
      </c>
      <c r="I178" s="28">
        <v>5383814</v>
      </c>
      <c r="J178" s="28">
        <v>75629037</v>
      </c>
      <c r="K178" s="26">
        <v>1055609</v>
      </c>
      <c r="L178" s="26">
        <v>56299</v>
      </c>
      <c r="M178" s="26" t="s">
        <v>6</v>
      </c>
      <c r="N178" s="26"/>
      <c r="O178" s="39"/>
      <c r="P178" s="1"/>
      <c r="Q178"/>
    </row>
    <row r="179" spans="1:17" x14ac:dyDescent="0.3">
      <c r="A179" s="1">
        <v>173</v>
      </c>
      <c r="B179" s="1">
        <f t="shared" si="3"/>
        <v>174</v>
      </c>
      <c r="C179" s="4" t="s">
        <v>155</v>
      </c>
      <c r="D179" s="4" t="s">
        <v>1251</v>
      </c>
      <c r="E179">
        <v>8066522</v>
      </c>
      <c r="F179">
        <v>67733601</v>
      </c>
      <c r="G179" s="4" t="s">
        <v>1252</v>
      </c>
      <c r="H179" s="4" t="s">
        <v>1219</v>
      </c>
      <c r="I179">
        <v>9630716</v>
      </c>
      <c r="K179" s="1">
        <v>1057232</v>
      </c>
      <c r="L179" s="1">
        <v>82563</v>
      </c>
      <c r="M179" s="1" t="s">
        <v>10</v>
      </c>
      <c r="O179" s="36"/>
      <c r="P179" s="1"/>
      <c r="Q179"/>
    </row>
    <row r="180" spans="1:17" x14ac:dyDescent="0.3">
      <c r="A180" s="1">
        <v>174</v>
      </c>
      <c r="B180" s="1">
        <f t="shared" si="3"/>
        <v>175</v>
      </c>
      <c r="C180" s="4" t="s">
        <v>547</v>
      </c>
      <c r="D180" s="4" t="s">
        <v>1275</v>
      </c>
      <c r="G180" s="4" t="s">
        <v>1276</v>
      </c>
      <c r="H180" s="4" t="s">
        <v>1277</v>
      </c>
      <c r="I180">
        <v>9652099</v>
      </c>
      <c r="J180">
        <v>78030368</v>
      </c>
      <c r="K180" s="1">
        <v>1057726</v>
      </c>
      <c r="L180" s="1" t="s">
        <v>31</v>
      </c>
      <c r="M180" s="1" t="s">
        <v>10</v>
      </c>
      <c r="O180" s="36"/>
      <c r="P180" s="1"/>
      <c r="Q180"/>
    </row>
    <row r="181" spans="1:17" ht="28.8" x14ac:dyDescent="0.3">
      <c r="A181" s="1">
        <v>175</v>
      </c>
      <c r="B181" s="1">
        <f t="shared" si="3"/>
        <v>176</v>
      </c>
      <c r="C181" s="4" t="s">
        <v>1405</v>
      </c>
      <c r="D181" s="4" t="s">
        <v>1406</v>
      </c>
      <c r="E181">
        <v>3872736</v>
      </c>
      <c r="F181">
        <v>76367014</v>
      </c>
      <c r="G181" s="4" t="s">
        <v>1407</v>
      </c>
      <c r="H181" s="4" t="s">
        <v>1408</v>
      </c>
      <c r="I181">
        <v>5842009</v>
      </c>
      <c r="K181" s="1">
        <v>1057307</v>
      </c>
      <c r="L181" s="17" t="s">
        <v>2985</v>
      </c>
      <c r="M181" s="1" t="s">
        <v>11</v>
      </c>
      <c r="O181" s="36"/>
      <c r="P181" s="1"/>
      <c r="Q181"/>
    </row>
    <row r="182" spans="1:17" x14ac:dyDescent="0.3">
      <c r="A182" s="1">
        <v>176</v>
      </c>
      <c r="B182" s="1">
        <f t="shared" si="3"/>
        <v>177</v>
      </c>
      <c r="C182" s="4" t="s">
        <v>482</v>
      </c>
      <c r="D182" s="4" t="s">
        <v>1627</v>
      </c>
      <c r="E182">
        <v>7780729</v>
      </c>
      <c r="G182" s="4" t="s">
        <v>288</v>
      </c>
      <c r="H182" s="4" t="s">
        <v>1628</v>
      </c>
      <c r="I182">
        <v>5841248</v>
      </c>
      <c r="J182">
        <v>77313246</v>
      </c>
      <c r="K182" s="1">
        <v>1057609</v>
      </c>
      <c r="L182" s="1">
        <v>8653</v>
      </c>
      <c r="M182" s="1" t="s">
        <v>14</v>
      </c>
      <c r="N182" s="1" t="s">
        <v>20</v>
      </c>
      <c r="O182" s="36"/>
      <c r="P182" s="1"/>
      <c r="Q182"/>
    </row>
    <row r="183" spans="1:17" x14ac:dyDescent="0.3">
      <c r="A183" s="1">
        <v>177</v>
      </c>
      <c r="B183" s="1">
        <f t="shared" si="3"/>
        <v>178</v>
      </c>
      <c r="C183" s="4" t="s">
        <v>496</v>
      </c>
      <c r="D183" s="4" t="s">
        <v>497</v>
      </c>
      <c r="E183">
        <v>7805776</v>
      </c>
      <c r="G183" s="4" t="s">
        <v>498</v>
      </c>
      <c r="H183" s="4" t="s">
        <v>499</v>
      </c>
      <c r="I183">
        <v>8897149</v>
      </c>
      <c r="J183" s="8">
        <v>76304213</v>
      </c>
      <c r="K183" s="1">
        <v>1056493</v>
      </c>
      <c r="L183" s="1">
        <v>8700</v>
      </c>
      <c r="M183" s="1" t="s">
        <v>5</v>
      </c>
      <c r="O183" s="36"/>
      <c r="P183" s="1"/>
      <c r="Q183"/>
    </row>
    <row r="184" spans="1:17" x14ac:dyDescent="0.3">
      <c r="A184" s="26">
        <v>178</v>
      </c>
      <c r="B184" s="26">
        <f t="shared" si="3"/>
        <v>179</v>
      </c>
      <c r="C184" s="27" t="s">
        <v>1198</v>
      </c>
      <c r="D184" s="27" t="s">
        <v>629</v>
      </c>
      <c r="E184" s="28">
        <v>4717042</v>
      </c>
      <c r="F184" s="28">
        <v>77398656</v>
      </c>
      <c r="G184" s="27" t="s">
        <v>1199</v>
      </c>
      <c r="H184" s="27" t="s">
        <v>1200</v>
      </c>
      <c r="I184" s="28">
        <v>4609635</v>
      </c>
      <c r="J184" s="28">
        <v>7639606</v>
      </c>
      <c r="K184" s="26">
        <v>1057729</v>
      </c>
      <c r="L184" s="26">
        <v>56036</v>
      </c>
      <c r="M184" s="26" t="s">
        <v>9</v>
      </c>
      <c r="N184" s="26"/>
      <c r="O184" s="39"/>
      <c r="P184" s="1"/>
      <c r="Q184"/>
    </row>
    <row r="185" spans="1:17" x14ac:dyDescent="0.3">
      <c r="A185" s="1">
        <v>312</v>
      </c>
      <c r="B185" s="1">
        <f t="shared" si="3"/>
        <v>180</v>
      </c>
      <c r="C185" s="4" t="s">
        <v>2187</v>
      </c>
      <c r="D185" s="4" t="s">
        <v>2188</v>
      </c>
      <c r="G185" s="4" t="s">
        <v>2189</v>
      </c>
      <c r="H185" s="4" t="s">
        <v>2190</v>
      </c>
      <c r="I185">
        <v>6570861</v>
      </c>
      <c r="J185">
        <v>63428392</v>
      </c>
      <c r="K185" s="1">
        <v>1058514</v>
      </c>
      <c r="L185" s="1">
        <v>82589</v>
      </c>
      <c r="M185" s="1" t="s">
        <v>17</v>
      </c>
      <c r="O185" s="36"/>
      <c r="P185" s="1"/>
      <c r="Q185"/>
    </row>
    <row r="186" spans="1:17" x14ac:dyDescent="0.3">
      <c r="A186" s="26">
        <v>180</v>
      </c>
      <c r="B186" s="26">
        <f t="shared" si="3"/>
        <v>181</v>
      </c>
      <c r="C186" s="27" t="s">
        <v>1202</v>
      </c>
      <c r="D186" s="27" t="s">
        <v>1203</v>
      </c>
      <c r="E186" s="28"/>
      <c r="F186" s="28"/>
      <c r="G186" s="27" t="s">
        <v>1034</v>
      </c>
      <c r="H186" s="27" t="s">
        <v>1204</v>
      </c>
      <c r="I186" s="28">
        <v>8096104</v>
      </c>
      <c r="J186" s="28">
        <v>76638752</v>
      </c>
      <c r="K186" s="26">
        <v>1057750</v>
      </c>
      <c r="L186" s="26">
        <v>56269</v>
      </c>
      <c r="M186" s="26" t="s">
        <v>9</v>
      </c>
      <c r="N186" s="26"/>
      <c r="O186" s="39"/>
      <c r="P186" s="1"/>
      <c r="Q186"/>
    </row>
    <row r="187" spans="1:17" x14ac:dyDescent="0.3">
      <c r="A187" s="1">
        <v>181</v>
      </c>
      <c r="B187" s="1">
        <f t="shared" si="3"/>
        <v>182</v>
      </c>
      <c r="C187" s="4" t="s">
        <v>64</v>
      </c>
      <c r="D187" s="4" t="s">
        <v>65</v>
      </c>
      <c r="G187" s="4" t="s">
        <v>67</v>
      </c>
      <c r="H187" s="4" t="s">
        <v>68</v>
      </c>
      <c r="I187">
        <v>7961480</v>
      </c>
      <c r="J187">
        <v>71676902</v>
      </c>
      <c r="K187" s="1">
        <v>1057627</v>
      </c>
      <c r="L187" s="1">
        <v>82555</v>
      </c>
      <c r="M187" s="1" t="s">
        <v>4</v>
      </c>
      <c r="O187" s="36"/>
      <c r="P187" s="1"/>
      <c r="Q187"/>
    </row>
    <row r="188" spans="1:17" x14ac:dyDescent="0.3">
      <c r="A188" s="1">
        <v>182</v>
      </c>
      <c r="B188" s="1">
        <f t="shared" si="3"/>
        <v>183</v>
      </c>
      <c r="C188" s="4" t="s">
        <v>1584</v>
      </c>
      <c r="D188" s="4" t="s">
        <v>1585</v>
      </c>
      <c r="E188">
        <v>4987022</v>
      </c>
      <c r="F188">
        <v>73848974</v>
      </c>
      <c r="G188" s="4" t="s">
        <v>997</v>
      </c>
      <c r="H188" s="4" t="s">
        <v>1586</v>
      </c>
      <c r="K188" s="1">
        <v>1057160</v>
      </c>
      <c r="L188" s="1">
        <v>82605</v>
      </c>
      <c r="M188" s="1" t="s">
        <v>13</v>
      </c>
      <c r="O188" s="40" t="s">
        <v>2953</v>
      </c>
      <c r="P188" s="1"/>
      <c r="Q188"/>
    </row>
    <row r="189" spans="1:17" x14ac:dyDescent="0.3">
      <c r="A189" s="26">
        <v>243</v>
      </c>
      <c r="B189" s="26">
        <f t="shared" si="3"/>
        <v>184</v>
      </c>
      <c r="C189" s="27" t="s">
        <v>152</v>
      </c>
      <c r="D189" s="27" t="s">
        <v>629</v>
      </c>
      <c r="E189" s="28">
        <v>5406367</v>
      </c>
      <c r="F189" s="28"/>
      <c r="G189" s="27" t="s">
        <v>630</v>
      </c>
      <c r="H189" s="27" t="s">
        <v>631</v>
      </c>
      <c r="I189" s="28">
        <v>5406367</v>
      </c>
      <c r="J189" s="28">
        <v>76333054</v>
      </c>
      <c r="K189" s="26">
        <v>1057852</v>
      </c>
      <c r="L189" s="26">
        <v>56266</v>
      </c>
      <c r="M189" s="26" t="s">
        <v>6</v>
      </c>
      <c r="N189" s="26"/>
      <c r="O189" s="39"/>
      <c r="P189" s="1"/>
      <c r="Q189"/>
    </row>
    <row r="190" spans="1:17" x14ac:dyDescent="0.3">
      <c r="A190" s="26">
        <v>184</v>
      </c>
      <c r="B190" s="26">
        <f t="shared" si="3"/>
        <v>185</v>
      </c>
      <c r="C190" s="27" t="s">
        <v>979</v>
      </c>
      <c r="D190" s="27" t="s">
        <v>980</v>
      </c>
      <c r="E190" s="28"/>
      <c r="F190" s="28"/>
      <c r="G190" s="27" t="s">
        <v>613</v>
      </c>
      <c r="H190" s="27" t="s">
        <v>981</v>
      </c>
      <c r="I190" s="28">
        <v>7739312</v>
      </c>
      <c r="J190" s="28">
        <v>71002728</v>
      </c>
      <c r="K190" s="26">
        <v>1057413</v>
      </c>
      <c r="L190" s="26" t="s">
        <v>31</v>
      </c>
      <c r="M190" s="26" t="s">
        <v>8</v>
      </c>
      <c r="N190" s="26"/>
      <c r="O190" s="39"/>
      <c r="P190" s="1"/>
      <c r="Q190"/>
    </row>
    <row r="191" spans="1:17" x14ac:dyDescent="0.3">
      <c r="A191" s="1">
        <v>185</v>
      </c>
      <c r="B191" s="1">
        <f t="shared" si="3"/>
        <v>186</v>
      </c>
      <c r="C191" s="4" t="s">
        <v>1353</v>
      </c>
      <c r="D191" s="4" t="s">
        <v>981</v>
      </c>
      <c r="E191">
        <v>6355923</v>
      </c>
      <c r="G191" s="4" t="s">
        <v>1354</v>
      </c>
      <c r="H191" s="4" t="s">
        <v>1355</v>
      </c>
      <c r="I191">
        <v>8184036</v>
      </c>
      <c r="J191">
        <v>75680864</v>
      </c>
      <c r="K191" s="1">
        <v>1057411</v>
      </c>
      <c r="L191" s="1">
        <v>82575</v>
      </c>
      <c r="M191" s="1" t="s">
        <v>11</v>
      </c>
      <c r="O191" s="36"/>
      <c r="P191" s="1"/>
      <c r="Q191"/>
    </row>
    <row r="192" spans="1:17" x14ac:dyDescent="0.3">
      <c r="A192" s="1">
        <v>186</v>
      </c>
      <c r="B192" s="1">
        <f t="shared" si="3"/>
        <v>187</v>
      </c>
      <c r="C192" s="4" t="s">
        <v>1595</v>
      </c>
      <c r="D192" s="4" t="s">
        <v>779</v>
      </c>
      <c r="E192">
        <v>7701901</v>
      </c>
      <c r="F192">
        <v>75517773</v>
      </c>
      <c r="G192" s="4" t="s">
        <v>312</v>
      </c>
      <c r="H192" s="4" t="s">
        <v>1596</v>
      </c>
      <c r="I192">
        <v>12824031</v>
      </c>
      <c r="K192" s="1">
        <v>1055807</v>
      </c>
      <c r="L192" s="1">
        <v>64200</v>
      </c>
      <c r="M192" s="1" t="s">
        <v>13</v>
      </c>
      <c r="N192" s="1" t="s">
        <v>16</v>
      </c>
      <c r="O192" s="36"/>
      <c r="P192" s="1"/>
      <c r="Q192"/>
    </row>
    <row r="193" spans="1:17" x14ac:dyDescent="0.3">
      <c r="A193" s="1">
        <v>187</v>
      </c>
      <c r="B193" s="1">
        <f t="shared" si="3"/>
        <v>188</v>
      </c>
      <c r="C193" s="4" t="s">
        <v>1389</v>
      </c>
      <c r="D193" s="4" t="s">
        <v>1390</v>
      </c>
      <c r="E193">
        <v>6266633</v>
      </c>
      <c r="F193">
        <v>78069031</v>
      </c>
      <c r="G193" s="4" t="s">
        <v>1391</v>
      </c>
      <c r="H193" s="4" t="s">
        <v>1392</v>
      </c>
      <c r="I193">
        <v>5337635</v>
      </c>
      <c r="K193" s="1">
        <v>1057768</v>
      </c>
      <c r="L193" s="1">
        <v>56015</v>
      </c>
      <c r="M193" s="1" t="s">
        <v>11</v>
      </c>
      <c r="O193" s="36"/>
      <c r="P193" s="1"/>
      <c r="Q193"/>
    </row>
    <row r="194" spans="1:17" x14ac:dyDescent="0.3">
      <c r="A194" s="1">
        <v>188</v>
      </c>
      <c r="B194" s="1">
        <f t="shared" si="3"/>
        <v>189</v>
      </c>
      <c r="C194" s="4" t="s">
        <v>1194</v>
      </c>
      <c r="D194" s="4" t="s">
        <v>491</v>
      </c>
      <c r="E194">
        <v>5835869</v>
      </c>
      <c r="F194">
        <v>71069301</v>
      </c>
      <c r="G194" s="4" t="s">
        <v>1195</v>
      </c>
      <c r="H194" s="4" t="s">
        <v>1196</v>
      </c>
      <c r="I194">
        <v>5860711</v>
      </c>
      <c r="K194" s="1">
        <v>1057203</v>
      </c>
      <c r="L194" s="1">
        <v>8721</v>
      </c>
      <c r="M194" s="1" t="s">
        <v>9</v>
      </c>
      <c r="N194" s="1" t="s">
        <v>12</v>
      </c>
      <c r="O194" s="36"/>
      <c r="P194" s="1"/>
      <c r="Q194"/>
    </row>
    <row r="195" spans="1:17" x14ac:dyDescent="0.3">
      <c r="A195" s="1">
        <v>189</v>
      </c>
      <c r="B195" s="1">
        <f t="shared" si="3"/>
        <v>190</v>
      </c>
      <c r="C195" s="4" t="s">
        <v>208</v>
      </c>
      <c r="D195" s="4" t="s">
        <v>490</v>
      </c>
      <c r="E195">
        <v>9798096</v>
      </c>
      <c r="G195" s="4" t="s">
        <v>228</v>
      </c>
      <c r="H195" s="4" t="s">
        <v>491</v>
      </c>
      <c r="I195">
        <v>9789649</v>
      </c>
      <c r="J195">
        <v>75615685</v>
      </c>
      <c r="K195" s="1">
        <v>1056940</v>
      </c>
      <c r="L195" s="1">
        <v>82565</v>
      </c>
      <c r="M195" s="1" t="s">
        <v>5</v>
      </c>
      <c r="O195" s="36" t="s">
        <v>2988</v>
      </c>
      <c r="P195" s="1"/>
      <c r="Q195"/>
    </row>
    <row r="196" spans="1:17" x14ac:dyDescent="0.3">
      <c r="A196" s="1">
        <v>104</v>
      </c>
      <c r="B196" s="1">
        <f t="shared" si="3"/>
        <v>191</v>
      </c>
      <c r="C196" s="4" t="s">
        <v>639</v>
      </c>
      <c r="D196" s="4" t="s">
        <v>640</v>
      </c>
      <c r="E196">
        <v>7672239</v>
      </c>
      <c r="G196" s="4" t="s">
        <v>641</v>
      </c>
      <c r="H196" s="4" t="s">
        <v>642</v>
      </c>
      <c r="I196">
        <v>7678351</v>
      </c>
      <c r="J196">
        <v>69239458</v>
      </c>
      <c r="K196" s="1">
        <v>1055480</v>
      </c>
      <c r="L196" s="1">
        <v>82587</v>
      </c>
      <c r="M196" s="1" t="s">
        <v>6</v>
      </c>
      <c r="N196" s="1" t="s">
        <v>16</v>
      </c>
      <c r="O196" s="36"/>
      <c r="P196" s="1"/>
      <c r="Q196"/>
    </row>
    <row r="197" spans="1:17" x14ac:dyDescent="0.3">
      <c r="A197" s="1">
        <v>191</v>
      </c>
      <c r="B197" s="1">
        <f t="shared" si="3"/>
        <v>192</v>
      </c>
      <c r="C197" s="4" t="s">
        <v>1009</v>
      </c>
      <c r="D197" s="4" t="s">
        <v>568</v>
      </c>
      <c r="E197">
        <v>8258091</v>
      </c>
      <c r="G197" s="4" t="s">
        <v>209</v>
      </c>
      <c r="H197" s="4" t="s">
        <v>2994</v>
      </c>
      <c r="I197">
        <v>7713316</v>
      </c>
      <c r="J197">
        <v>76300272</v>
      </c>
      <c r="K197" s="1">
        <v>1057574</v>
      </c>
      <c r="L197" s="1">
        <v>8567</v>
      </c>
      <c r="M197" s="1" t="s">
        <v>10</v>
      </c>
      <c r="O197" s="36"/>
      <c r="P197" s="1"/>
      <c r="Q197"/>
    </row>
    <row r="198" spans="1:17" ht="28.8" x14ac:dyDescent="0.3">
      <c r="A198" s="1">
        <v>192</v>
      </c>
      <c r="B198" s="1">
        <f t="shared" si="3"/>
        <v>193</v>
      </c>
      <c r="C198" s="4" t="s">
        <v>715</v>
      </c>
      <c r="D198" s="4" t="s">
        <v>568</v>
      </c>
      <c r="E198">
        <v>5644441</v>
      </c>
      <c r="G198" s="4" t="s">
        <v>716</v>
      </c>
      <c r="H198" s="4" t="s">
        <v>717</v>
      </c>
      <c r="I198">
        <v>3654814</v>
      </c>
      <c r="J198">
        <v>78414466</v>
      </c>
      <c r="K198" s="1">
        <v>1056992</v>
      </c>
      <c r="L198" s="17" t="s">
        <v>2989</v>
      </c>
      <c r="M198" s="1" t="s">
        <v>7</v>
      </c>
      <c r="O198" s="36"/>
      <c r="P198" s="1"/>
      <c r="Q198"/>
    </row>
    <row r="199" spans="1:17" x14ac:dyDescent="0.3">
      <c r="A199" s="1">
        <v>193</v>
      </c>
      <c r="B199" s="1">
        <f t="shared" si="3"/>
        <v>194</v>
      </c>
      <c r="C199" s="4" t="s">
        <v>1428</v>
      </c>
      <c r="D199" s="4" t="s">
        <v>1429</v>
      </c>
      <c r="E199">
        <v>6366035</v>
      </c>
      <c r="G199" s="4" t="s">
        <v>1430</v>
      </c>
      <c r="H199" s="4" t="s">
        <v>1431</v>
      </c>
      <c r="I199">
        <v>5357928</v>
      </c>
      <c r="J199">
        <v>77633754</v>
      </c>
      <c r="K199" s="1">
        <v>1055812</v>
      </c>
      <c r="L199" s="1">
        <v>8750</v>
      </c>
      <c r="M199" s="1" t="s">
        <v>11</v>
      </c>
      <c r="O199" s="36"/>
      <c r="P199" s="1"/>
      <c r="Q199"/>
    </row>
    <row r="200" spans="1:17" x14ac:dyDescent="0.3">
      <c r="A200" s="1">
        <v>194</v>
      </c>
      <c r="B200" s="1">
        <f t="shared" si="3"/>
        <v>195</v>
      </c>
      <c r="C200" s="4" t="s">
        <v>422</v>
      </c>
      <c r="D200" s="4" t="s">
        <v>1529</v>
      </c>
      <c r="G200" s="4" t="s">
        <v>1530</v>
      </c>
      <c r="H200" s="4" t="s">
        <v>142</v>
      </c>
      <c r="I200">
        <v>8240996</v>
      </c>
      <c r="J200">
        <v>78130798</v>
      </c>
      <c r="K200" s="11">
        <v>1057548</v>
      </c>
      <c r="L200" s="1">
        <v>64185</v>
      </c>
      <c r="M200" s="1" t="s">
        <v>12</v>
      </c>
      <c r="O200" s="36"/>
      <c r="P200" s="1"/>
      <c r="Q200"/>
    </row>
    <row r="201" spans="1:17" x14ac:dyDescent="0.3">
      <c r="A201" s="1">
        <v>195</v>
      </c>
      <c r="B201" s="1">
        <f t="shared" si="3"/>
        <v>196</v>
      </c>
      <c r="C201" s="4" t="s">
        <v>170</v>
      </c>
      <c r="D201" s="4" t="s">
        <v>1525</v>
      </c>
      <c r="G201" s="4" t="s">
        <v>1526</v>
      </c>
      <c r="H201" s="4" t="s">
        <v>1527</v>
      </c>
      <c r="I201">
        <v>5336345</v>
      </c>
      <c r="J201">
        <v>75055404</v>
      </c>
      <c r="K201" s="1">
        <v>1056661</v>
      </c>
      <c r="L201" s="1">
        <v>8565</v>
      </c>
      <c r="M201" s="1" t="s">
        <v>12</v>
      </c>
      <c r="O201" s="36"/>
      <c r="P201" s="1"/>
      <c r="Q201"/>
    </row>
    <row r="202" spans="1:17" x14ac:dyDescent="0.3">
      <c r="A202" s="1">
        <v>196</v>
      </c>
      <c r="B202" s="1">
        <f t="shared" si="3"/>
        <v>197</v>
      </c>
      <c r="C202" s="4" t="s">
        <v>789</v>
      </c>
      <c r="D202" s="4" t="s">
        <v>790</v>
      </c>
      <c r="E202">
        <v>5820524</v>
      </c>
      <c r="G202" s="4" t="s">
        <v>791</v>
      </c>
      <c r="H202" s="4" t="s">
        <v>792</v>
      </c>
      <c r="I202">
        <v>8891618</v>
      </c>
      <c r="J202">
        <v>74699492</v>
      </c>
      <c r="K202" s="1">
        <v>1057802</v>
      </c>
      <c r="L202" s="1">
        <v>82562</v>
      </c>
      <c r="M202" s="1" t="s">
        <v>7</v>
      </c>
      <c r="O202" s="36"/>
      <c r="P202" s="1"/>
      <c r="Q202"/>
    </row>
    <row r="203" spans="1:17" x14ac:dyDescent="0.3">
      <c r="A203" s="1">
        <v>140</v>
      </c>
      <c r="B203" s="1">
        <f t="shared" si="3"/>
        <v>198</v>
      </c>
      <c r="C203" s="4" t="s">
        <v>634</v>
      </c>
      <c r="D203" s="4" t="s">
        <v>635</v>
      </c>
      <c r="E203">
        <v>1090393</v>
      </c>
      <c r="F203">
        <v>67857034</v>
      </c>
      <c r="G203" s="4" t="s">
        <v>636</v>
      </c>
      <c r="H203" s="4" t="s">
        <v>637</v>
      </c>
      <c r="K203" s="1">
        <v>1057454</v>
      </c>
      <c r="L203" s="1">
        <v>8663</v>
      </c>
      <c r="M203" s="1" t="s">
        <v>6</v>
      </c>
      <c r="O203" s="36"/>
      <c r="P203" s="1"/>
      <c r="Q203"/>
    </row>
    <row r="204" spans="1:17" x14ac:dyDescent="0.3">
      <c r="A204" s="26">
        <v>198</v>
      </c>
      <c r="B204" s="26">
        <f t="shared" si="3"/>
        <v>199</v>
      </c>
      <c r="C204" s="27" t="s">
        <v>1237</v>
      </c>
      <c r="D204" s="27" t="s">
        <v>1238</v>
      </c>
      <c r="E204" s="28">
        <v>3930627</v>
      </c>
      <c r="F204" s="28"/>
      <c r="G204" s="27" t="s">
        <v>1239</v>
      </c>
      <c r="H204" s="27" t="s">
        <v>1240</v>
      </c>
      <c r="I204" s="28">
        <v>7663345</v>
      </c>
      <c r="J204" s="28">
        <v>75653839</v>
      </c>
      <c r="K204" s="26">
        <v>1057814</v>
      </c>
      <c r="L204" s="26" t="s">
        <v>31</v>
      </c>
      <c r="M204" s="26" t="s">
        <v>10</v>
      </c>
      <c r="N204" s="26"/>
      <c r="O204" s="39"/>
      <c r="P204" s="1"/>
      <c r="Q204"/>
    </row>
    <row r="205" spans="1:17" x14ac:dyDescent="0.3">
      <c r="A205" s="26">
        <v>199</v>
      </c>
      <c r="B205" s="26">
        <f t="shared" si="3"/>
        <v>200</v>
      </c>
      <c r="C205" s="27" t="s">
        <v>720</v>
      </c>
      <c r="D205" s="27" t="s">
        <v>1245</v>
      </c>
      <c r="E205" s="28">
        <v>9852249</v>
      </c>
      <c r="F205" s="28"/>
      <c r="G205" s="27" t="s">
        <v>1345</v>
      </c>
      <c r="H205" s="27" t="s">
        <v>1346</v>
      </c>
      <c r="I205" s="28">
        <v>9847591</v>
      </c>
      <c r="J205" s="28">
        <v>76385177</v>
      </c>
      <c r="K205" s="26">
        <v>1056948</v>
      </c>
      <c r="L205" s="26" t="s">
        <v>31</v>
      </c>
      <c r="M205" s="26" t="s">
        <v>11</v>
      </c>
      <c r="N205" s="26"/>
      <c r="O205" s="39"/>
      <c r="P205" s="1"/>
      <c r="Q205"/>
    </row>
    <row r="206" spans="1:17" x14ac:dyDescent="0.3">
      <c r="A206" s="1">
        <v>200</v>
      </c>
      <c r="B206" s="1">
        <f t="shared" si="3"/>
        <v>201</v>
      </c>
      <c r="C206" s="4" t="s">
        <v>1613</v>
      </c>
      <c r="G206" s="4" t="s">
        <v>1276</v>
      </c>
      <c r="H206" s="4" t="s">
        <v>1615</v>
      </c>
      <c r="I206">
        <v>8164456</v>
      </c>
      <c r="J206">
        <v>68774118</v>
      </c>
      <c r="K206" s="1">
        <v>1057661</v>
      </c>
      <c r="L206" s="1">
        <v>8720</v>
      </c>
      <c r="M206" s="1" t="s">
        <v>14</v>
      </c>
      <c r="O206" s="36"/>
      <c r="P206" s="1"/>
      <c r="Q206">
        <v>4320</v>
      </c>
    </row>
    <row r="207" spans="1:17" x14ac:dyDescent="0.3">
      <c r="A207" s="1">
        <v>201</v>
      </c>
      <c r="B207" s="1">
        <f t="shared" si="3"/>
        <v>202</v>
      </c>
      <c r="C207" s="4" t="s">
        <v>723</v>
      </c>
      <c r="D207" s="4" t="s">
        <v>1534</v>
      </c>
      <c r="E207">
        <v>4667800</v>
      </c>
      <c r="G207" s="4" t="s">
        <v>1535</v>
      </c>
      <c r="H207" s="4" t="s">
        <v>1536</v>
      </c>
      <c r="I207">
        <v>5829993</v>
      </c>
      <c r="J207">
        <v>73149906</v>
      </c>
      <c r="K207" s="1">
        <v>1056901</v>
      </c>
      <c r="L207" s="1">
        <v>82608</v>
      </c>
      <c r="M207" s="1" t="s">
        <v>13</v>
      </c>
      <c r="O207" s="36"/>
      <c r="P207" s="1"/>
      <c r="Q207">
        <f>SUM(Q160:Q206)</f>
        <v>4320</v>
      </c>
    </row>
    <row r="208" spans="1:17" x14ac:dyDescent="0.3">
      <c r="A208" s="1">
        <v>202</v>
      </c>
      <c r="B208" s="1">
        <f t="shared" si="3"/>
        <v>203</v>
      </c>
      <c r="C208" s="4" t="s">
        <v>1041</v>
      </c>
      <c r="D208" s="4" t="s">
        <v>1042</v>
      </c>
      <c r="E208">
        <v>12568870</v>
      </c>
      <c r="G208" s="4" t="s">
        <v>1043</v>
      </c>
      <c r="H208" s="4" t="s">
        <v>340</v>
      </c>
      <c r="I208">
        <v>8096144</v>
      </c>
      <c r="J208" s="8">
        <v>68785446</v>
      </c>
      <c r="K208" s="1">
        <v>1057509</v>
      </c>
      <c r="L208" s="1">
        <v>8678</v>
      </c>
      <c r="M208" s="1" t="s">
        <v>8</v>
      </c>
      <c r="N208" s="1" t="s">
        <v>1414</v>
      </c>
      <c r="O208" s="36"/>
      <c r="P208" s="1"/>
      <c r="Q208"/>
    </row>
    <row r="209" spans="1:17" x14ac:dyDescent="0.3">
      <c r="A209" s="26">
        <v>203</v>
      </c>
      <c r="B209" s="26">
        <f t="shared" si="3"/>
        <v>204</v>
      </c>
      <c r="C209" s="27" t="s">
        <v>1009</v>
      </c>
      <c r="D209" s="27" t="s">
        <v>1010</v>
      </c>
      <c r="E209" s="28"/>
      <c r="F209" s="28"/>
      <c r="G209" s="27" t="s">
        <v>296</v>
      </c>
      <c r="H209" s="27" t="s">
        <v>1011</v>
      </c>
      <c r="I209" s="28">
        <v>12516188</v>
      </c>
      <c r="J209" s="28">
        <v>63611042</v>
      </c>
      <c r="K209" s="26">
        <v>1056904</v>
      </c>
      <c r="L209" s="26">
        <v>82630</v>
      </c>
      <c r="M209" s="26" t="s">
        <v>8</v>
      </c>
      <c r="N209" s="26"/>
      <c r="O209" s="39"/>
      <c r="P209" s="1"/>
      <c r="Q209"/>
    </row>
    <row r="210" spans="1:17" x14ac:dyDescent="0.3">
      <c r="A210" s="1">
        <v>204</v>
      </c>
      <c r="B210" s="1">
        <f t="shared" si="3"/>
        <v>205</v>
      </c>
      <c r="C210" s="4" t="s">
        <v>89</v>
      </c>
      <c r="D210" s="4" t="s">
        <v>90</v>
      </c>
      <c r="E210">
        <v>5887938</v>
      </c>
      <c r="G210" s="4" t="s">
        <v>91</v>
      </c>
      <c r="H210" s="4" t="s">
        <v>92</v>
      </c>
      <c r="I210">
        <v>5886251</v>
      </c>
      <c r="J210">
        <v>69167728</v>
      </c>
      <c r="K210" s="1">
        <v>1057665</v>
      </c>
      <c r="L210" s="1">
        <v>82570</v>
      </c>
      <c r="M210" s="1" t="s">
        <v>4</v>
      </c>
      <c r="N210" s="1" t="s">
        <v>9</v>
      </c>
      <c r="O210" s="36"/>
      <c r="P210" s="1"/>
      <c r="Q210"/>
    </row>
    <row r="211" spans="1:17" x14ac:dyDescent="0.3">
      <c r="A211" s="1">
        <v>206</v>
      </c>
      <c r="B211" s="1">
        <f t="shared" si="3"/>
        <v>206</v>
      </c>
      <c r="C211" s="4" t="s">
        <v>1465</v>
      </c>
      <c r="D211" s="4" t="s">
        <v>1466</v>
      </c>
      <c r="E211">
        <v>8997397</v>
      </c>
      <c r="G211" s="4" t="s">
        <v>1467</v>
      </c>
      <c r="H211" s="4" t="s">
        <v>55</v>
      </c>
      <c r="I211">
        <v>13333691</v>
      </c>
      <c r="J211">
        <v>73112527</v>
      </c>
      <c r="K211" s="11">
        <v>1057868</v>
      </c>
      <c r="L211" s="1">
        <v>82581</v>
      </c>
      <c r="M211" s="1" t="s">
        <v>12</v>
      </c>
      <c r="N211" s="1" t="s">
        <v>19</v>
      </c>
      <c r="O211" s="36"/>
      <c r="P211" s="1"/>
      <c r="Q211"/>
    </row>
    <row r="212" spans="1:17" x14ac:dyDescent="0.3">
      <c r="A212" s="1">
        <v>207</v>
      </c>
      <c r="B212" s="1">
        <f t="shared" si="3"/>
        <v>207</v>
      </c>
      <c r="C212" s="4" t="s">
        <v>776</v>
      </c>
      <c r="D212" s="4" t="s">
        <v>777</v>
      </c>
      <c r="E212">
        <v>5496622</v>
      </c>
      <c r="F212">
        <v>72104353</v>
      </c>
      <c r="G212" s="4" t="s">
        <v>778</v>
      </c>
      <c r="H212" s="4" t="s">
        <v>779</v>
      </c>
      <c r="I212">
        <v>6362373</v>
      </c>
      <c r="K212" s="1">
        <v>1057809</v>
      </c>
      <c r="L212" s="1">
        <v>82579</v>
      </c>
      <c r="M212" s="1" t="s">
        <v>7</v>
      </c>
      <c r="N212" s="1" t="s">
        <v>13</v>
      </c>
      <c r="O212" s="36"/>
      <c r="P212" s="1"/>
      <c r="Q212"/>
    </row>
    <row r="213" spans="1:17" x14ac:dyDescent="0.3">
      <c r="A213" s="1">
        <v>208</v>
      </c>
      <c r="B213" s="1">
        <f t="shared" si="3"/>
        <v>208</v>
      </c>
      <c r="C213" s="4" t="s">
        <v>810</v>
      </c>
      <c r="D213" s="4" t="s">
        <v>1438</v>
      </c>
      <c r="E213">
        <v>11380128</v>
      </c>
      <c r="F213">
        <v>68927482</v>
      </c>
      <c r="G213" s="4" t="s">
        <v>312</v>
      </c>
      <c r="H213" s="4" t="s">
        <v>1439</v>
      </c>
      <c r="K213" s="1">
        <v>1057220</v>
      </c>
      <c r="L213" s="1">
        <v>64151</v>
      </c>
      <c r="M213" s="1" t="s">
        <v>11</v>
      </c>
      <c r="O213" s="36"/>
      <c r="P213" s="1"/>
      <c r="Q213"/>
    </row>
    <row r="214" spans="1:17" x14ac:dyDescent="0.3">
      <c r="A214" s="1">
        <v>209</v>
      </c>
      <c r="B214" s="1">
        <f t="shared" si="3"/>
        <v>209</v>
      </c>
      <c r="C214" s="4" t="s">
        <v>130</v>
      </c>
      <c r="D214" s="4" t="s">
        <v>814</v>
      </c>
      <c r="E214">
        <v>7561575</v>
      </c>
      <c r="G214" s="4" t="s">
        <v>768</v>
      </c>
      <c r="H214" s="4" t="s">
        <v>98</v>
      </c>
      <c r="I214">
        <v>8221262</v>
      </c>
      <c r="J214">
        <v>75450944</v>
      </c>
      <c r="K214" s="1">
        <v>1057772</v>
      </c>
      <c r="L214" s="1">
        <v>64158</v>
      </c>
      <c r="M214" s="1" t="s">
        <v>7</v>
      </c>
      <c r="O214" s="36"/>
      <c r="P214" s="1"/>
      <c r="Q214"/>
    </row>
    <row r="215" spans="1:17" x14ac:dyDescent="0.3">
      <c r="A215" s="1">
        <v>210</v>
      </c>
      <c r="B215" s="1">
        <f t="shared" si="3"/>
        <v>210</v>
      </c>
      <c r="C215" s="4" t="s">
        <v>1270</v>
      </c>
      <c r="D215" s="4" t="s">
        <v>1271</v>
      </c>
      <c r="G215" s="4" t="s">
        <v>1272</v>
      </c>
      <c r="H215" s="4" t="s">
        <v>1273</v>
      </c>
      <c r="I215">
        <v>3917776</v>
      </c>
      <c r="J215">
        <v>71382747</v>
      </c>
      <c r="K215" s="1">
        <v>1057668</v>
      </c>
      <c r="L215" s="1">
        <v>64195</v>
      </c>
      <c r="M215" s="1" t="s">
        <v>10</v>
      </c>
      <c r="O215" s="36"/>
      <c r="P215" s="1"/>
      <c r="Q215"/>
    </row>
    <row r="216" spans="1:17" x14ac:dyDescent="0.3">
      <c r="A216" s="1">
        <v>211</v>
      </c>
      <c r="B216" s="1">
        <f t="shared" si="3"/>
        <v>211</v>
      </c>
      <c r="C216" s="4" t="s">
        <v>1565</v>
      </c>
      <c r="D216" s="4" t="s">
        <v>1566</v>
      </c>
      <c r="G216" s="4" t="s">
        <v>1567</v>
      </c>
      <c r="H216" s="4" t="s">
        <v>1568</v>
      </c>
      <c r="I216">
        <v>4571886</v>
      </c>
      <c r="J216">
        <v>76373279</v>
      </c>
      <c r="K216" s="1">
        <v>1057721</v>
      </c>
      <c r="L216" s="1">
        <v>64176</v>
      </c>
      <c r="M216" s="1" t="s">
        <v>13</v>
      </c>
      <c r="O216" s="36"/>
      <c r="P216" s="1"/>
      <c r="Q216"/>
    </row>
    <row r="217" spans="1:17" x14ac:dyDescent="0.3">
      <c r="A217" s="26">
        <v>212</v>
      </c>
      <c r="B217" s="26">
        <f t="shared" si="3"/>
        <v>212</v>
      </c>
      <c r="C217" s="27" t="s">
        <v>1087</v>
      </c>
      <c r="D217" s="27" t="s">
        <v>1083</v>
      </c>
      <c r="E217" s="28">
        <v>7717996</v>
      </c>
      <c r="F217" s="28"/>
      <c r="G217" s="27" t="s">
        <v>1088</v>
      </c>
      <c r="H217" s="27" t="s">
        <v>233</v>
      </c>
      <c r="I217" s="28">
        <v>8887990</v>
      </c>
      <c r="J217" s="28">
        <v>63387510</v>
      </c>
      <c r="K217" s="26">
        <v>1057505</v>
      </c>
      <c r="L217" s="26">
        <v>56294</v>
      </c>
      <c r="M217" s="26" t="s">
        <v>8</v>
      </c>
      <c r="N217" s="26"/>
      <c r="O217" s="39"/>
      <c r="P217" s="1"/>
      <c r="Q217"/>
    </row>
    <row r="218" spans="1:17" x14ac:dyDescent="0.3">
      <c r="A218" s="1">
        <v>213</v>
      </c>
      <c r="B218" s="1">
        <f t="shared" si="3"/>
        <v>213</v>
      </c>
      <c r="C218" s="4" t="s">
        <v>843</v>
      </c>
      <c r="D218" s="4" t="s">
        <v>1444</v>
      </c>
      <c r="G218" s="4" t="s">
        <v>1445</v>
      </c>
      <c r="H218" s="4" t="s">
        <v>1446</v>
      </c>
      <c r="I218">
        <v>7550594</v>
      </c>
      <c r="J218">
        <v>72170222</v>
      </c>
      <c r="K218" s="1">
        <v>1057533</v>
      </c>
      <c r="L218" s="1">
        <v>64152</v>
      </c>
      <c r="M218" s="1" t="s">
        <v>11</v>
      </c>
      <c r="O218" s="36"/>
      <c r="P218" s="1"/>
      <c r="Q218"/>
    </row>
    <row r="219" spans="1:17" x14ac:dyDescent="0.3">
      <c r="A219" s="26">
        <v>215</v>
      </c>
      <c r="B219" s="26">
        <f t="shared" si="3"/>
        <v>214</v>
      </c>
      <c r="C219" s="27" t="s">
        <v>669</v>
      </c>
      <c r="D219" s="27" t="s">
        <v>545</v>
      </c>
      <c r="E219" s="28"/>
      <c r="F219" s="28"/>
      <c r="G219" s="27" t="s">
        <v>296</v>
      </c>
      <c r="H219" s="27" t="s">
        <v>760</v>
      </c>
      <c r="I219" s="28">
        <v>5855466</v>
      </c>
      <c r="J219" s="28">
        <v>74950952</v>
      </c>
      <c r="K219" s="26">
        <v>1056822</v>
      </c>
      <c r="L219" s="26" t="s">
        <v>31</v>
      </c>
      <c r="M219" s="26" t="s">
        <v>7</v>
      </c>
      <c r="N219" s="26"/>
      <c r="O219" s="39"/>
      <c r="P219" s="1"/>
      <c r="Q219"/>
    </row>
    <row r="220" spans="1:17" x14ac:dyDescent="0.3">
      <c r="A220" s="1">
        <v>216</v>
      </c>
      <c r="B220" s="1">
        <f t="shared" si="3"/>
        <v>215</v>
      </c>
      <c r="C220" s="4" t="s">
        <v>679</v>
      </c>
      <c r="D220" s="4" t="s">
        <v>1424</v>
      </c>
      <c r="E220">
        <v>5683332</v>
      </c>
      <c r="G220" s="4" t="s">
        <v>1425</v>
      </c>
      <c r="H220" s="4" t="s">
        <v>1426</v>
      </c>
      <c r="I220">
        <v>9621721</v>
      </c>
      <c r="J220">
        <v>72611733</v>
      </c>
      <c r="K220" s="1">
        <v>1057863</v>
      </c>
      <c r="L220" s="1">
        <v>64162</v>
      </c>
      <c r="M220" s="1" t="s">
        <v>11</v>
      </c>
      <c r="O220" s="36"/>
      <c r="P220" s="1"/>
      <c r="Q220"/>
    </row>
    <row r="221" spans="1:17" x14ac:dyDescent="0.3">
      <c r="A221" s="1">
        <v>217</v>
      </c>
      <c r="B221" s="1">
        <f t="shared" si="3"/>
        <v>216</v>
      </c>
      <c r="C221" s="4" t="s">
        <v>695</v>
      </c>
      <c r="D221" s="4" t="s">
        <v>983</v>
      </c>
      <c r="G221" s="4" t="s">
        <v>984</v>
      </c>
      <c r="H221" s="4" t="s">
        <v>534</v>
      </c>
      <c r="I221">
        <v>6354135</v>
      </c>
      <c r="J221">
        <v>72666245</v>
      </c>
      <c r="K221" s="1">
        <v>1057526</v>
      </c>
      <c r="L221" s="1">
        <v>64182</v>
      </c>
      <c r="M221" s="1" t="s">
        <v>8</v>
      </c>
      <c r="N221" s="1" t="s">
        <v>13</v>
      </c>
      <c r="O221" s="36"/>
      <c r="P221" s="1"/>
      <c r="Q221"/>
    </row>
    <row r="222" spans="1:17" x14ac:dyDescent="0.3">
      <c r="A222" s="1">
        <v>218</v>
      </c>
      <c r="B222" s="1">
        <f t="shared" si="3"/>
        <v>217</v>
      </c>
      <c r="C222" s="4" t="s">
        <v>573</v>
      </c>
      <c r="D222" s="4" t="s">
        <v>1234</v>
      </c>
      <c r="E222">
        <v>7824782</v>
      </c>
      <c r="G222" s="4" t="s">
        <v>285</v>
      </c>
      <c r="H222" s="4" t="s">
        <v>1235</v>
      </c>
      <c r="I222">
        <v>8152121</v>
      </c>
      <c r="J222">
        <v>76147609</v>
      </c>
      <c r="K222" s="1">
        <v>1056754</v>
      </c>
      <c r="L222" s="1">
        <v>82606</v>
      </c>
      <c r="M222" s="1" t="s">
        <v>10</v>
      </c>
      <c r="O222" s="36"/>
      <c r="P222" s="1"/>
      <c r="Q222"/>
    </row>
    <row r="223" spans="1:17" x14ac:dyDescent="0.3">
      <c r="A223" s="1">
        <v>102</v>
      </c>
      <c r="B223" s="1">
        <f t="shared" si="3"/>
        <v>218</v>
      </c>
      <c r="C223" s="4" t="s">
        <v>644</v>
      </c>
      <c r="D223" s="4" t="s">
        <v>645</v>
      </c>
      <c r="G223" s="4" t="s">
        <v>646</v>
      </c>
      <c r="H223" s="4" t="s">
        <v>647</v>
      </c>
      <c r="I223">
        <v>8163909</v>
      </c>
      <c r="J223">
        <v>77837184</v>
      </c>
      <c r="K223" s="1">
        <v>1056756</v>
      </c>
      <c r="L223" s="1">
        <v>64164</v>
      </c>
      <c r="M223" s="1" t="s">
        <v>6</v>
      </c>
      <c r="O223" s="36"/>
      <c r="P223" s="1"/>
      <c r="Q223"/>
    </row>
    <row r="224" spans="1:17" x14ac:dyDescent="0.3">
      <c r="A224" s="26">
        <v>220</v>
      </c>
      <c r="B224" s="26">
        <f t="shared" si="3"/>
        <v>219</v>
      </c>
      <c r="C224" s="27" t="s">
        <v>327</v>
      </c>
      <c r="D224" s="27" t="s">
        <v>328</v>
      </c>
      <c r="E224" s="28">
        <v>3707035</v>
      </c>
      <c r="F224" s="28">
        <v>63576932</v>
      </c>
      <c r="G224" s="27" t="s">
        <v>329</v>
      </c>
      <c r="H224" s="27" t="s">
        <v>330</v>
      </c>
      <c r="I224" s="28">
        <v>3712904</v>
      </c>
      <c r="J224" s="28">
        <v>63576932</v>
      </c>
      <c r="K224" s="26">
        <v>1057905</v>
      </c>
      <c r="L224" s="26" t="s">
        <v>31</v>
      </c>
      <c r="M224" s="26" t="s">
        <v>3</v>
      </c>
      <c r="N224" s="26" t="s">
        <v>19</v>
      </c>
      <c r="O224" s="39"/>
      <c r="P224" s="1"/>
      <c r="Q224"/>
    </row>
    <row r="225" spans="1:17" x14ac:dyDescent="0.3">
      <c r="A225" s="1">
        <v>221</v>
      </c>
      <c r="B225" s="1">
        <f t="shared" si="3"/>
        <v>220</v>
      </c>
      <c r="C225" s="4" t="s">
        <v>1372</v>
      </c>
      <c r="D225" s="4" t="s">
        <v>1373</v>
      </c>
      <c r="G225" s="4" t="s">
        <v>1374</v>
      </c>
      <c r="H225" s="4" t="s">
        <v>1375</v>
      </c>
      <c r="I225">
        <v>4628142</v>
      </c>
      <c r="J225">
        <v>62107652</v>
      </c>
      <c r="K225" s="1">
        <v>1056863</v>
      </c>
      <c r="L225" s="1">
        <v>82607</v>
      </c>
      <c r="M225" s="1" t="s">
        <v>11</v>
      </c>
      <c r="O225" s="36"/>
      <c r="P225" s="1"/>
      <c r="Q225"/>
    </row>
    <row r="226" spans="1:17" x14ac:dyDescent="0.3">
      <c r="A226" s="26">
        <v>222</v>
      </c>
      <c r="B226" s="26">
        <f t="shared" si="3"/>
        <v>221</v>
      </c>
      <c r="C226" s="27" t="s">
        <v>656</v>
      </c>
      <c r="D226" s="27" t="s">
        <v>1268</v>
      </c>
      <c r="E226" s="28">
        <v>5396059</v>
      </c>
      <c r="F226" s="28">
        <v>71053990</v>
      </c>
      <c r="G226" s="27" t="s">
        <v>1266</v>
      </c>
      <c r="H226" s="27" t="s">
        <v>1267</v>
      </c>
      <c r="I226" s="28"/>
      <c r="J226" s="28"/>
      <c r="K226" s="26">
        <v>1056816</v>
      </c>
      <c r="L226" s="26">
        <v>82636</v>
      </c>
      <c r="M226" s="26" t="s">
        <v>10</v>
      </c>
      <c r="N226" s="26"/>
      <c r="O226" s="39"/>
      <c r="P226" s="1"/>
      <c r="Q226"/>
    </row>
    <row r="227" spans="1:17" x14ac:dyDescent="0.3">
      <c r="A227" s="1">
        <v>223</v>
      </c>
      <c r="B227" s="1">
        <f t="shared" si="3"/>
        <v>222</v>
      </c>
      <c r="C227" s="4" t="s">
        <v>547</v>
      </c>
      <c r="D227" s="4" t="s">
        <v>1487</v>
      </c>
      <c r="G227" s="4" t="s">
        <v>1488</v>
      </c>
      <c r="H227" s="4" t="s">
        <v>1489</v>
      </c>
      <c r="I227">
        <v>4021787</v>
      </c>
      <c r="J227">
        <v>75609749</v>
      </c>
      <c r="K227" s="1">
        <v>46535551</v>
      </c>
      <c r="L227" s="1">
        <v>82597</v>
      </c>
      <c r="M227" s="1" t="s">
        <v>12</v>
      </c>
      <c r="N227" s="1" t="s">
        <v>18</v>
      </c>
      <c r="O227" s="36"/>
      <c r="P227" s="1"/>
      <c r="Q227"/>
    </row>
    <row r="228" spans="1:17" x14ac:dyDescent="0.3">
      <c r="A228" s="1">
        <v>224</v>
      </c>
      <c r="B228" s="1">
        <f t="shared" si="3"/>
        <v>223</v>
      </c>
      <c r="C228" s="4" t="s">
        <v>810</v>
      </c>
      <c r="D228" s="4" t="s">
        <v>807</v>
      </c>
      <c r="E228">
        <v>6313359</v>
      </c>
      <c r="G228" s="4" t="s">
        <v>811</v>
      </c>
      <c r="H228" s="4" t="s">
        <v>812</v>
      </c>
      <c r="I228">
        <v>8991936</v>
      </c>
      <c r="J228">
        <v>73670763</v>
      </c>
      <c r="K228" s="1">
        <v>1057778</v>
      </c>
      <c r="L228" s="1">
        <v>64180</v>
      </c>
      <c r="M228" s="1" t="s">
        <v>7</v>
      </c>
      <c r="O228" s="36"/>
      <c r="P228" s="1"/>
      <c r="Q228"/>
    </row>
    <row r="229" spans="1:17" x14ac:dyDescent="0.3">
      <c r="A229" s="26">
        <v>225</v>
      </c>
      <c r="B229" s="26">
        <f t="shared" si="3"/>
        <v>224</v>
      </c>
      <c r="C229" s="27" t="s">
        <v>323</v>
      </c>
      <c r="D229" s="27" t="s">
        <v>2343</v>
      </c>
      <c r="E229" s="28">
        <v>4708379</v>
      </c>
      <c r="F229" s="28"/>
      <c r="G229" s="27" t="s">
        <v>1503</v>
      </c>
      <c r="H229" s="27" t="s">
        <v>2344</v>
      </c>
      <c r="I229" s="28">
        <v>3904614</v>
      </c>
      <c r="J229" s="28">
        <v>73641386</v>
      </c>
      <c r="K229" s="26">
        <v>1057883</v>
      </c>
      <c r="L229" s="26" t="s">
        <v>31</v>
      </c>
      <c r="M229" s="26" t="s">
        <v>18</v>
      </c>
      <c r="N229" s="26"/>
      <c r="O229" s="39"/>
      <c r="P229" s="1"/>
      <c r="Q229"/>
    </row>
    <row r="230" spans="1:17" ht="27" x14ac:dyDescent="0.3">
      <c r="A230" s="26">
        <v>271</v>
      </c>
      <c r="B230" s="26">
        <f t="shared" si="3"/>
        <v>225</v>
      </c>
      <c r="C230" s="34" t="s">
        <v>2974</v>
      </c>
      <c r="D230" s="27" t="s">
        <v>649</v>
      </c>
      <c r="E230" s="28">
        <v>12465281</v>
      </c>
      <c r="F230" s="28"/>
      <c r="G230" s="34" t="s">
        <v>2968</v>
      </c>
      <c r="H230" s="27" t="s">
        <v>408</v>
      </c>
      <c r="I230" s="28">
        <v>10571814</v>
      </c>
      <c r="J230" s="31">
        <v>73486907</v>
      </c>
      <c r="K230" s="26">
        <v>1058543</v>
      </c>
      <c r="L230" s="26">
        <v>64174</v>
      </c>
      <c r="M230" s="26" t="s">
        <v>6</v>
      </c>
      <c r="N230" s="26" t="s">
        <v>6</v>
      </c>
      <c r="O230" s="48" t="s">
        <v>3010</v>
      </c>
      <c r="P230" s="1"/>
      <c r="Q230"/>
    </row>
    <row r="231" spans="1:17" x14ac:dyDescent="0.3">
      <c r="A231" s="1">
        <v>227</v>
      </c>
      <c r="B231" s="1">
        <f t="shared" si="3"/>
        <v>226</v>
      </c>
      <c r="C231" s="4" t="s">
        <v>753</v>
      </c>
      <c r="D231" s="4" t="s">
        <v>754</v>
      </c>
      <c r="E231">
        <v>6386626</v>
      </c>
      <c r="G231" s="4" t="s">
        <v>744</v>
      </c>
      <c r="H231" s="4" t="s">
        <v>256</v>
      </c>
      <c r="I231">
        <v>8876383</v>
      </c>
      <c r="J231" s="8">
        <v>61517749</v>
      </c>
      <c r="K231" s="1">
        <v>1057113</v>
      </c>
      <c r="L231" s="11">
        <v>64157</v>
      </c>
      <c r="M231" s="1" t="s">
        <v>7</v>
      </c>
      <c r="N231" s="1" t="s">
        <v>9</v>
      </c>
      <c r="O231" s="40" t="s">
        <v>3000</v>
      </c>
      <c r="P231" s="1"/>
      <c r="Q231"/>
    </row>
    <row r="232" spans="1:17" x14ac:dyDescent="0.3">
      <c r="A232" s="1">
        <v>228</v>
      </c>
      <c r="B232" s="1">
        <f t="shared" ref="B232:B295" si="4">ROW(B227)</f>
        <v>227</v>
      </c>
      <c r="C232" s="4" t="s">
        <v>547</v>
      </c>
      <c r="D232" s="4" t="s">
        <v>1097</v>
      </c>
      <c r="G232" s="4" t="s">
        <v>1098</v>
      </c>
      <c r="H232" s="4" t="s">
        <v>1099</v>
      </c>
      <c r="I232">
        <v>9056865</v>
      </c>
      <c r="J232">
        <v>72171758</v>
      </c>
      <c r="K232" s="1">
        <v>1057121</v>
      </c>
      <c r="L232" s="1">
        <v>8652</v>
      </c>
      <c r="M232" s="1" t="s">
        <v>8</v>
      </c>
      <c r="O232" s="36"/>
      <c r="P232" s="1"/>
      <c r="Q232"/>
    </row>
    <row r="233" spans="1:17" x14ac:dyDescent="0.3">
      <c r="A233" s="1">
        <v>229</v>
      </c>
      <c r="B233" s="1">
        <f t="shared" si="4"/>
        <v>228</v>
      </c>
      <c r="C233" s="4" t="s">
        <v>1122</v>
      </c>
      <c r="D233" s="4" t="s">
        <v>1551</v>
      </c>
      <c r="E233">
        <v>6275067</v>
      </c>
      <c r="F233">
        <v>70070337</v>
      </c>
      <c r="G233" s="4" t="s">
        <v>91</v>
      </c>
      <c r="H233" s="4" t="s">
        <v>1552</v>
      </c>
      <c r="I233">
        <v>7838337</v>
      </c>
      <c r="K233" s="1">
        <v>1057054</v>
      </c>
      <c r="L233" s="1">
        <v>82573</v>
      </c>
      <c r="M233" s="1" t="s">
        <v>13</v>
      </c>
      <c r="O233" s="36"/>
      <c r="P233" s="1"/>
      <c r="Q233"/>
    </row>
    <row r="234" spans="1:17" x14ac:dyDescent="0.3">
      <c r="A234" s="1">
        <v>230</v>
      </c>
      <c r="B234" s="1">
        <f t="shared" si="4"/>
        <v>229</v>
      </c>
      <c r="C234" s="4" t="s">
        <v>1335</v>
      </c>
      <c r="D234" s="4" t="s">
        <v>1336</v>
      </c>
      <c r="G234" s="4" t="s">
        <v>520</v>
      </c>
      <c r="H234" s="4" t="s">
        <v>708</v>
      </c>
      <c r="I234">
        <v>8253725</v>
      </c>
      <c r="J234">
        <v>62790095</v>
      </c>
      <c r="K234" s="1">
        <v>1057531</v>
      </c>
      <c r="L234" s="1">
        <v>64194</v>
      </c>
      <c r="M234" s="1" t="s">
        <v>10</v>
      </c>
      <c r="O234" s="36"/>
      <c r="P234" s="1"/>
      <c r="Q234"/>
    </row>
    <row r="235" spans="1:17" x14ac:dyDescent="0.3">
      <c r="A235" s="26">
        <v>231</v>
      </c>
      <c r="B235" s="26">
        <f t="shared" si="4"/>
        <v>230</v>
      </c>
      <c r="C235" s="27" t="s">
        <v>1122</v>
      </c>
      <c r="D235" s="27" t="s">
        <v>1123</v>
      </c>
      <c r="E235" s="28">
        <v>5858663</v>
      </c>
      <c r="F235" s="28"/>
      <c r="G235" s="27" t="s">
        <v>1124</v>
      </c>
      <c r="H235" s="27" t="s">
        <v>1125</v>
      </c>
      <c r="I235" s="28">
        <v>6240292</v>
      </c>
      <c r="J235" s="28">
        <v>79007776</v>
      </c>
      <c r="K235" s="26">
        <v>1057556</v>
      </c>
      <c r="L235" s="26">
        <v>31130</v>
      </c>
      <c r="M235" s="26" t="s">
        <v>9</v>
      </c>
      <c r="N235" s="26"/>
      <c r="O235" s="39"/>
      <c r="P235" s="1"/>
      <c r="Q235"/>
    </row>
    <row r="236" spans="1:17" x14ac:dyDescent="0.3">
      <c r="A236" s="26">
        <v>378</v>
      </c>
      <c r="B236" s="26">
        <f t="shared" si="4"/>
        <v>231</v>
      </c>
      <c r="C236" s="27" t="s">
        <v>651</v>
      </c>
      <c r="D236" s="27" t="s">
        <v>652</v>
      </c>
      <c r="E236" s="28">
        <v>5381133</v>
      </c>
      <c r="F236" s="28"/>
      <c r="G236" s="27" t="s">
        <v>653</v>
      </c>
      <c r="H236" s="27" t="s">
        <v>654</v>
      </c>
      <c r="I236" s="28">
        <v>8117390</v>
      </c>
      <c r="J236" s="28">
        <v>63404959</v>
      </c>
      <c r="K236" s="26">
        <v>1057156</v>
      </c>
      <c r="L236" s="26" t="s">
        <v>31</v>
      </c>
      <c r="M236" s="26" t="s">
        <v>6</v>
      </c>
      <c r="N236" s="26"/>
      <c r="O236" s="39"/>
      <c r="P236" s="1"/>
      <c r="Q236"/>
    </row>
    <row r="237" spans="1:17" x14ac:dyDescent="0.3">
      <c r="A237" s="1">
        <v>234</v>
      </c>
      <c r="B237" s="1">
        <f t="shared" si="4"/>
        <v>232</v>
      </c>
      <c r="C237" s="4" t="s">
        <v>843</v>
      </c>
      <c r="D237" s="4" t="s">
        <v>166</v>
      </c>
      <c r="E237">
        <v>8246315</v>
      </c>
      <c r="F237">
        <v>77812183</v>
      </c>
      <c r="G237" s="4" t="s">
        <v>844</v>
      </c>
      <c r="H237" s="4" t="s">
        <v>845</v>
      </c>
      <c r="I237">
        <v>6302864</v>
      </c>
      <c r="K237" s="1">
        <v>1057927</v>
      </c>
      <c r="L237" s="1">
        <v>82610</v>
      </c>
      <c r="M237" s="1" t="s">
        <v>7</v>
      </c>
      <c r="N237" s="1" t="s">
        <v>12</v>
      </c>
      <c r="O237" s="36"/>
      <c r="P237" s="1"/>
      <c r="Q237">
        <f>Q160+Q206</f>
        <v>4320</v>
      </c>
    </row>
    <row r="238" spans="1:17" x14ac:dyDescent="0.3">
      <c r="A238" s="1">
        <v>235</v>
      </c>
      <c r="B238" s="1">
        <f t="shared" si="4"/>
        <v>233</v>
      </c>
      <c r="C238" s="4" t="s">
        <v>1127</v>
      </c>
      <c r="D238" s="4" t="s">
        <v>1128</v>
      </c>
      <c r="E238">
        <v>5150009</v>
      </c>
      <c r="F238">
        <v>64450471</v>
      </c>
      <c r="G238" s="4" t="s">
        <v>1129</v>
      </c>
      <c r="H238" s="4" t="s">
        <v>1130</v>
      </c>
      <c r="I238">
        <v>5399346</v>
      </c>
      <c r="J238">
        <v>76045193</v>
      </c>
      <c r="K238" s="1">
        <v>1057991</v>
      </c>
      <c r="L238" s="1">
        <v>82613</v>
      </c>
      <c r="M238" s="1" t="s">
        <v>9</v>
      </c>
      <c r="O238" s="36"/>
      <c r="P238" s="1"/>
      <c r="Q238"/>
    </row>
    <row r="239" spans="1:17" x14ac:dyDescent="0.3">
      <c r="A239" s="26">
        <v>236</v>
      </c>
      <c r="B239" s="26">
        <f t="shared" si="4"/>
        <v>234</v>
      </c>
      <c r="C239" s="27" t="s">
        <v>577</v>
      </c>
      <c r="D239" s="27" t="s">
        <v>2935</v>
      </c>
      <c r="E239" s="28">
        <v>7831347</v>
      </c>
      <c r="F239" s="28"/>
      <c r="G239" s="27" t="s">
        <v>578</v>
      </c>
      <c r="H239" s="27" t="s">
        <v>579</v>
      </c>
      <c r="I239" s="28">
        <v>9656487</v>
      </c>
      <c r="J239" s="28">
        <v>73118632</v>
      </c>
      <c r="K239" s="26">
        <v>1057984</v>
      </c>
      <c r="L239" s="26" t="s">
        <v>31</v>
      </c>
      <c r="M239" s="26" t="s">
        <v>4</v>
      </c>
      <c r="N239" s="26" t="s">
        <v>6</v>
      </c>
      <c r="O239" s="39"/>
      <c r="P239" s="1"/>
      <c r="Q239"/>
    </row>
    <row r="240" spans="1:17" x14ac:dyDescent="0.3">
      <c r="A240" s="1">
        <v>237</v>
      </c>
      <c r="B240" s="1">
        <f t="shared" si="4"/>
        <v>235</v>
      </c>
      <c r="C240" s="4" t="s">
        <v>1609</v>
      </c>
      <c r="D240" s="4" t="s">
        <v>1610</v>
      </c>
      <c r="E240">
        <v>3167941</v>
      </c>
      <c r="F240">
        <v>75076954</v>
      </c>
      <c r="G240" s="4" t="s">
        <v>1611</v>
      </c>
      <c r="H240" s="4" t="s">
        <v>1612</v>
      </c>
      <c r="K240" s="1">
        <v>1057953</v>
      </c>
      <c r="L240" s="1">
        <v>82611</v>
      </c>
      <c r="M240" s="1" t="s">
        <v>13</v>
      </c>
      <c r="O240" s="36"/>
      <c r="P240" s="1"/>
      <c r="Q240"/>
    </row>
    <row r="241" spans="1:17" x14ac:dyDescent="0.3">
      <c r="A241" s="1">
        <v>238</v>
      </c>
      <c r="B241" s="1">
        <f t="shared" si="4"/>
        <v>236</v>
      </c>
      <c r="C241" s="4" t="s">
        <v>1385</v>
      </c>
      <c r="D241" s="4" t="s">
        <v>1386</v>
      </c>
      <c r="G241" s="4" t="s">
        <v>296</v>
      </c>
      <c r="H241" s="4" t="s">
        <v>1387</v>
      </c>
      <c r="I241">
        <v>5831740</v>
      </c>
      <c r="J241">
        <v>72176879</v>
      </c>
      <c r="K241" s="1">
        <v>1057423</v>
      </c>
      <c r="L241" s="1">
        <v>8744</v>
      </c>
      <c r="M241" s="1" t="s">
        <v>11</v>
      </c>
      <c r="O241" s="36"/>
      <c r="P241" s="1"/>
      <c r="Q241"/>
    </row>
    <row r="242" spans="1:17" x14ac:dyDescent="0.3">
      <c r="A242" s="1">
        <v>239</v>
      </c>
      <c r="B242" s="1">
        <f t="shared" si="4"/>
        <v>237</v>
      </c>
      <c r="C242" s="4" t="s">
        <v>1146</v>
      </c>
      <c r="D242" s="4" t="s">
        <v>1147</v>
      </c>
      <c r="E242">
        <v>3928607</v>
      </c>
      <c r="F242">
        <v>75569568</v>
      </c>
      <c r="G242" s="4" t="s">
        <v>1148</v>
      </c>
      <c r="H242" s="4" t="s">
        <v>1149</v>
      </c>
      <c r="K242" s="1">
        <v>1057937</v>
      </c>
      <c r="L242" s="1">
        <v>82576</v>
      </c>
      <c r="M242" s="1" t="s">
        <v>9</v>
      </c>
      <c r="O242" s="36"/>
      <c r="P242" s="1"/>
      <c r="Q242"/>
    </row>
    <row r="243" spans="1:17" x14ac:dyDescent="0.3">
      <c r="A243" s="26">
        <v>240</v>
      </c>
      <c r="B243" s="26">
        <f t="shared" si="4"/>
        <v>238</v>
      </c>
      <c r="C243" s="27" t="s">
        <v>1206</v>
      </c>
      <c r="D243" s="27" t="s">
        <v>1207</v>
      </c>
      <c r="E243" s="28"/>
      <c r="F243" s="28"/>
      <c r="G243" s="27" t="s">
        <v>312</v>
      </c>
      <c r="H243" s="27" t="s">
        <v>1208</v>
      </c>
      <c r="I243" s="28">
        <v>3934639</v>
      </c>
      <c r="J243" s="28">
        <v>77023543</v>
      </c>
      <c r="K243" s="26">
        <v>1058005</v>
      </c>
      <c r="L243" s="26" t="s">
        <v>31</v>
      </c>
      <c r="M243" s="26" t="s">
        <v>9</v>
      </c>
      <c r="N243" s="26"/>
      <c r="O243" s="39"/>
      <c r="P243" s="1"/>
      <c r="Q243"/>
    </row>
    <row r="244" spans="1:17" x14ac:dyDescent="0.3">
      <c r="A244" s="1">
        <v>241</v>
      </c>
      <c r="B244" s="1">
        <f t="shared" si="4"/>
        <v>239</v>
      </c>
      <c r="C244" s="4" t="s">
        <v>971</v>
      </c>
      <c r="D244" s="4" t="s">
        <v>972</v>
      </c>
      <c r="E244">
        <v>11395980</v>
      </c>
      <c r="F244">
        <v>75640563</v>
      </c>
      <c r="G244" s="4" t="s">
        <v>730</v>
      </c>
      <c r="H244" s="4" t="s">
        <v>973</v>
      </c>
      <c r="I244">
        <v>8970246</v>
      </c>
      <c r="K244" s="1">
        <v>1057596</v>
      </c>
      <c r="L244" s="1">
        <v>8681</v>
      </c>
      <c r="M244" s="1" t="s">
        <v>8</v>
      </c>
      <c r="O244" s="36"/>
      <c r="P244" s="1"/>
      <c r="Q244"/>
    </row>
    <row r="245" spans="1:17" ht="27" x14ac:dyDescent="0.3">
      <c r="A245" s="26">
        <v>242</v>
      </c>
      <c r="B245" s="26">
        <f t="shared" si="4"/>
        <v>240</v>
      </c>
      <c r="C245" s="27" t="s">
        <v>1093</v>
      </c>
      <c r="D245" s="27" t="s">
        <v>338</v>
      </c>
      <c r="E245" s="28">
        <v>3218395</v>
      </c>
      <c r="F245" s="28"/>
      <c r="G245" s="34" t="s">
        <v>2965</v>
      </c>
      <c r="H245" s="27" t="s">
        <v>1111</v>
      </c>
      <c r="I245" s="28">
        <v>3935039</v>
      </c>
      <c r="J245" s="28">
        <v>76305187</v>
      </c>
      <c r="K245" s="26">
        <v>1057746</v>
      </c>
      <c r="L245" s="26" t="s">
        <v>31</v>
      </c>
      <c r="M245" s="26" t="s">
        <v>9</v>
      </c>
      <c r="N245" s="26"/>
      <c r="O245" s="39"/>
      <c r="P245" s="1"/>
      <c r="Q245"/>
    </row>
    <row r="246" spans="1:17" x14ac:dyDescent="0.3">
      <c r="A246" s="26">
        <v>99</v>
      </c>
      <c r="B246" s="26">
        <f t="shared" si="4"/>
        <v>241</v>
      </c>
      <c r="C246" s="27" t="s">
        <v>656</v>
      </c>
      <c r="D246" s="27" t="s">
        <v>657</v>
      </c>
      <c r="E246" s="28">
        <v>7758100</v>
      </c>
      <c r="F246" s="28"/>
      <c r="G246" s="27" t="s">
        <v>658</v>
      </c>
      <c r="H246" s="27" t="s">
        <v>659</v>
      </c>
      <c r="I246" s="28">
        <v>5877105</v>
      </c>
      <c r="J246" s="28">
        <v>75390378</v>
      </c>
      <c r="K246" s="26">
        <v>1057399</v>
      </c>
      <c r="L246" s="26" t="s">
        <v>31</v>
      </c>
      <c r="M246" s="26" t="s">
        <v>6</v>
      </c>
      <c r="N246" s="26" t="s">
        <v>10</v>
      </c>
      <c r="O246" s="39"/>
      <c r="P246" s="1"/>
      <c r="Q246"/>
    </row>
    <row r="247" spans="1:17" x14ac:dyDescent="0.3">
      <c r="A247" s="26">
        <v>244</v>
      </c>
      <c r="B247" s="26">
        <f t="shared" si="4"/>
        <v>242</v>
      </c>
      <c r="C247" s="27" t="s">
        <v>323</v>
      </c>
      <c r="D247" s="27" t="s">
        <v>1022</v>
      </c>
      <c r="E247" s="28">
        <v>9627299</v>
      </c>
      <c r="F247" s="28">
        <v>63498829</v>
      </c>
      <c r="G247" s="27" t="s">
        <v>1023</v>
      </c>
      <c r="H247" s="27" t="s">
        <v>1024</v>
      </c>
      <c r="I247" s="28"/>
      <c r="J247" s="28"/>
      <c r="K247" s="26">
        <v>1057565</v>
      </c>
      <c r="L247" s="26" t="s">
        <v>31</v>
      </c>
      <c r="M247" s="26" t="s">
        <v>8</v>
      </c>
      <c r="N247" s="26" t="s">
        <v>8</v>
      </c>
      <c r="O247" s="39"/>
      <c r="P247" s="1"/>
      <c r="Q247"/>
    </row>
    <row r="248" spans="1:17" x14ac:dyDescent="0.3">
      <c r="A248" s="1">
        <v>245</v>
      </c>
      <c r="B248" s="1">
        <f t="shared" si="4"/>
        <v>243</v>
      </c>
      <c r="C248" s="4" t="s">
        <v>103</v>
      </c>
      <c r="D248" s="4" t="s">
        <v>1018</v>
      </c>
      <c r="E248">
        <v>8105292</v>
      </c>
      <c r="G248" s="4" t="s">
        <v>1019</v>
      </c>
      <c r="H248" s="4" t="s">
        <v>1020</v>
      </c>
      <c r="I248">
        <v>9042835</v>
      </c>
      <c r="J248">
        <v>69043219</v>
      </c>
      <c r="K248" s="1">
        <v>1057382</v>
      </c>
      <c r="L248" s="1">
        <v>8688</v>
      </c>
      <c r="M248" s="1" t="s">
        <v>8</v>
      </c>
      <c r="O248" s="40" t="s">
        <v>2949</v>
      </c>
      <c r="P248" s="1"/>
      <c r="Q248"/>
    </row>
    <row r="249" spans="1:17" x14ac:dyDescent="0.3">
      <c r="A249" s="26">
        <v>246</v>
      </c>
      <c r="B249" s="26">
        <f t="shared" si="4"/>
        <v>244</v>
      </c>
      <c r="C249" s="27" t="s">
        <v>97</v>
      </c>
      <c r="D249" s="27" t="s">
        <v>756</v>
      </c>
      <c r="E249" s="28">
        <v>5348890</v>
      </c>
      <c r="F249" s="28"/>
      <c r="G249" s="27" t="s">
        <v>757</v>
      </c>
      <c r="H249" s="27" t="s">
        <v>758</v>
      </c>
      <c r="I249" s="28">
        <v>6227980</v>
      </c>
      <c r="J249" s="28">
        <v>73629668</v>
      </c>
      <c r="K249" s="26">
        <v>1058016</v>
      </c>
      <c r="L249" s="26">
        <v>56107</v>
      </c>
      <c r="M249" s="26" t="s">
        <v>7</v>
      </c>
      <c r="N249" s="26"/>
      <c r="O249" s="39"/>
      <c r="P249" s="1"/>
      <c r="Q249"/>
    </row>
    <row r="250" spans="1:17" x14ac:dyDescent="0.3">
      <c r="A250" s="1">
        <v>247</v>
      </c>
      <c r="B250" s="1">
        <f t="shared" si="4"/>
        <v>245</v>
      </c>
      <c r="C250" s="4" t="s">
        <v>819</v>
      </c>
      <c r="D250" s="4" t="s">
        <v>820</v>
      </c>
      <c r="E250">
        <v>3933070</v>
      </c>
      <c r="G250" s="4" t="s">
        <v>821</v>
      </c>
      <c r="H250" s="4" t="s">
        <v>822</v>
      </c>
      <c r="I250">
        <v>7849242</v>
      </c>
      <c r="J250">
        <v>68849554</v>
      </c>
      <c r="K250" s="1">
        <v>1058036</v>
      </c>
      <c r="L250" s="1">
        <v>64171</v>
      </c>
      <c r="M250" s="1" t="s">
        <v>7</v>
      </c>
      <c r="O250" s="36"/>
      <c r="P250" s="1"/>
      <c r="Q250"/>
    </row>
    <row r="251" spans="1:17" x14ac:dyDescent="0.3">
      <c r="A251" s="26">
        <v>249</v>
      </c>
      <c r="B251" s="26">
        <f t="shared" si="4"/>
        <v>246</v>
      </c>
      <c r="C251" s="27" t="s">
        <v>839</v>
      </c>
      <c r="D251" s="27" t="s">
        <v>840</v>
      </c>
      <c r="E251" s="28">
        <v>7662608</v>
      </c>
      <c r="F251" s="28"/>
      <c r="G251" s="27" t="s">
        <v>841</v>
      </c>
      <c r="H251" s="27" t="s">
        <v>424</v>
      </c>
      <c r="I251" s="28">
        <v>8945787</v>
      </c>
      <c r="J251" s="28">
        <v>75515048</v>
      </c>
      <c r="K251" s="26">
        <v>1058089</v>
      </c>
      <c r="L251" s="26">
        <v>56035</v>
      </c>
      <c r="M251" s="26" t="s">
        <v>7</v>
      </c>
      <c r="N251" s="26"/>
      <c r="O251" s="39"/>
      <c r="P251" s="1"/>
      <c r="Q251"/>
    </row>
    <row r="252" spans="1:17" x14ac:dyDescent="0.3">
      <c r="A252" s="26">
        <v>250</v>
      </c>
      <c r="B252" s="26">
        <f t="shared" si="4"/>
        <v>247</v>
      </c>
      <c r="C252" s="27" t="s">
        <v>1307</v>
      </c>
      <c r="D252" s="27" t="s">
        <v>1308</v>
      </c>
      <c r="E252" s="28">
        <v>5869436</v>
      </c>
      <c r="F252" s="28">
        <v>74529888</v>
      </c>
      <c r="G252" s="27" t="s">
        <v>1309</v>
      </c>
      <c r="H252" s="27" t="s">
        <v>1310</v>
      </c>
      <c r="I252" s="28"/>
      <c r="J252" s="28"/>
      <c r="K252" s="26">
        <v>1057662</v>
      </c>
      <c r="L252" s="26">
        <v>56258</v>
      </c>
      <c r="M252" s="26" t="s">
        <v>10</v>
      </c>
      <c r="N252" s="26"/>
      <c r="O252" s="39"/>
      <c r="P252" s="1"/>
      <c r="Q252"/>
    </row>
    <row r="253" spans="1:17" x14ac:dyDescent="0.3">
      <c r="A253" s="1">
        <v>133</v>
      </c>
      <c r="B253" s="1">
        <f t="shared" si="4"/>
        <v>248</v>
      </c>
      <c r="C253" s="4" t="s">
        <v>663</v>
      </c>
      <c r="D253" s="4" t="s">
        <v>664</v>
      </c>
      <c r="G253" s="4" t="s">
        <v>665</v>
      </c>
      <c r="H253" s="4" t="s">
        <v>666</v>
      </c>
      <c r="I253">
        <v>4687052</v>
      </c>
      <c r="J253" s="8">
        <v>69156209</v>
      </c>
      <c r="K253" s="1">
        <v>1056793</v>
      </c>
      <c r="L253" s="1">
        <v>64199</v>
      </c>
      <c r="M253" s="1" t="s">
        <v>6</v>
      </c>
      <c r="O253" s="36"/>
      <c r="P253" s="1"/>
      <c r="Q253"/>
    </row>
    <row r="254" spans="1:17" x14ac:dyDescent="0.3">
      <c r="A254" s="1">
        <v>253</v>
      </c>
      <c r="B254" s="1">
        <f t="shared" si="4"/>
        <v>249</v>
      </c>
      <c r="C254" s="4" t="s">
        <v>1303</v>
      </c>
      <c r="D254" s="4" t="s">
        <v>1304</v>
      </c>
      <c r="G254" s="4" t="s">
        <v>1305</v>
      </c>
      <c r="H254" s="4" t="s">
        <v>1306</v>
      </c>
      <c r="I254" s="8">
        <v>6362522</v>
      </c>
      <c r="J254">
        <v>76018290</v>
      </c>
      <c r="K254" s="1">
        <v>1057975</v>
      </c>
      <c r="L254" s="1">
        <v>8735</v>
      </c>
      <c r="M254" s="1" t="s">
        <v>10</v>
      </c>
      <c r="O254" s="36"/>
      <c r="P254" s="1"/>
      <c r="Q254"/>
    </row>
    <row r="255" spans="1:17" x14ac:dyDescent="0.3">
      <c r="A255" s="1">
        <v>254</v>
      </c>
      <c r="B255" s="1">
        <f t="shared" si="4"/>
        <v>250</v>
      </c>
      <c r="C255" s="4" t="s">
        <v>1032</v>
      </c>
      <c r="D255" s="4" t="s">
        <v>1033</v>
      </c>
      <c r="E255">
        <v>4651639</v>
      </c>
      <c r="G255" s="4" t="s">
        <v>1034</v>
      </c>
      <c r="H255" s="4" t="s">
        <v>1035</v>
      </c>
      <c r="I255">
        <v>5853027</v>
      </c>
      <c r="J255">
        <v>69110606</v>
      </c>
      <c r="K255" s="1">
        <v>1057836</v>
      </c>
      <c r="L255" s="1">
        <v>82569</v>
      </c>
      <c r="M255" s="1" t="s">
        <v>8</v>
      </c>
      <c r="O255" s="36"/>
      <c r="P255" s="1"/>
      <c r="Q255"/>
    </row>
    <row r="256" spans="1:17" x14ac:dyDescent="0.3">
      <c r="A256" s="26">
        <v>255</v>
      </c>
      <c r="B256" s="26">
        <f t="shared" si="4"/>
        <v>251</v>
      </c>
      <c r="C256" s="27" t="s">
        <v>573</v>
      </c>
      <c r="D256" s="27" t="s">
        <v>1300</v>
      </c>
      <c r="E256" s="28">
        <v>6331192</v>
      </c>
      <c r="F256" s="28"/>
      <c r="G256" s="27" t="s">
        <v>105</v>
      </c>
      <c r="H256" s="27" t="s">
        <v>1301</v>
      </c>
      <c r="I256" s="28">
        <v>7831012</v>
      </c>
      <c r="J256" s="28">
        <v>75573674</v>
      </c>
      <c r="K256" s="26">
        <v>1058009</v>
      </c>
      <c r="L256" s="26" t="s">
        <v>31</v>
      </c>
      <c r="M256" s="26" t="s">
        <v>10</v>
      </c>
      <c r="N256" s="26"/>
      <c r="O256" s="39"/>
      <c r="P256" s="1"/>
      <c r="Q256"/>
    </row>
    <row r="257" spans="1:17" x14ac:dyDescent="0.3">
      <c r="A257" s="1">
        <v>257</v>
      </c>
      <c r="B257" s="1">
        <f t="shared" si="4"/>
        <v>252</v>
      </c>
      <c r="C257" s="4" t="s">
        <v>29</v>
      </c>
      <c r="D257" s="4" t="s">
        <v>30</v>
      </c>
      <c r="E257" s="1">
        <v>5339922</v>
      </c>
      <c r="F257" s="1">
        <v>69168816</v>
      </c>
      <c r="G257" s="4" t="s">
        <v>50</v>
      </c>
      <c r="H257" s="4" t="s">
        <v>51</v>
      </c>
      <c r="I257" s="1"/>
      <c r="J257" s="16">
        <v>69168816</v>
      </c>
      <c r="K257" s="1">
        <v>1057909</v>
      </c>
      <c r="L257" s="1">
        <v>82609</v>
      </c>
      <c r="M257" s="1" t="s">
        <v>14</v>
      </c>
      <c r="N257" s="1" t="s">
        <v>16</v>
      </c>
      <c r="O257" s="36"/>
      <c r="P257" s="1"/>
      <c r="Q257"/>
    </row>
    <row r="258" spans="1:17" x14ac:dyDescent="0.3">
      <c r="A258" s="1">
        <v>258</v>
      </c>
      <c r="B258" s="1">
        <f t="shared" si="4"/>
        <v>253</v>
      </c>
      <c r="C258" s="4" t="s">
        <v>126</v>
      </c>
      <c r="D258" s="4" t="s">
        <v>127</v>
      </c>
      <c r="E258">
        <v>7793431</v>
      </c>
      <c r="G258" s="4" t="s">
        <v>128</v>
      </c>
      <c r="H258" s="4" t="s">
        <v>129</v>
      </c>
      <c r="I258">
        <v>8888045</v>
      </c>
      <c r="J258" s="8">
        <v>62105285</v>
      </c>
      <c r="K258" s="1">
        <v>1058116</v>
      </c>
      <c r="L258" s="1">
        <v>82614</v>
      </c>
      <c r="M258" s="1" t="s">
        <v>4</v>
      </c>
      <c r="O258" s="36"/>
      <c r="P258" s="1"/>
      <c r="Q258"/>
    </row>
    <row r="259" spans="1:17" x14ac:dyDescent="0.3">
      <c r="A259" s="1">
        <v>259</v>
      </c>
      <c r="B259" s="1">
        <f t="shared" si="4"/>
        <v>254</v>
      </c>
      <c r="C259" s="4" t="s">
        <v>29</v>
      </c>
      <c r="D259" s="4" t="s">
        <v>1230</v>
      </c>
      <c r="G259" s="4" t="s">
        <v>1231</v>
      </c>
      <c r="H259" s="4" t="s">
        <v>1232</v>
      </c>
      <c r="I259">
        <v>7807291</v>
      </c>
      <c r="J259">
        <v>77659864</v>
      </c>
      <c r="K259" s="1">
        <v>1058115</v>
      </c>
      <c r="L259" s="1">
        <v>8557</v>
      </c>
      <c r="M259" s="1" t="s">
        <v>9</v>
      </c>
      <c r="N259" s="1" t="s">
        <v>16</v>
      </c>
      <c r="O259" s="36"/>
      <c r="P259" s="1"/>
      <c r="Q259"/>
    </row>
    <row r="260" spans="1:17" x14ac:dyDescent="0.3">
      <c r="A260" s="1">
        <v>83</v>
      </c>
      <c r="B260" s="1">
        <f t="shared" si="4"/>
        <v>255</v>
      </c>
      <c r="C260" s="4" t="s">
        <v>459</v>
      </c>
      <c r="D260" s="4" t="s">
        <v>661</v>
      </c>
      <c r="E260">
        <v>8911001</v>
      </c>
      <c r="G260" s="4" t="s">
        <v>139</v>
      </c>
      <c r="H260" s="4" t="s">
        <v>662</v>
      </c>
      <c r="I260">
        <v>9786877</v>
      </c>
      <c r="J260">
        <v>74405548</v>
      </c>
      <c r="K260" s="1">
        <v>1056583</v>
      </c>
      <c r="L260" s="1">
        <v>8705</v>
      </c>
      <c r="M260" s="1" t="s">
        <v>6</v>
      </c>
      <c r="O260" s="36"/>
      <c r="P260" s="1"/>
      <c r="Q260"/>
    </row>
    <row r="261" spans="1:17" x14ac:dyDescent="0.3">
      <c r="A261" s="26">
        <v>261</v>
      </c>
      <c r="B261" s="26">
        <f t="shared" si="4"/>
        <v>256</v>
      </c>
      <c r="C261" s="27" t="s">
        <v>1287</v>
      </c>
      <c r="D261" s="27" t="s">
        <v>1288</v>
      </c>
      <c r="E261" s="28">
        <v>3859419</v>
      </c>
      <c r="F261" s="28"/>
      <c r="G261" s="27" t="s">
        <v>445</v>
      </c>
      <c r="H261" s="27" t="s">
        <v>1289</v>
      </c>
      <c r="I261" s="28">
        <v>3653739</v>
      </c>
      <c r="J261" s="28">
        <v>77827600</v>
      </c>
      <c r="K261" s="26">
        <v>1058093</v>
      </c>
      <c r="L261" s="26" t="s">
        <v>31</v>
      </c>
      <c r="M261" s="26" t="s">
        <v>10</v>
      </c>
      <c r="N261" s="26"/>
      <c r="O261" s="39"/>
      <c r="P261" s="1"/>
    </row>
    <row r="262" spans="1:17" x14ac:dyDescent="0.3">
      <c r="A262" s="1">
        <v>262</v>
      </c>
      <c r="B262" s="1">
        <f t="shared" si="4"/>
        <v>257</v>
      </c>
      <c r="C262" s="4" t="s">
        <v>103</v>
      </c>
      <c r="D262" s="4" t="s">
        <v>959</v>
      </c>
      <c r="E262">
        <v>8131701</v>
      </c>
      <c r="F262">
        <v>71144033</v>
      </c>
      <c r="G262" s="4" t="s">
        <v>960</v>
      </c>
      <c r="H262" s="4" t="s">
        <v>961</v>
      </c>
      <c r="I262">
        <v>8204396</v>
      </c>
      <c r="K262" s="1">
        <v>1056689</v>
      </c>
      <c r="L262" s="1">
        <v>8552</v>
      </c>
      <c r="M262" s="1" t="s">
        <v>8</v>
      </c>
      <c r="O262" s="36"/>
      <c r="P262" s="1"/>
      <c r="Q262"/>
    </row>
    <row r="263" spans="1:17" x14ac:dyDescent="0.3">
      <c r="A263" s="1">
        <v>263</v>
      </c>
      <c r="B263" s="1">
        <f t="shared" si="4"/>
        <v>258</v>
      </c>
      <c r="C263" s="4" t="s">
        <v>2436</v>
      </c>
      <c r="D263" s="4" t="s">
        <v>2437</v>
      </c>
      <c r="E263">
        <v>3276417</v>
      </c>
      <c r="G263" s="4" t="s">
        <v>2438</v>
      </c>
      <c r="H263" s="4" t="s">
        <v>2439</v>
      </c>
      <c r="I263">
        <v>3903476</v>
      </c>
      <c r="J263">
        <v>73137462</v>
      </c>
      <c r="K263" s="1">
        <v>1058423</v>
      </c>
      <c r="L263" s="1">
        <v>82617</v>
      </c>
      <c r="M263" s="1" t="s">
        <v>20</v>
      </c>
      <c r="O263" s="36"/>
      <c r="P263" s="1"/>
      <c r="Q263"/>
    </row>
    <row r="264" spans="1:17" x14ac:dyDescent="0.3">
      <c r="A264" s="1">
        <v>264</v>
      </c>
      <c r="B264" s="1">
        <f t="shared" si="4"/>
        <v>259</v>
      </c>
      <c r="C264" s="4" t="s">
        <v>294</v>
      </c>
      <c r="D264" s="4" t="s">
        <v>2341</v>
      </c>
      <c r="E264">
        <v>4670489</v>
      </c>
      <c r="G264" s="4" t="s">
        <v>2952</v>
      </c>
      <c r="H264" s="4" t="s">
        <v>1590</v>
      </c>
      <c r="I264">
        <v>7669662</v>
      </c>
      <c r="J264">
        <v>63831774</v>
      </c>
      <c r="K264" s="1">
        <v>1058507</v>
      </c>
      <c r="L264" s="1">
        <v>82592</v>
      </c>
      <c r="M264" s="1" t="s">
        <v>18</v>
      </c>
      <c r="O264" s="36"/>
      <c r="P264" s="1"/>
      <c r="Q264"/>
    </row>
    <row r="265" spans="1:17" x14ac:dyDescent="0.3">
      <c r="A265" s="1">
        <v>265</v>
      </c>
      <c r="B265" s="1">
        <f t="shared" si="4"/>
        <v>260</v>
      </c>
      <c r="C265" s="4" t="s">
        <v>2130</v>
      </c>
      <c r="D265" s="4" t="s">
        <v>2131</v>
      </c>
      <c r="G265" s="4" t="s">
        <v>2132</v>
      </c>
      <c r="H265" s="4" t="s">
        <v>2133</v>
      </c>
      <c r="I265" s="8">
        <v>8241315</v>
      </c>
      <c r="J265">
        <v>78152741</v>
      </c>
      <c r="K265" s="1">
        <v>1058188</v>
      </c>
      <c r="L265" s="1">
        <v>8701</v>
      </c>
      <c r="M265" s="1" t="s">
        <v>16</v>
      </c>
      <c r="O265" s="36"/>
      <c r="P265" s="1"/>
      <c r="Q265"/>
    </row>
    <row r="266" spans="1:17" x14ac:dyDescent="0.3">
      <c r="A266" s="1">
        <v>266</v>
      </c>
      <c r="B266" s="1">
        <f t="shared" si="4"/>
        <v>261</v>
      </c>
      <c r="C266" s="4" t="s">
        <v>695</v>
      </c>
      <c r="D266" s="4" t="s">
        <v>1115</v>
      </c>
      <c r="G266" s="4" t="s">
        <v>2136</v>
      </c>
      <c r="H266" s="4" t="s">
        <v>2137</v>
      </c>
      <c r="I266">
        <v>4608065</v>
      </c>
      <c r="J266">
        <v>69034945</v>
      </c>
      <c r="K266" s="1">
        <v>1057876</v>
      </c>
      <c r="L266" s="1">
        <v>64197</v>
      </c>
      <c r="M266" s="1" t="s">
        <v>16</v>
      </c>
      <c r="O266" s="36"/>
      <c r="P266" s="1"/>
      <c r="Q266"/>
    </row>
    <row r="267" spans="1:17" x14ac:dyDescent="0.3">
      <c r="A267" s="1">
        <v>267</v>
      </c>
      <c r="B267" s="1">
        <f t="shared" si="4"/>
        <v>262</v>
      </c>
      <c r="C267" s="4" t="s">
        <v>1353</v>
      </c>
      <c r="D267" s="4" t="s">
        <v>1460</v>
      </c>
      <c r="E267">
        <v>8096041</v>
      </c>
      <c r="G267" s="4" t="s">
        <v>671</v>
      </c>
      <c r="H267" s="4" t="s">
        <v>2188</v>
      </c>
      <c r="I267">
        <v>5486356</v>
      </c>
      <c r="J267" s="8">
        <v>63385499</v>
      </c>
      <c r="K267" s="1">
        <v>1058514</v>
      </c>
      <c r="L267" s="1">
        <v>82586</v>
      </c>
      <c r="M267" s="1" t="s">
        <v>17</v>
      </c>
      <c r="O267" s="36"/>
      <c r="P267" s="1"/>
      <c r="Q267"/>
    </row>
    <row r="268" spans="1:17" x14ac:dyDescent="0.3">
      <c r="A268" s="26">
        <v>268</v>
      </c>
      <c r="B268" s="26">
        <f t="shared" si="4"/>
        <v>263</v>
      </c>
      <c r="C268" s="27" t="s">
        <v>802</v>
      </c>
      <c r="D268" s="27" t="s">
        <v>2053</v>
      </c>
      <c r="E268" s="28">
        <v>7856270</v>
      </c>
      <c r="F268" s="28"/>
      <c r="G268" s="27" t="s">
        <v>2054</v>
      </c>
      <c r="H268" s="27" t="s">
        <v>1575</v>
      </c>
      <c r="I268" s="28">
        <v>8252611</v>
      </c>
      <c r="J268" s="28">
        <v>60870541</v>
      </c>
      <c r="K268" s="26">
        <v>1056566</v>
      </c>
      <c r="L268" s="26" t="s">
        <v>31</v>
      </c>
      <c r="M268" s="26" t="s">
        <v>15</v>
      </c>
      <c r="N268" s="26"/>
      <c r="O268" s="39"/>
      <c r="P268" s="1"/>
      <c r="Q268"/>
    </row>
    <row r="269" spans="1:17" x14ac:dyDescent="0.3">
      <c r="A269" s="1">
        <v>269</v>
      </c>
      <c r="B269" s="1">
        <f t="shared" si="4"/>
        <v>264</v>
      </c>
      <c r="C269" s="4" t="s">
        <v>829</v>
      </c>
      <c r="D269" s="4" t="s">
        <v>830</v>
      </c>
      <c r="E269">
        <v>4648124</v>
      </c>
      <c r="G269" s="4" t="s">
        <v>831</v>
      </c>
      <c r="H269" s="4" t="s">
        <v>832</v>
      </c>
      <c r="I269">
        <v>6336831</v>
      </c>
      <c r="J269">
        <v>78068345</v>
      </c>
      <c r="K269" s="1">
        <v>1056590</v>
      </c>
      <c r="L269" s="1">
        <v>8672</v>
      </c>
      <c r="M269" s="1" t="s">
        <v>7</v>
      </c>
      <c r="O269" s="36"/>
      <c r="P269" s="1"/>
      <c r="Q269"/>
    </row>
    <row r="270" spans="1:17" x14ac:dyDescent="0.3">
      <c r="A270" s="26">
        <v>183</v>
      </c>
      <c r="B270" s="26">
        <f t="shared" si="4"/>
        <v>265</v>
      </c>
      <c r="C270" s="27" t="s">
        <v>669</v>
      </c>
      <c r="D270" s="27" t="s">
        <v>670</v>
      </c>
      <c r="E270" s="28"/>
      <c r="F270" s="28"/>
      <c r="G270" s="27" t="s">
        <v>671</v>
      </c>
      <c r="H270" s="27" t="s">
        <v>672</v>
      </c>
      <c r="I270" s="28">
        <v>6252464</v>
      </c>
      <c r="J270" s="28">
        <v>67785696</v>
      </c>
      <c r="K270" s="26">
        <v>1057539</v>
      </c>
      <c r="L270" s="26">
        <v>56292</v>
      </c>
      <c r="M270" s="26" t="s">
        <v>6</v>
      </c>
      <c r="N270" s="26"/>
      <c r="O270" s="39"/>
      <c r="P270" s="1"/>
      <c r="Q270"/>
    </row>
    <row r="271" spans="1:17" x14ac:dyDescent="0.3">
      <c r="A271" s="1">
        <v>86</v>
      </c>
      <c r="B271" s="1">
        <f t="shared" si="4"/>
        <v>266</v>
      </c>
      <c r="C271" s="4" t="s">
        <v>674</v>
      </c>
      <c r="D271" s="4" t="s">
        <v>675</v>
      </c>
      <c r="E271">
        <v>5690494</v>
      </c>
      <c r="G271" s="4" t="s">
        <v>676</v>
      </c>
      <c r="H271" s="4" t="s">
        <v>677</v>
      </c>
      <c r="I271">
        <v>12427761</v>
      </c>
      <c r="J271">
        <v>78142961</v>
      </c>
      <c r="K271" s="1">
        <v>1056571</v>
      </c>
      <c r="L271" s="1">
        <v>64165</v>
      </c>
      <c r="M271" s="1" t="s">
        <v>6</v>
      </c>
      <c r="O271" s="36"/>
      <c r="P271" s="1"/>
      <c r="Q271"/>
    </row>
    <row r="272" spans="1:17" x14ac:dyDescent="0.3">
      <c r="A272" s="1">
        <v>272</v>
      </c>
      <c r="B272" s="1">
        <f t="shared" si="4"/>
        <v>267</v>
      </c>
      <c r="C272" s="4" t="s">
        <v>159</v>
      </c>
      <c r="D272" s="4" t="s">
        <v>2000</v>
      </c>
      <c r="E272">
        <v>7698097</v>
      </c>
      <c r="G272" s="4" t="s">
        <v>2001</v>
      </c>
      <c r="H272" s="4" t="s">
        <v>2002</v>
      </c>
      <c r="I272">
        <v>8221080</v>
      </c>
      <c r="J272" s="8">
        <v>79475615</v>
      </c>
      <c r="K272" s="1">
        <v>372539267</v>
      </c>
      <c r="L272" s="1">
        <v>8724</v>
      </c>
      <c r="M272" s="1" t="s">
        <v>15</v>
      </c>
      <c r="O272" s="36"/>
      <c r="P272" s="1"/>
      <c r="Q272"/>
    </row>
    <row r="273" spans="1:17" x14ac:dyDescent="0.3">
      <c r="A273" s="1">
        <v>273</v>
      </c>
      <c r="B273" s="1">
        <f t="shared" si="4"/>
        <v>268</v>
      </c>
      <c r="C273" s="4" t="s">
        <v>577</v>
      </c>
      <c r="D273" s="4" t="s">
        <v>1634</v>
      </c>
      <c r="E273">
        <v>6343526</v>
      </c>
      <c r="G273" s="4" t="s">
        <v>613</v>
      </c>
      <c r="H273" s="4" t="s">
        <v>1635</v>
      </c>
      <c r="I273">
        <v>7489165</v>
      </c>
      <c r="J273">
        <v>74701376</v>
      </c>
      <c r="K273" s="1">
        <v>1057962</v>
      </c>
      <c r="L273" s="1">
        <v>64163</v>
      </c>
      <c r="M273" s="1" t="s">
        <v>14</v>
      </c>
      <c r="O273" s="36"/>
      <c r="P273" s="1"/>
      <c r="Q273"/>
    </row>
    <row r="274" spans="1:17" x14ac:dyDescent="0.3">
      <c r="A274" s="1">
        <v>274</v>
      </c>
      <c r="B274" s="1">
        <f t="shared" si="4"/>
        <v>269</v>
      </c>
      <c r="C274" s="4" t="s">
        <v>2402</v>
      </c>
      <c r="D274" s="4" t="s">
        <v>2403</v>
      </c>
      <c r="E274">
        <v>5871563</v>
      </c>
      <c r="G274" s="4" t="s">
        <v>58</v>
      </c>
      <c r="H274" s="4" t="s">
        <v>2404</v>
      </c>
      <c r="I274">
        <v>7694530</v>
      </c>
      <c r="J274">
        <v>76330903</v>
      </c>
      <c r="K274" s="1" t="s">
        <v>2405</v>
      </c>
      <c r="L274" s="1">
        <v>64190</v>
      </c>
      <c r="M274" s="1" t="s">
        <v>20</v>
      </c>
      <c r="O274" s="36"/>
      <c r="P274" s="1"/>
      <c r="Q274"/>
    </row>
    <row r="275" spans="1:17" x14ac:dyDescent="0.3">
      <c r="A275" s="26">
        <v>275</v>
      </c>
      <c r="B275" s="26">
        <f t="shared" si="4"/>
        <v>270</v>
      </c>
      <c r="C275" s="27" t="s">
        <v>2460</v>
      </c>
      <c r="D275" s="27" t="s">
        <v>2461</v>
      </c>
      <c r="E275" s="28">
        <v>6250186</v>
      </c>
      <c r="F275" s="28"/>
      <c r="G275" s="27" t="s">
        <v>2462</v>
      </c>
      <c r="H275" s="27" t="s">
        <v>2463</v>
      </c>
      <c r="I275" s="28">
        <v>6304357</v>
      </c>
      <c r="J275" s="28">
        <v>60837237</v>
      </c>
      <c r="K275" s="26">
        <v>1055793</v>
      </c>
      <c r="L275" s="26">
        <v>56040</v>
      </c>
      <c r="M275" s="26" t="s">
        <v>20</v>
      </c>
      <c r="N275" s="26"/>
      <c r="O275" s="39"/>
      <c r="P275" s="1"/>
      <c r="Q275"/>
    </row>
    <row r="276" spans="1:17" x14ac:dyDescent="0.3">
      <c r="A276" s="26">
        <v>276</v>
      </c>
      <c r="B276" s="26">
        <f t="shared" si="4"/>
        <v>271</v>
      </c>
      <c r="C276" s="27" t="s">
        <v>422</v>
      </c>
      <c r="D276" s="27" t="s">
        <v>2412</v>
      </c>
      <c r="E276" s="28">
        <v>5872052</v>
      </c>
      <c r="F276" s="28"/>
      <c r="G276" s="27" t="s">
        <v>2413</v>
      </c>
      <c r="H276" s="27" t="s">
        <v>2414</v>
      </c>
      <c r="I276" s="28">
        <v>6289961</v>
      </c>
      <c r="J276" s="28">
        <v>75307063</v>
      </c>
      <c r="K276" s="26">
        <v>1058231</v>
      </c>
      <c r="L276" s="26">
        <v>56253</v>
      </c>
      <c r="M276" s="26" t="s">
        <v>20</v>
      </c>
      <c r="N276" s="26"/>
      <c r="O276" s="39"/>
      <c r="P276" s="1"/>
      <c r="Q276"/>
    </row>
    <row r="277" spans="1:17" x14ac:dyDescent="0.3">
      <c r="A277" s="1">
        <v>277</v>
      </c>
      <c r="B277" s="1">
        <f t="shared" si="4"/>
        <v>272</v>
      </c>
      <c r="C277" s="4" t="s">
        <v>2010</v>
      </c>
      <c r="D277" s="4" t="s">
        <v>2011</v>
      </c>
      <c r="E277">
        <v>6228378</v>
      </c>
      <c r="G277" s="4" t="s">
        <v>589</v>
      </c>
      <c r="H277" s="4" t="s">
        <v>2012</v>
      </c>
      <c r="I277">
        <v>5869019</v>
      </c>
      <c r="J277">
        <v>69050380</v>
      </c>
      <c r="K277" s="1">
        <v>1058521</v>
      </c>
      <c r="L277" s="1">
        <v>82580</v>
      </c>
      <c r="M277" s="1" t="s">
        <v>15</v>
      </c>
      <c r="O277" s="36"/>
      <c r="P277" s="1"/>
      <c r="Q277"/>
    </row>
    <row r="278" spans="1:17" x14ac:dyDescent="0.3">
      <c r="A278" s="1">
        <v>278</v>
      </c>
      <c r="B278" s="1">
        <f t="shared" si="4"/>
        <v>273</v>
      </c>
      <c r="C278" s="4" t="s">
        <v>2019</v>
      </c>
      <c r="D278" s="4" t="s">
        <v>2020</v>
      </c>
      <c r="E278">
        <v>4665100</v>
      </c>
      <c r="G278" s="4" t="s">
        <v>427</v>
      </c>
      <c r="H278" s="4" t="s">
        <v>2021</v>
      </c>
      <c r="I278">
        <v>6300963</v>
      </c>
      <c r="J278" s="8">
        <v>77318867</v>
      </c>
      <c r="K278" s="9" t="s">
        <v>2022</v>
      </c>
      <c r="L278" s="1">
        <v>8655</v>
      </c>
      <c r="M278" s="1" t="s">
        <v>15</v>
      </c>
      <c r="O278" s="36"/>
      <c r="P278" s="1"/>
      <c r="Q278"/>
    </row>
    <row r="279" spans="1:17" x14ac:dyDescent="0.3">
      <c r="A279" s="1">
        <v>320</v>
      </c>
      <c r="B279" s="1">
        <f t="shared" si="4"/>
        <v>274</v>
      </c>
      <c r="C279" s="4" t="s">
        <v>2193</v>
      </c>
      <c r="D279" s="4" t="s">
        <v>2194</v>
      </c>
      <c r="E279">
        <v>5857843</v>
      </c>
      <c r="G279" s="4" t="s">
        <v>285</v>
      </c>
      <c r="H279" s="4" t="s">
        <v>2195</v>
      </c>
      <c r="I279">
        <v>4666789</v>
      </c>
      <c r="J279">
        <v>7664721</v>
      </c>
      <c r="K279" s="1">
        <v>1055228</v>
      </c>
      <c r="L279" s="1">
        <v>8729</v>
      </c>
      <c r="M279" s="1" t="s">
        <v>17</v>
      </c>
      <c r="O279" s="36"/>
      <c r="P279" s="1"/>
      <c r="Q279"/>
    </row>
    <row r="280" spans="1:17" x14ac:dyDescent="0.3">
      <c r="A280" s="1">
        <v>280</v>
      </c>
      <c r="B280" s="1">
        <f t="shared" si="4"/>
        <v>275</v>
      </c>
      <c r="C280" s="4" t="s">
        <v>1652</v>
      </c>
      <c r="D280" s="4" t="s">
        <v>1653</v>
      </c>
      <c r="G280" s="4" t="s">
        <v>1654</v>
      </c>
      <c r="H280" s="4" t="s">
        <v>1655</v>
      </c>
      <c r="I280">
        <v>8204811</v>
      </c>
      <c r="J280">
        <v>76373210</v>
      </c>
      <c r="K280" s="1">
        <v>1056900</v>
      </c>
      <c r="L280" s="1">
        <v>82585</v>
      </c>
      <c r="M280" s="1" t="s">
        <v>14</v>
      </c>
      <c r="O280" s="36"/>
      <c r="P280" s="1"/>
      <c r="Q280"/>
    </row>
    <row r="281" spans="1:17" x14ac:dyDescent="0.3">
      <c r="A281" s="1">
        <v>281</v>
      </c>
      <c r="B281" s="1">
        <f t="shared" si="4"/>
        <v>276</v>
      </c>
      <c r="C281" s="4" t="s">
        <v>2320</v>
      </c>
      <c r="D281" s="4" t="s">
        <v>2321</v>
      </c>
      <c r="G281" s="4" t="s">
        <v>502</v>
      </c>
      <c r="H281" s="4" t="s">
        <v>2322</v>
      </c>
      <c r="I281">
        <v>8257430</v>
      </c>
      <c r="J281">
        <v>67756652</v>
      </c>
      <c r="K281" s="1">
        <v>1058126</v>
      </c>
      <c r="L281" s="1">
        <v>8680</v>
      </c>
      <c r="M281" s="1" t="s">
        <v>18</v>
      </c>
      <c r="O281" s="36"/>
      <c r="P281" s="1"/>
      <c r="Q281"/>
    </row>
    <row r="282" spans="1:17" x14ac:dyDescent="0.3">
      <c r="A282" s="1">
        <v>283</v>
      </c>
      <c r="B282" s="1">
        <f t="shared" si="4"/>
        <v>277</v>
      </c>
      <c r="C282" s="4" t="s">
        <v>2068</v>
      </c>
      <c r="D282" s="4" t="s">
        <v>2069</v>
      </c>
      <c r="G282" s="4" t="s">
        <v>2070</v>
      </c>
      <c r="H282" s="4" t="s">
        <v>2071</v>
      </c>
      <c r="I282">
        <v>7460993</v>
      </c>
      <c r="J282">
        <v>67642031</v>
      </c>
      <c r="K282" s="1">
        <v>1058111</v>
      </c>
      <c r="L282" s="1">
        <v>82582</v>
      </c>
      <c r="M282" s="1" t="s">
        <v>15</v>
      </c>
      <c r="O282" s="36"/>
      <c r="P282" s="1"/>
      <c r="Q282"/>
    </row>
    <row r="283" spans="1:17" x14ac:dyDescent="0.3">
      <c r="A283" s="1">
        <v>284</v>
      </c>
      <c r="B283" s="1">
        <f t="shared" si="4"/>
        <v>278</v>
      </c>
      <c r="C283" s="4" t="s">
        <v>723</v>
      </c>
      <c r="D283" s="4" t="s">
        <v>2123</v>
      </c>
      <c r="E283">
        <v>5831716</v>
      </c>
      <c r="G283" s="4" t="s">
        <v>1369</v>
      </c>
      <c r="H283" s="4" t="s">
        <v>2124</v>
      </c>
      <c r="I283">
        <v>5852840</v>
      </c>
      <c r="J283">
        <v>71619332</v>
      </c>
      <c r="K283" s="1">
        <v>1058263</v>
      </c>
      <c r="L283" s="1">
        <v>82590</v>
      </c>
      <c r="M283" s="1" t="s">
        <v>16</v>
      </c>
      <c r="O283" s="36"/>
      <c r="P283" s="1"/>
      <c r="Q283"/>
    </row>
    <row r="284" spans="1:17" x14ac:dyDescent="0.3">
      <c r="A284" s="1">
        <v>285</v>
      </c>
      <c r="B284" s="1">
        <f t="shared" si="4"/>
        <v>279</v>
      </c>
      <c r="C284" s="4" t="s">
        <v>1283</v>
      </c>
      <c r="D284" s="4" t="s">
        <v>2168</v>
      </c>
      <c r="E284">
        <v>5661277</v>
      </c>
      <c r="F284">
        <v>71057733</v>
      </c>
      <c r="G284" s="4" t="s">
        <v>2169</v>
      </c>
      <c r="H284" s="4" t="s">
        <v>2170</v>
      </c>
      <c r="K284" s="1">
        <v>1058168</v>
      </c>
      <c r="L284" s="1">
        <v>8722</v>
      </c>
      <c r="M284" s="1" t="s">
        <v>16</v>
      </c>
      <c r="O284" s="36"/>
      <c r="P284" s="1"/>
      <c r="Q284"/>
    </row>
    <row r="285" spans="1:17" x14ac:dyDescent="0.3">
      <c r="A285" s="1">
        <v>286</v>
      </c>
      <c r="B285" s="1">
        <f t="shared" si="4"/>
        <v>280</v>
      </c>
      <c r="C285" s="4" t="s">
        <v>1183</v>
      </c>
      <c r="D285" s="4" t="s">
        <v>1184</v>
      </c>
      <c r="E285">
        <v>7754718</v>
      </c>
      <c r="F285">
        <v>78128726</v>
      </c>
      <c r="G285" s="4" t="s">
        <v>1185</v>
      </c>
      <c r="H285" s="4" t="s">
        <v>1186</v>
      </c>
      <c r="I285">
        <v>7654718</v>
      </c>
      <c r="K285" s="1">
        <v>1056986</v>
      </c>
      <c r="L285" s="1">
        <v>56002</v>
      </c>
      <c r="M285" s="1" t="s">
        <v>9</v>
      </c>
      <c r="N285" s="1" t="s">
        <v>16</v>
      </c>
      <c r="O285" s="36"/>
      <c r="P285" s="1"/>
      <c r="Q285"/>
    </row>
    <row r="286" spans="1:17" x14ac:dyDescent="0.3">
      <c r="A286" s="1">
        <v>287</v>
      </c>
      <c r="B286" s="1">
        <f t="shared" si="4"/>
        <v>281</v>
      </c>
      <c r="C286" s="4" t="s">
        <v>843</v>
      </c>
      <c r="D286" s="4" t="s">
        <v>2284</v>
      </c>
      <c r="E286">
        <v>8906346</v>
      </c>
      <c r="G286" s="4" t="s">
        <v>427</v>
      </c>
      <c r="H286" s="4" t="s">
        <v>2285</v>
      </c>
      <c r="I286">
        <v>7715737</v>
      </c>
      <c r="J286">
        <v>71351719</v>
      </c>
      <c r="K286" s="1">
        <v>1058374</v>
      </c>
      <c r="L286" s="1">
        <v>82584</v>
      </c>
      <c r="M286" s="1" t="s">
        <v>18</v>
      </c>
      <c r="O286" s="36"/>
      <c r="P286" s="1"/>
      <c r="Q286"/>
    </row>
    <row r="287" spans="1:17" x14ac:dyDescent="0.3">
      <c r="A287" s="1">
        <v>288</v>
      </c>
      <c r="B287" s="1">
        <f t="shared" si="4"/>
        <v>282</v>
      </c>
      <c r="C287" s="4" t="s">
        <v>141</v>
      </c>
      <c r="D287" s="4" t="s">
        <v>2180</v>
      </c>
      <c r="G287" s="4" t="s">
        <v>2181</v>
      </c>
      <c r="H287" s="4" t="s">
        <v>2182</v>
      </c>
      <c r="I287">
        <v>5840051</v>
      </c>
      <c r="J287">
        <v>77071911</v>
      </c>
      <c r="K287" s="1">
        <v>1057319</v>
      </c>
      <c r="L287" s="1">
        <v>8651</v>
      </c>
      <c r="M287" s="1" t="s">
        <v>16</v>
      </c>
      <c r="O287" s="36"/>
      <c r="P287" s="1"/>
      <c r="Q287"/>
    </row>
    <row r="288" spans="1:17" x14ac:dyDescent="0.3">
      <c r="A288" s="1">
        <v>289</v>
      </c>
      <c r="B288" s="1">
        <f t="shared" si="4"/>
        <v>283</v>
      </c>
      <c r="C288" s="4" t="s">
        <v>723</v>
      </c>
      <c r="D288" s="4" t="s">
        <v>724</v>
      </c>
      <c r="G288" s="4" t="s">
        <v>725</v>
      </c>
      <c r="H288" s="4" t="s">
        <v>726</v>
      </c>
      <c r="I288">
        <v>5347782</v>
      </c>
      <c r="J288">
        <v>75069016</v>
      </c>
      <c r="K288" s="1">
        <v>1056287</v>
      </c>
      <c r="L288" s="1">
        <v>56014</v>
      </c>
      <c r="M288" s="1" t="s">
        <v>7</v>
      </c>
      <c r="O288" s="36"/>
      <c r="P288" s="1"/>
      <c r="Q288"/>
    </row>
    <row r="289" spans="1:17" x14ac:dyDescent="0.3">
      <c r="A289" s="26">
        <v>291</v>
      </c>
      <c r="B289" s="26">
        <f t="shared" si="4"/>
        <v>284</v>
      </c>
      <c r="C289" s="27" t="s">
        <v>1643</v>
      </c>
      <c r="D289" s="27" t="s">
        <v>1644</v>
      </c>
      <c r="E289" s="28"/>
      <c r="F289" s="28"/>
      <c r="G289" s="27" t="s">
        <v>1645</v>
      </c>
      <c r="H289" s="27" t="s">
        <v>586</v>
      </c>
      <c r="I289" s="28">
        <v>7709334</v>
      </c>
      <c r="J289" s="28">
        <v>72116945</v>
      </c>
      <c r="K289" s="26">
        <v>1058623</v>
      </c>
      <c r="L289" s="26" t="s">
        <v>31</v>
      </c>
      <c r="M289" s="26" t="s">
        <v>14</v>
      </c>
      <c r="N289" s="26"/>
      <c r="O289" s="39"/>
      <c r="P289" s="1"/>
      <c r="Q289"/>
    </row>
    <row r="290" spans="1:17" x14ac:dyDescent="0.3">
      <c r="A290" s="1">
        <v>292</v>
      </c>
      <c r="B290" s="1">
        <f t="shared" si="4"/>
        <v>285</v>
      </c>
      <c r="C290" s="4" t="s">
        <v>2139</v>
      </c>
      <c r="D290" s="4" t="s">
        <v>2140</v>
      </c>
      <c r="E290">
        <v>9730195</v>
      </c>
      <c r="G290" s="4" t="s">
        <v>2141</v>
      </c>
      <c r="H290" s="4" t="s">
        <v>2142</v>
      </c>
      <c r="I290">
        <v>9730130</v>
      </c>
      <c r="J290">
        <v>62065495</v>
      </c>
      <c r="K290" s="1">
        <v>1058482</v>
      </c>
      <c r="L290" s="1">
        <v>82583</v>
      </c>
      <c r="M290" s="1" t="s">
        <v>16</v>
      </c>
      <c r="O290" s="36"/>
      <c r="P290" s="1"/>
      <c r="Q290"/>
    </row>
    <row r="291" spans="1:17" ht="28.8" x14ac:dyDescent="0.3">
      <c r="A291" s="1">
        <v>293</v>
      </c>
      <c r="B291" s="1">
        <f t="shared" si="4"/>
        <v>286</v>
      </c>
      <c r="C291" s="4" t="s">
        <v>163</v>
      </c>
      <c r="D291" s="4" t="s">
        <v>2173</v>
      </c>
      <c r="E291">
        <v>7794958</v>
      </c>
      <c r="G291" s="4" t="s">
        <v>1671</v>
      </c>
      <c r="H291" s="4" t="s">
        <v>2174</v>
      </c>
      <c r="I291">
        <v>7817779</v>
      </c>
      <c r="J291">
        <v>65870400</v>
      </c>
      <c r="K291" s="1">
        <v>1058588</v>
      </c>
      <c r="L291" s="17" t="s">
        <v>2986</v>
      </c>
      <c r="M291" s="1" t="s">
        <v>16</v>
      </c>
      <c r="O291" s="36"/>
      <c r="P291" s="1"/>
      <c r="Q291"/>
    </row>
    <row r="292" spans="1:17" x14ac:dyDescent="0.3">
      <c r="A292" s="26">
        <v>316</v>
      </c>
      <c r="B292" s="26">
        <f t="shared" si="4"/>
        <v>287</v>
      </c>
      <c r="C292" s="27" t="s">
        <v>167</v>
      </c>
      <c r="D292" s="27" t="s">
        <v>2197</v>
      </c>
      <c r="E292" s="28"/>
      <c r="F292" s="28"/>
      <c r="G292" s="27" t="s">
        <v>2198</v>
      </c>
      <c r="H292" s="27" t="s">
        <v>2199</v>
      </c>
      <c r="I292" s="28">
        <v>9748256</v>
      </c>
      <c r="J292" s="28">
        <v>63443823</v>
      </c>
      <c r="K292" s="26">
        <v>1058554</v>
      </c>
      <c r="L292" s="26">
        <v>56285</v>
      </c>
      <c r="M292" s="26" t="s">
        <v>17</v>
      </c>
      <c r="N292" s="26"/>
      <c r="O292" s="39"/>
      <c r="P292" s="1"/>
      <c r="Q292"/>
    </row>
    <row r="293" spans="1:17" x14ac:dyDescent="0.3">
      <c r="A293" s="1">
        <v>296</v>
      </c>
      <c r="B293" s="1">
        <f t="shared" si="4"/>
        <v>288</v>
      </c>
      <c r="C293" s="4" t="s">
        <v>2315</v>
      </c>
      <c r="D293" s="4" t="s">
        <v>2316</v>
      </c>
      <c r="E293">
        <v>7681167</v>
      </c>
      <c r="G293" s="4" t="s">
        <v>2317</v>
      </c>
      <c r="H293" s="4" t="s">
        <v>2318</v>
      </c>
      <c r="I293">
        <v>6351735</v>
      </c>
      <c r="J293">
        <v>70293352</v>
      </c>
      <c r="K293" s="1">
        <v>1058609</v>
      </c>
      <c r="L293" s="1">
        <v>8731</v>
      </c>
      <c r="M293" s="1" t="s">
        <v>18</v>
      </c>
      <c r="O293" s="36"/>
      <c r="P293" s="1"/>
      <c r="Q293"/>
    </row>
    <row r="294" spans="1:17" x14ac:dyDescent="0.3">
      <c r="A294" s="26">
        <v>297</v>
      </c>
      <c r="B294" s="26">
        <f t="shared" si="4"/>
        <v>289</v>
      </c>
      <c r="C294" s="27" t="s">
        <v>2452</v>
      </c>
      <c r="D294" s="27" t="s">
        <v>519</v>
      </c>
      <c r="E294" s="28">
        <v>5371742</v>
      </c>
      <c r="F294" s="28"/>
      <c r="G294" s="27" t="s">
        <v>2453</v>
      </c>
      <c r="H294" s="27" t="s">
        <v>2454</v>
      </c>
      <c r="I294" s="28">
        <v>9736190</v>
      </c>
      <c r="J294" s="28">
        <v>67982280</v>
      </c>
      <c r="K294" s="26">
        <v>1058213</v>
      </c>
      <c r="L294" s="26">
        <v>56039</v>
      </c>
      <c r="M294" s="26" t="s">
        <v>20</v>
      </c>
      <c r="N294" s="26"/>
      <c r="O294" s="39"/>
      <c r="P294" s="1"/>
      <c r="Q294"/>
    </row>
    <row r="295" spans="1:17" x14ac:dyDescent="0.3">
      <c r="A295" s="26">
        <v>298</v>
      </c>
      <c r="B295" s="26">
        <f t="shared" si="4"/>
        <v>290</v>
      </c>
      <c r="C295" s="27" t="s">
        <v>29</v>
      </c>
      <c r="D295" s="27" t="s">
        <v>2443</v>
      </c>
      <c r="E295" s="28">
        <v>4604397</v>
      </c>
      <c r="F295" s="28"/>
      <c r="G295" s="27" t="s">
        <v>2444</v>
      </c>
      <c r="H295" s="27" t="s">
        <v>2445</v>
      </c>
      <c r="I295" s="28">
        <v>7804964</v>
      </c>
      <c r="J295" s="28">
        <v>75391242</v>
      </c>
      <c r="K295" s="26">
        <v>1058669</v>
      </c>
      <c r="L295" s="26">
        <v>56259</v>
      </c>
      <c r="M295" s="26" t="s">
        <v>20</v>
      </c>
      <c r="N295" s="26"/>
      <c r="O295" s="39"/>
      <c r="P295" s="1"/>
      <c r="Q295"/>
    </row>
    <row r="296" spans="1:17" x14ac:dyDescent="0.3">
      <c r="A296" s="1">
        <v>299</v>
      </c>
      <c r="B296" s="1">
        <f t="shared" ref="B296:B359" si="5">ROW(B291)</f>
        <v>291</v>
      </c>
      <c r="C296" s="4" t="s">
        <v>2160</v>
      </c>
      <c r="D296" t="s">
        <v>2161</v>
      </c>
      <c r="E296">
        <v>5858680</v>
      </c>
      <c r="G296" s="4" t="s">
        <v>498</v>
      </c>
      <c r="H296" s="4" t="s">
        <v>2162</v>
      </c>
      <c r="I296">
        <v>5408205</v>
      </c>
      <c r="J296">
        <v>72629321</v>
      </c>
      <c r="K296" s="1">
        <v>1058591</v>
      </c>
      <c r="L296" s="1">
        <v>8732</v>
      </c>
      <c r="M296" s="1" t="s">
        <v>16</v>
      </c>
      <c r="O296" s="36"/>
      <c r="P296" s="1"/>
      <c r="Q296"/>
    </row>
    <row r="297" spans="1:17" x14ac:dyDescent="0.3">
      <c r="A297" s="1">
        <v>300</v>
      </c>
      <c r="B297" s="1">
        <f t="shared" si="5"/>
        <v>292</v>
      </c>
      <c r="C297" s="4" t="s">
        <v>2042</v>
      </c>
      <c r="D297" s="4" t="s">
        <v>2043</v>
      </c>
      <c r="G297" s="4" t="s">
        <v>964</v>
      </c>
      <c r="H297" s="4" t="s">
        <v>487</v>
      </c>
      <c r="I297">
        <v>7711114</v>
      </c>
      <c r="J297">
        <v>74940224</v>
      </c>
      <c r="K297" s="9">
        <v>1058681</v>
      </c>
      <c r="L297" s="1">
        <v>8560</v>
      </c>
      <c r="M297" s="1" t="s">
        <v>15</v>
      </c>
      <c r="O297" s="36"/>
      <c r="P297" s="1"/>
      <c r="Q297"/>
    </row>
    <row r="298" spans="1:17" x14ac:dyDescent="0.3">
      <c r="A298" s="1">
        <v>301</v>
      </c>
      <c r="B298" s="1">
        <f t="shared" si="5"/>
        <v>293</v>
      </c>
      <c r="C298" s="4" t="s">
        <v>85</v>
      </c>
      <c r="D298" s="4" t="s">
        <v>2096</v>
      </c>
      <c r="E298">
        <v>4578065</v>
      </c>
      <c r="G298" s="4" t="s">
        <v>574</v>
      </c>
      <c r="H298" s="4" t="s">
        <v>564</v>
      </c>
      <c r="I298">
        <v>5648618</v>
      </c>
      <c r="J298">
        <v>73185053</v>
      </c>
      <c r="K298" s="1">
        <v>1057354</v>
      </c>
      <c r="L298" s="1">
        <v>64160</v>
      </c>
      <c r="M298" s="1" t="s">
        <v>15</v>
      </c>
      <c r="O298" s="36"/>
      <c r="P298" s="1"/>
      <c r="Q298"/>
    </row>
    <row r="299" spans="1:17" x14ac:dyDescent="0.3">
      <c r="A299" s="26">
        <v>302</v>
      </c>
      <c r="B299" s="26">
        <f t="shared" si="5"/>
        <v>294</v>
      </c>
      <c r="C299" s="27" t="s">
        <v>1087</v>
      </c>
      <c r="D299" s="27" t="s">
        <v>2081</v>
      </c>
      <c r="E299" s="28"/>
      <c r="F299" s="28"/>
      <c r="G299" s="27" t="s">
        <v>2082</v>
      </c>
      <c r="H299" s="27" t="s">
        <v>182</v>
      </c>
      <c r="I299" s="28">
        <v>6333406</v>
      </c>
      <c r="J299" s="28">
        <v>69170211</v>
      </c>
      <c r="K299" s="26">
        <v>1055974</v>
      </c>
      <c r="L299" s="26" t="s">
        <v>31</v>
      </c>
      <c r="M299" s="26" t="s">
        <v>15</v>
      </c>
      <c r="N299" s="26"/>
      <c r="O299" s="39"/>
      <c r="P299" s="1"/>
      <c r="Q299"/>
    </row>
    <row r="300" spans="1:17" x14ac:dyDescent="0.3">
      <c r="A300" s="26" t="s">
        <v>3118</v>
      </c>
      <c r="B300" s="26">
        <f t="shared" si="5"/>
        <v>295</v>
      </c>
      <c r="C300" s="27" t="s">
        <v>2202</v>
      </c>
      <c r="D300" s="27" t="s">
        <v>2203</v>
      </c>
      <c r="E300" s="28">
        <v>3288121</v>
      </c>
      <c r="F300" s="28"/>
      <c r="G300" s="27" t="s">
        <v>2204</v>
      </c>
      <c r="H300" s="27" t="s">
        <v>2205</v>
      </c>
      <c r="I300" s="28">
        <v>3948326</v>
      </c>
      <c r="J300" s="28">
        <v>74644173</v>
      </c>
      <c r="K300" s="26" t="s">
        <v>31</v>
      </c>
      <c r="L300" s="26" t="s">
        <v>31</v>
      </c>
      <c r="M300" s="26" t="s">
        <v>17</v>
      </c>
      <c r="N300" s="26"/>
      <c r="O300" s="39"/>
      <c r="P300" s="1"/>
      <c r="Q300"/>
    </row>
    <row r="301" spans="1:17" x14ac:dyDescent="0.3">
      <c r="A301" s="1">
        <v>304</v>
      </c>
      <c r="B301" s="1">
        <f t="shared" si="5"/>
        <v>296</v>
      </c>
      <c r="C301" s="4" t="s">
        <v>1093</v>
      </c>
      <c r="D301" s="4" t="s">
        <v>2024</v>
      </c>
      <c r="E301">
        <v>5396472</v>
      </c>
      <c r="G301" s="4" t="s">
        <v>2025</v>
      </c>
      <c r="H301" s="4" t="s">
        <v>2026</v>
      </c>
      <c r="I301">
        <v>3904265</v>
      </c>
      <c r="J301">
        <v>60855588</v>
      </c>
      <c r="K301" s="9">
        <v>1058696</v>
      </c>
      <c r="L301" s="1">
        <v>64193</v>
      </c>
      <c r="M301" s="1" t="s">
        <v>15</v>
      </c>
      <c r="O301" s="36"/>
      <c r="P301" s="1"/>
      <c r="Q301"/>
    </row>
    <row r="302" spans="1:17" x14ac:dyDescent="0.3">
      <c r="A302" s="26">
        <v>306</v>
      </c>
      <c r="B302" s="26">
        <f t="shared" si="5"/>
        <v>297</v>
      </c>
      <c r="C302" s="27" t="s">
        <v>1577</v>
      </c>
      <c r="D302" s="27" t="s">
        <v>1578</v>
      </c>
      <c r="E302" s="28"/>
      <c r="F302" s="28"/>
      <c r="G302" s="27" t="s">
        <v>128</v>
      </c>
      <c r="H302" s="27" t="s">
        <v>1579</v>
      </c>
      <c r="I302" s="28">
        <v>6580002</v>
      </c>
      <c r="J302" s="28">
        <v>73186313</v>
      </c>
      <c r="K302" s="26">
        <v>1058614</v>
      </c>
      <c r="L302" s="26">
        <v>82639</v>
      </c>
      <c r="M302" s="26" t="s">
        <v>13</v>
      </c>
      <c r="N302" s="26" t="s">
        <v>19</v>
      </c>
      <c r="O302" s="39"/>
      <c r="P302" s="1"/>
      <c r="Q302"/>
    </row>
    <row r="303" spans="1:17" x14ac:dyDescent="0.3">
      <c r="A303" s="26">
        <v>436</v>
      </c>
      <c r="B303" s="26">
        <f t="shared" si="5"/>
        <v>298</v>
      </c>
      <c r="C303" s="27" t="s">
        <v>2207</v>
      </c>
      <c r="D303" s="27" t="s">
        <v>2208</v>
      </c>
      <c r="E303" s="28"/>
      <c r="F303" s="28"/>
      <c r="G303" s="27" t="s">
        <v>312</v>
      </c>
      <c r="H303" s="27" t="s">
        <v>2209</v>
      </c>
      <c r="I303" s="31">
        <v>14161125</v>
      </c>
      <c r="J303" s="28">
        <v>75687029</v>
      </c>
      <c r="K303" s="30">
        <v>1062995</v>
      </c>
      <c r="L303" s="26" t="s">
        <v>31</v>
      </c>
      <c r="M303" s="26" t="s">
        <v>17</v>
      </c>
      <c r="N303" s="26"/>
      <c r="O303" s="39"/>
      <c r="P303" s="1"/>
      <c r="Q303"/>
    </row>
    <row r="304" spans="1:17" x14ac:dyDescent="0.3">
      <c r="A304" s="1">
        <v>308</v>
      </c>
      <c r="B304" s="1">
        <f t="shared" si="5"/>
        <v>299</v>
      </c>
      <c r="C304" s="4" t="s">
        <v>2105</v>
      </c>
      <c r="D304" s="4" t="s">
        <v>2106</v>
      </c>
      <c r="G304" s="4" t="s">
        <v>181</v>
      </c>
      <c r="H304" s="4" t="s">
        <v>2107</v>
      </c>
      <c r="I304">
        <v>4624690</v>
      </c>
      <c r="J304">
        <v>70902127</v>
      </c>
      <c r="K304" s="1">
        <v>1056886</v>
      </c>
      <c r="L304" s="1">
        <v>82591</v>
      </c>
      <c r="M304" s="1" t="s">
        <v>16</v>
      </c>
      <c r="O304" s="36"/>
      <c r="P304" s="1"/>
      <c r="Q304"/>
    </row>
    <row r="305" spans="1:17" x14ac:dyDescent="0.3">
      <c r="A305" s="26">
        <v>309</v>
      </c>
      <c r="B305" s="26">
        <f t="shared" si="5"/>
        <v>300</v>
      </c>
      <c r="C305" s="27" t="s">
        <v>573</v>
      </c>
      <c r="D305" s="27" t="s">
        <v>967</v>
      </c>
      <c r="E305" s="28">
        <v>5130919</v>
      </c>
      <c r="F305" s="28"/>
      <c r="G305" s="27" t="s">
        <v>968</v>
      </c>
      <c r="H305" s="27" t="s">
        <v>969</v>
      </c>
      <c r="I305" s="28">
        <v>5862196</v>
      </c>
      <c r="J305" s="28">
        <v>75379285</v>
      </c>
      <c r="K305" s="26">
        <v>1057202</v>
      </c>
      <c r="L305" s="26">
        <v>56256</v>
      </c>
      <c r="M305" s="26" t="s">
        <v>8</v>
      </c>
      <c r="N305" s="26"/>
      <c r="O305" s="39"/>
      <c r="P305" s="1"/>
      <c r="Q305"/>
    </row>
    <row r="306" spans="1:17" x14ac:dyDescent="0.3">
      <c r="A306" s="1">
        <v>310</v>
      </c>
      <c r="B306" s="1">
        <f t="shared" si="5"/>
        <v>301</v>
      </c>
      <c r="C306" s="4" t="s">
        <v>2281</v>
      </c>
      <c r="D306" s="4" t="s">
        <v>1460</v>
      </c>
      <c r="E306">
        <v>8096043</v>
      </c>
      <c r="F306">
        <v>67820956</v>
      </c>
      <c r="G306" s="4" t="s">
        <v>684</v>
      </c>
      <c r="H306" s="4" t="s">
        <v>2282</v>
      </c>
      <c r="I306">
        <v>7857415</v>
      </c>
      <c r="K306" s="1">
        <v>1057869</v>
      </c>
      <c r="L306" s="1">
        <v>56026</v>
      </c>
      <c r="M306" s="1" t="s">
        <v>18</v>
      </c>
      <c r="O306" s="36"/>
      <c r="P306" s="1"/>
      <c r="Q306"/>
    </row>
    <row r="307" spans="1:17" x14ac:dyDescent="0.3">
      <c r="A307" s="26">
        <v>311</v>
      </c>
      <c r="B307" s="26">
        <f t="shared" si="5"/>
        <v>302</v>
      </c>
      <c r="C307" s="27" t="s">
        <v>2176</v>
      </c>
      <c r="D307" s="27" t="s">
        <v>2177</v>
      </c>
      <c r="E307" s="28">
        <v>6360808</v>
      </c>
      <c r="F307" s="28"/>
      <c r="G307" s="27" t="s">
        <v>2178</v>
      </c>
      <c r="H307" s="27" t="s">
        <v>1014</v>
      </c>
      <c r="I307" s="28">
        <v>6295578</v>
      </c>
      <c r="J307" s="28">
        <v>63501639</v>
      </c>
      <c r="K307" s="26">
        <v>1057597</v>
      </c>
      <c r="L307" s="26">
        <v>82650</v>
      </c>
      <c r="M307" s="26" t="s">
        <v>16</v>
      </c>
      <c r="N307" s="26"/>
      <c r="O307" s="39"/>
      <c r="P307" s="1"/>
      <c r="Q307"/>
    </row>
    <row r="308" spans="1:17" x14ac:dyDescent="0.3">
      <c r="A308" s="1">
        <v>420</v>
      </c>
      <c r="B308" s="1">
        <f t="shared" si="5"/>
        <v>303</v>
      </c>
      <c r="C308" s="4" t="s">
        <v>2211</v>
      </c>
      <c r="D308" s="4" t="s">
        <v>2212</v>
      </c>
      <c r="E308">
        <v>5418543</v>
      </c>
      <c r="G308" s="4" t="s">
        <v>2213</v>
      </c>
      <c r="H308" s="4" t="s">
        <v>1431</v>
      </c>
      <c r="I308">
        <v>5357934</v>
      </c>
      <c r="J308">
        <v>63558606</v>
      </c>
      <c r="K308" s="1">
        <v>1059014</v>
      </c>
      <c r="L308" s="1">
        <v>8659</v>
      </c>
      <c r="M308" s="1" t="s">
        <v>17</v>
      </c>
      <c r="O308" s="36"/>
      <c r="P308" s="1"/>
      <c r="Q308"/>
    </row>
    <row r="309" spans="1:17" x14ac:dyDescent="0.3">
      <c r="A309" s="26">
        <v>313</v>
      </c>
      <c r="B309" s="26">
        <f t="shared" si="5"/>
        <v>304</v>
      </c>
      <c r="C309" s="27" t="s">
        <v>163</v>
      </c>
      <c r="D309" s="27" t="s">
        <v>785</v>
      </c>
      <c r="E309" s="28">
        <v>8066505</v>
      </c>
      <c r="F309" s="28"/>
      <c r="G309" s="27" t="s">
        <v>786</v>
      </c>
      <c r="H309" s="27" t="s">
        <v>787</v>
      </c>
      <c r="I309" s="28">
        <v>12951427</v>
      </c>
      <c r="J309" s="28">
        <v>6780243</v>
      </c>
      <c r="K309" s="26">
        <v>1058389</v>
      </c>
      <c r="L309" s="26">
        <v>56041</v>
      </c>
      <c r="M309" s="26" t="s">
        <v>7</v>
      </c>
      <c r="N309" s="26" t="s">
        <v>19</v>
      </c>
      <c r="O309" s="39"/>
      <c r="P309" s="1"/>
      <c r="Q309"/>
    </row>
    <row r="310" spans="1:17" x14ac:dyDescent="0.3">
      <c r="A310" s="26">
        <v>314</v>
      </c>
      <c r="B310" s="26">
        <f t="shared" si="5"/>
        <v>305</v>
      </c>
      <c r="C310" s="27" t="s">
        <v>2356</v>
      </c>
      <c r="D310" s="27" t="s">
        <v>963</v>
      </c>
      <c r="E310" s="28">
        <v>5408465</v>
      </c>
      <c r="F310" s="28"/>
      <c r="G310" s="27" t="s">
        <v>2357</v>
      </c>
      <c r="H310" s="27" t="s">
        <v>2358</v>
      </c>
      <c r="I310" s="28">
        <v>8927716</v>
      </c>
      <c r="J310" s="28">
        <v>70888362</v>
      </c>
      <c r="K310" s="26">
        <v>1058728</v>
      </c>
      <c r="L310" s="26" t="s">
        <v>31</v>
      </c>
      <c r="M310" s="26" t="s">
        <v>19</v>
      </c>
      <c r="N310" s="26"/>
      <c r="O310" s="39"/>
      <c r="P310" s="1"/>
      <c r="Q310"/>
    </row>
    <row r="311" spans="1:17" x14ac:dyDescent="0.3">
      <c r="A311" s="1">
        <v>315</v>
      </c>
      <c r="B311" s="1">
        <f t="shared" si="5"/>
        <v>306</v>
      </c>
      <c r="C311" s="4" t="s">
        <v>443</v>
      </c>
      <c r="D311" s="4" t="s">
        <v>444</v>
      </c>
      <c r="E311">
        <v>7495902</v>
      </c>
      <c r="G311" s="4" t="s">
        <v>445</v>
      </c>
      <c r="H311" s="4" t="s">
        <v>446</v>
      </c>
      <c r="I311">
        <v>8901963</v>
      </c>
      <c r="J311">
        <v>67871955</v>
      </c>
      <c r="K311" s="1">
        <v>11724206</v>
      </c>
      <c r="L311" s="1">
        <v>82577</v>
      </c>
      <c r="M311" s="1" t="s">
        <v>5</v>
      </c>
      <c r="O311" s="36"/>
      <c r="P311" s="1"/>
      <c r="Q311"/>
    </row>
    <row r="312" spans="1:17" x14ac:dyDescent="0.3">
      <c r="A312" s="26">
        <v>279</v>
      </c>
      <c r="B312" s="26">
        <f t="shared" si="5"/>
        <v>307</v>
      </c>
      <c r="C312" s="27" t="s">
        <v>2215</v>
      </c>
      <c r="D312" s="27" t="s">
        <v>2216</v>
      </c>
      <c r="E312" s="28">
        <v>5680519</v>
      </c>
      <c r="F312" s="28"/>
      <c r="G312" s="27" t="s">
        <v>2217</v>
      </c>
      <c r="H312" s="27" t="s">
        <v>2218</v>
      </c>
      <c r="I312" s="28">
        <v>7735718</v>
      </c>
      <c r="J312" s="28">
        <v>75150152</v>
      </c>
      <c r="K312" s="26">
        <v>1058189</v>
      </c>
      <c r="L312" s="26" t="s">
        <v>31</v>
      </c>
      <c r="M312" s="26" t="s">
        <v>17</v>
      </c>
      <c r="N312" s="26"/>
      <c r="O312" s="39"/>
      <c r="P312" s="1"/>
      <c r="Q312"/>
    </row>
    <row r="313" spans="1:17" x14ac:dyDescent="0.3">
      <c r="A313" s="1">
        <v>307</v>
      </c>
      <c r="B313" s="1">
        <f t="shared" si="5"/>
        <v>308</v>
      </c>
      <c r="C313" s="4" t="s">
        <v>2220</v>
      </c>
      <c r="D313" s="4" t="s">
        <v>2221</v>
      </c>
      <c r="G313" s="4" t="s">
        <v>2128</v>
      </c>
      <c r="H313" s="4" t="s">
        <v>825</v>
      </c>
      <c r="I313">
        <v>6355433</v>
      </c>
      <c r="J313">
        <v>72633880</v>
      </c>
      <c r="K313" s="1">
        <v>1058631</v>
      </c>
      <c r="L313" s="1">
        <v>56028</v>
      </c>
      <c r="M313" s="1" t="s">
        <v>17</v>
      </c>
      <c r="N313" s="1" t="s">
        <v>20</v>
      </c>
      <c r="O313" s="36"/>
      <c r="P313" s="1"/>
      <c r="Q313"/>
    </row>
    <row r="314" spans="1:17" x14ac:dyDescent="0.3">
      <c r="A314" s="26">
        <v>319</v>
      </c>
      <c r="B314" s="26">
        <f t="shared" si="5"/>
        <v>309</v>
      </c>
      <c r="C314" s="27" t="s">
        <v>159</v>
      </c>
      <c r="D314" s="27" t="s">
        <v>1063</v>
      </c>
      <c r="E314" s="28">
        <v>6395916</v>
      </c>
      <c r="F314" s="28"/>
      <c r="G314" s="27" t="s">
        <v>1064</v>
      </c>
      <c r="H314" s="27" t="s">
        <v>1065</v>
      </c>
      <c r="I314" s="28">
        <v>7681143</v>
      </c>
      <c r="J314" s="28">
        <v>70938669</v>
      </c>
      <c r="K314" s="26">
        <v>1058595</v>
      </c>
      <c r="L314" s="26">
        <v>82634</v>
      </c>
      <c r="M314" s="26" t="s">
        <v>8</v>
      </c>
      <c r="N314" s="26" t="s">
        <v>20</v>
      </c>
      <c r="O314" s="39"/>
      <c r="P314" s="1"/>
      <c r="Q314"/>
    </row>
    <row r="315" spans="1:17" x14ac:dyDescent="0.3">
      <c r="A315" s="26">
        <v>318</v>
      </c>
      <c r="B315" s="26">
        <f t="shared" si="5"/>
        <v>310</v>
      </c>
      <c r="C315" s="27" t="s">
        <v>1441</v>
      </c>
      <c r="D315" s="27" t="s">
        <v>2223</v>
      </c>
      <c r="E315" s="28">
        <v>1339767</v>
      </c>
      <c r="F315" s="28">
        <v>76089038</v>
      </c>
      <c r="G315" s="27" t="s">
        <v>2224</v>
      </c>
      <c r="H315" s="27" t="s">
        <v>2225</v>
      </c>
      <c r="I315" s="28"/>
      <c r="J315" s="28"/>
      <c r="K315" s="26">
        <v>1058758</v>
      </c>
      <c r="L315" s="26">
        <v>82641</v>
      </c>
      <c r="M315" s="26" t="s">
        <v>17</v>
      </c>
      <c r="N315" s="26"/>
      <c r="O315" s="39"/>
      <c r="P315" s="1"/>
      <c r="Q315"/>
    </row>
    <row r="316" spans="1:17" x14ac:dyDescent="0.3">
      <c r="A316" s="26">
        <v>340</v>
      </c>
      <c r="B316" s="26">
        <f t="shared" si="5"/>
        <v>311</v>
      </c>
      <c r="C316" s="27" t="s">
        <v>323</v>
      </c>
      <c r="D316" s="27" t="s">
        <v>1586</v>
      </c>
      <c r="E316" s="28">
        <v>5366247</v>
      </c>
      <c r="F316" s="28"/>
      <c r="G316" s="27" t="s">
        <v>1227</v>
      </c>
      <c r="H316" s="27" t="s">
        <v>2227</v>
      </c>
      <c r="I316" s="31">
        <v>12386179</v>
      </c>
      <c r="J316" s="28">
        <v>64472659</v>
      </c>
      <c r="K316" s="26">
        <v>1058870</v>
      </c>
      <c r="L316" s="26">
        <v>56103</v>
      </c>
      <c r="M316" s="26" t="s">
        <v>17</v>
      </c>
      <c r="N316" s="26"/>
      <c r="O316" s="39"/>
      <c r="P316" s="1"/>
      <c r="Q316"/>
    </row>
    <row r="317" spans="1:17" x14ac:dyDescent="0.3">
      <c r="A317" s="1">
        <v>294</v>
      </c>
      <c r="B317" s="1">
        <f t="shared" si="5"/>
        <v>312</v>
      </c>
      <c r="C317" s="4" t="s">
        <v>2229</v>
      </c>
      <c r="D317" s="4" t="s">
        <v>1523</v>
      </c>
      <c r="E317">
        <v>8083505</v>
      </c>
      <c r="G317" s="4" t="s">
        <v>2230</v>
      </c>
      <c r="H317" s="4" t="s">
        <v>2231</v>
      </c>
      <c r="I317">
        <v>4715744</v>
      </c>
      <c r="J317">
        <v>73171245</v>
      </c>
      <c r="K317" s="1">
        <v>1056913</v>
      </c>
      <c r="L317" s="1">
        <v>56032</v>
      </c>
      <c r="M317" s="1" t="s">
        <v>17</v>
      </c>
      <c r="O317" s="36"/>
      <c r="P317" s="1"/>
      <c r="Q317"/>
    </row>
    <row r="318" spans="1:17" x14ac:dyDescent="0.3">
      <c r="A318" s="1">
        <v>324</v>
      </c>
      <c r="B318" s="1">
        <f t="shared" si="5"/>
        <v>313</v>
      </c>
      <c r="C318" s="4" t="s">
        <v>1394</v>
      </c>
      <c r="D318" s="4" t="s">
        <v>1395</v>
      </c>
      <c r="E318">
        <v>3649720</v>
      </c>
      <c r="G318" s="4" t="s">
        <v>1396</v>
      </c>
      <c r="H318" s="4" t="s">
        <v>1397</v>
      </c>
      <c r="I318">
        <v>5899802</v>
      </c>
      <c r="J318">
        <v>67894111</v>
      </c>
      <c r="K318" s="1">
        <v>1058504</v>
      </c>
      <c r="L318" s="1">
        <v>8710</v>
      </c>
      <c r="M318" s="1" t="s">
        <v>11</v>
      </c>
      <c r="N318" s="1" t="s">
        <v>15</v>
      </c>
      <c r="O318" s="36"/>
      <c r="P318" s="1"/>
      <c r="Q318"/>
    </row>
    <row r="319" spans="1:17" x14ac:dyDescent="0.3">
      <c r="A319" s="26">
        <v>325</v>
      </c>
      <c r="B319" s="26">
        <f t="shared" si="5"/>
        <v>314</v>
      </c>
      <c r="C319" s="27" t="s">
        <v>1213</v>
      </c>
      <c r="D319" s="27" t="s">
        <v>1214</v>
      </c>
      <c r="E319" s="28"/>
      <c r="F319" s="28"/>
      <c r="G319" s="27" t="s">
        <v>209</v>
      </c>
      <c r="H319" s="27" t="s">
        <v>1215</v>
      </c>
      <c r="I319" s="28">
        <v>6246252</v>
      </c>
      <c r="J319" s="28">
        <v>75397996</v>
      </c>
      <c r="K319" s="26">
        <v>1057563</v>
      </c>
      <c r="L319" s="26">
        <v>56108</v>
      </c>
      <c r="M319" s="26" t="s">
        <v>9</v>
      </c>
      <c r="N319" s="26"/>
      <c r="O319" s="39"/>
      <c r="P319" s="1"/>
      <c r="Q319"/>
    </row>
    <row r="320" spans="1:17" x14ac:dyDescent="0.3">
      <c r="A320" s="26">
        <v>325</v>
      </c>
      <c r="B320" s="26">
        <f t="shared" si="5"/>
        <v>315</v>
      </c>
      <c r="C320" s="27" t="s">
        <v>1221</v>
      </c>
      <c r="D320" s="27" t="s">
        <v>1222</v>
      </c>
      <c r="E320" s="28"/>
      <c r="F320" s="28"/>
      <c r="G320" s="27" t="s">
        <v>457</v>
      </c>
      <c r="H320" s="27" t="s">
        <v>1215</v>
      </c>
      <c r="I320" s="28">
        <v>6329472</v>
      </c>
      <c r="J320" s="28">
        <v>78098926</v>
      </c>
      <c r="K320" s="26">
        <v>1059047</v>
      </c>
      <c r="L320" s="26">
        <v>56109</v>
      </c>
      <c r="M320" s="26" t="s">
        <v>9</v>
      </c>
      <c r="N320" s="26"/>
      <c r="O320" s="39"/>
      <c r="P320" s="1"/>
      <c r="Q320"/>
    </row>
    <row r="321" spans="1:17" ht="27" x14ac:dyDescent="0.3">
      <c r="A321" s="26">
        <v>326</v>
      </c>
      <c r="B321" s="26">
        <f t="shared" si="5"/>
        <v>316</v>
      </c>
      <c r="C321" s="27" t="s">
        <v>1332</v>
      </c>
      <c r="D321" s="27" t="s">
        <v>2045</v>
      </c>
      <c r="E321" s="28"/>
      <c r="F321" s="28"/>
      <c r="G321" s="34" t="s">
        <v>2960</v>
      </c>
      <c r="H321" s="27" t="s">
        <v>2046</v>
      </c>
      <c r="I321" s="28">
        <v>5869367</v>
      </c>
      <c r="J321" s="28">
        <v>76644880</v>
      </c>
      <c r="K321" s="26">
        <v>1058590</v>
      </c>
      <c r="L321" s="26">
        <v>82631</v>
      </c>
      <c r="M321" s="26" t="s">
        <v>15</v>
      </c>
      <c r="N321" s="26"/>
      <c r="O321" s="39"/>
      <c r="P321" s="1"/>
      <c r="Q321"/>
    </row>
    <row r="322" spans="1:17" x14ac:dyDescent="0.3">
      <c r="A322" s="1">
        <v>327</v>
      </c>
      <c r="B322" s="1">
        <f t="shared" si="5"/>
        <v>317</v>
      </c>
      <c r="C322" s="4" t="s">
        <v>2456</v>
      </c>
      <c r="D322" s="4" t="s">
        <v>2457</v>
      </c>
      <c r="E322">
        <v>4117019</v>
      </c>
      <c r="G322" s="4" t="s">
        <v>2458</v>
      </c>
      <c r="H322" s="4" t="s">
        <v>1210</v>
      </c>
      <c r="I322">
        <v>7705887</v>
      </c>
      <c r="J322">
        <v>74186343</v>
      </c>
      <c r="K322" s="1">
        <v>1058023</v>
      </c>
      <c r="L322" s="1">
        <v>64186</v>
      </c>
      <c r="M322" s="1" t="s">
        <v>20</v>
      </c>
      <c r="O322" s="36"/>
      <c r="P322" s="1"/>
      <c r="Q322"/>
    </row>
    <row r="323" spans="1:17" x14ac:dyDescent="0.3">
      <c r="A323" s="26">
        <v>328</v>
      </c>
      <c r="B323" s="26">
        <f t="shared" si="5"/>
        <v>318</v>
      </c>
      <c r="C323" s="27" t="s">
        <v>2048</v>
      </c>
      <c r="D323" s="27" t="s">
        <v>2049</v>
      </c>
      <c r="E323" s="28">
        <v>3939619</v>
      </c>
      <c r="F323" s="28"/>
      <c r="G323" s="27" t="s">
        <v>2050</v>
      </c>
      <c r="H323" s="27" t="s">
        <v>2051</v>
      </c>
      <c r="I323" s="28">
        <v>3939620</v>
      </c>
      <c r="J323" s="28">
        <v>71339114</v>
      </c>
      <c r="K323" s="26">
        <v>1058701</v>
      </c>
      <c r="L323" s="26" t="s">
        <v>31</v>
      </c>
      <c r="M323" s="26" t="s">
        <v>15</v>
      </c>
      <c r="N323" s="26"/>
      <c r="O323" s="39"/>
      <c r="P323" s="1"/>
      <c r="Q323"/>
    </row>
    <row r="324" spans="1:17" x14ac:dyDescent="0.3">
      <c r="A324" s="1">
        <v>329</v>
      </c>
      <c r="B324" s="1">
        <f t="shared" si="5"/>
        <v>319</v>
      </c>
      <c r="C324" s="4" t="s">
        <v>2290</v>
      </c>
      <c r="D324" s="4" t="s">
        <v>2291</v>
      </c>
      <c r="E324">
        <v>4702726</v>
      </c>
      <c r="G324" s="4" t="s">
        <v>599</v>
      </c>
      <c r="H324" s="4" t="s">
        <v>2292</v>
      </c>
      <c r="I324">
        <v>6291808</v>
      </c>
      <c r="J324">
        <v>72665415</v>
      </c>
      <c r="K324" s="1">
        <v>1058487</v>
      </c>
      <c r="L324" s="1">
        <v>8563</v>
      </c>
      <c r="M324" s="1" t="s">
        <v>18</v>
      </c>
      <c r="O324" s="36"/>
      <c r="P324" s="1"/>
      <c r="Q324"/>
    </row>
    <row r="325" spans="1:17" x14ac:dyDescent="0.3">
      <c r="A325" s="26">
        <v>331</v>
      </c>
      <c r="B325" s="26">
        <f t="shared" si="5"/>
        <v>320</v>
      </c>
      <c r="C325" s="27" t="s">
        <v>2078</v>
      </c>
      <c r="D325" s="27" t="s">
        <v>2079</v>
      </c>
      <c r="E325" s="28">
        <v>1552079</v>
      </c>
      <c r="F325" s="28"/>
      <c r="G325" s="27" t="s">
        <v>646</v>
      </c>
      <c r="H325" s="27" t="s">
        <v>2080</v>
      </c>
      <c r="I325" s="28">
        <v>8259867</v>
      </c>
      <c r="J325" s="28">
        <v>70925082</v>
      </c>
      <c r="K325" s="26">
        <v>1058121</v>
      </c>
      <c r="L325" s="26" t="s">
        <v>31</v>
      </c>
      <c r="M325" s="26" t="s">
        <v>15</v>
      </c>
      <c r="N325" s="26"/>
      <c r="O325" s="39"/>
      <c r="P325" s="1"/>
      <c r="Q325"/>
    </row>
    <row r="326" spans="1:17" x14ac:dyDescent="0.3">
      <c r="A326" s="26">
        <v>332</v>
      </c>
      <c r="B326" s="26">
        <f t="shared" si="5"/>
        <v>321</v>
      </c>
      <c r="C326" s="27" t="s">
        <v>2430</v>
      </c>
      <c r="D326" s="27" t="s">
        <v>2431</v>
      </c>
      <c r="E326" s="28">
        <v>3898533</v>
      </c>
      <c r="F326" s="28"/>
      <c r="G326" s="27" t="s">
        <v>2432</v>
      </c>
      <c r="H326" s="27" t="s">
        <v>2433</v>
      </c>
      <c r="I326" s="28">
        <v>4626027</v>
      </c>
      <c r="J326" s="28">
        <v>75301135</v>
      </c>
      <c r="K326" s="26">
        <v>1058777</v>
      </c>
      <c r="L326" s="26">
        <v>56038</v>
      </c>
      <c r="M326" s="26" t="s">
        <v>20</v>
      </c>
      <c r="N326" s="26"/>
      <c r="O326" s="39"/>
      <c r="P326" s="1"/>
      <c r="Q326"/>
    </row>
    <row r="327" spans="1:17" x14ac:dyDescent="0.3">
      <c r="A327" s="1">
        <v>333</v>
      </c>
      <c r="B327" s="1">
        <f t="shared" si="5"/>
        <v>322</v>
      </c>
      <c r="C327" s="4" t="s">
        <v>2114</v>
      </c>
      <c r="D327" s="4" t="s">
        <v>2115</v>
      </c>
      <c r="E327">
        <v>4396199</v>
      </c>
      <c r="F327" s="8">
        <v>75324008</v>
      </c>
      <c r="G327" s="4" t="s">
        <v>2116</v>
      </c>
      <c r="H327" s="4" t="s">
        <v>2117</v>
      </c>
      <c r="K327" s="1">
        <v>1055323</v>
      </c>
      <c r="L327" s="1">
        <v>82596</v>
      </c>
      <c r="M327" s="1" t="s">
        <v>16</v>
      </c>
      <c r="O327" s="36"/>
      <c r="P327" s="1"/>
      <c r="Q327"/>
    </row>
    <row r="328" spans="1:17" x14ac:dyDescent="0.3">
      <c r="A328" s="26">
        <v>334</v>
      </c>
      <c r="B328" s="26">
        <f t="shared" si="5"/>
        <v>323</v>
      </c>
      <c r="C328" s="27" t="s">
        <v>208</v>
      </c>
      <c r="D328" s="27" t="s">
        <v>507</v>
      </c>
      <c r="E328" s="28">
        <v>13485512</v>
      </c>
      <c r="F328" s="28"/>
      <c r="G328" s="27" t="s">
        <v>508</v>
      </c>
      <c r="H328" s="27" t="s">
        <v>509</v>
      </c>
      <c r="I328" s="28">
        <v>6274583</v>
      </c>
      <c r="J328" s="28">
        <v>63487423</v>
      </c>
      <c r="K328" s="26">
        <v>1058277</v>
      </c>
      <c r="L328" s="26" t="s">
        <v>31</v>
      </c>
      <c r="M328" s="26" t="s">
        <v>5</v>
      </c>
      <c r="N328" s="26" t="s">
        <v>15</v>
      </c>
      <c r="O328" s="39"/>
      <c r="P328" s="1"/>
      <c r="Q328"/>
    </row>
    <row r="329" spans="1:17" x14ac:dyDescent="0.3">
      <c r="A329" s="1">
        <v>335</v>
      </c>
      <c r="B329" s="1">
        <f t="shared" si="5"/>
        <v>324</v>
      </c>
      <c r="C329" s="4" t="s">
        <v>319</v>
      </c>
      <c r="D329" s="4" t="s">
        <v>1448</v>
      </c>
      <c r="E329">
        <v>5342436</v>
      </c>
      <c r="G329" s="4" t="s">
        <v>1450</v>
      </c>
      <c r="H329" s="4" t="s">
        <v>1449</v>
      </c>
      <c r="I329">
        <v>6235179</v>
      </c>
      <c r="J329">
        <v>72641414</v>
      </c>
      <c r="K329" s="1">
        <v>1058319</v>
      </c>
      <c r="L329" s="1">
        <v>64153</v>
      </c>
      <c r="M329" s="1" t="s">
        <v>11</v>
      </c>
      <c r="N329" s="1" t="s">
        <v>2260</v>
      </c>
      <c r="O329" s="36"/>
      <c r="P329" s="1"/>
      <c r="Q329"/>
    </row>
    <row r="330" spans="1:17" x14ac:dyDescent="0.3">
      <c r="A330" s="1">
        <v>336</v>
      </c>
      <c r="B330" s="1">
        <f t="shared" si="5"/>
        <v>325</v>
      </c>
      <c r="C330" s="4" t="s">
        <v>669</v>
      </c>
      <c r="D330" s="4" t="s">
        <v>2029</v>
      </c>
      <c r="G330" s="4" t="s">
        <v>2030</v>
      </c>
      <c r="H330" s="4" t="s">
        <v>2031</v>
      </c>
      <c r="I330">
        <v>7498440</v>
      </c>
      <c r="J330">
        <v>73693906</v>
      </c>
      <c r="K330" s="1">
        <v>1058185</v>
      </c>
      <c r="L330" s="1">
        <v>8558</v>
      </c>
      <c r="M330" s="1" t="s">
        <v>15</v>
      </c>
      <c r="O330" s="36"/>
      <c r="P330" s="1"/>
      <c r="Q330"/>
    </row>
    <row r="331" spans="1:17" x14ac:dyDescent="0.3">
      <c r="A331" s="1">
        <v>337</v>
      </c>
      <c r="B331" s="1">
        <f t="shared" si="5"/>
        <v>326</v>
      </c>
      <c r="C331" s="4" t="s">
        <v>839</v>
      </c>
      <c r="D331" s="4" t="s">
        <v>532</v>
      </c>
      <c r="E331">
        <v>6270398</v>
      </c>
      <c r="G331" s="4" t="s">
        <v>1084</v>
      </c>
      <c r="H331" s="4" t="s">
        <v>2418</v>
      </c>
      <c r="I331">
        <v>7826403</v>
      </c>
      <c r="J331">
        <v>67831313</v>
      </c>
      <c r="K331" s="1">
        <v>1057967</v>
      </c>
      <c r="L331" s="1">
        <v>8707</v>
      </c>
      <c r="M331" s="1" t="s">
        <v>20</v>
      </c>
      <c r="O331" s="36"/>
      <c r="P331" s="1"/>
      <c r="Q331"/>
    </row>
    <row r="332" spans="1:17" x14ac:dyDescent="0.3">
      <c r="A332" s="26">
        <v>338</v>
      </c>
      <c r="B332" s="26">
        <f t="shared" si="5"/>
        <v>327</v>
      </c>
      <c r="C332" s="27" t="s">
        <v>2992</v>
      </c>
      <c r="D332" s="27" t="s">
        <v>2993</v>
      </c>
      <c r="E332" s="28">
        <v>9630741</v>
      </c>
      <c r="F332" s="28"/>
      <c r="G332" s="27" t="s">
        <v>285</v>
      </c>
      <c r="H332" s="27" t="s">
        <v>1242</v>
      </c>
      <c r="I332" s="28">
        <v>5865444</v>
      </c>
      <c r="J332" s="28">
        <v>67863825</v>
      </c>
      <c r="K332" s="26">
        <v>1058868</v>
      </c>
      <c r="L332" s="26" t="s">
        <v>31</v>
      </c>
      <c r="M332" s="26" t="s">
        <v>10</v>
      </c>
      <c r="N332" s="26"/>
      <c r="O332" s="39"/>
      <c r="P332" s="1"/>
      <c r="Q332"/>
    </row>
    <row r="333" spans="1:17" x14ac:dyDescent="0.3">
      <c r="A333" s="1">
        <v>339</v>
      </c>
      <c r="B333" s="1">
        <f t="shared" si="5"/>
        <v>328</v>
      </c>
      <c r="C333" s="4" t="s">
        <v>2324</v>
      </c>
      <c r="D333" s="4" t="s">
        <v>1267</v>
      </c>
      <c r="E333">
        <v>5385220</v>
      </c>
      <c r="G333" s="4" t="s">
        <v>2325</v>
      </c>
      <c r="H333" s="4" t="s">
        <v>2326</v>
      </c>
      <c r="I333">
        <v>4094282</v>
      </c>
      <c r="J333">
        <v>77333383</v>
      </c>
      <c r="K333" s="1">
        <v>1058594</v>
      </c>
      <c r="L333" s="1">
        <v>56025</v>
      </c>
      <c r="M333" s="1" t="s">
        <v>18</v>
      </c>
      <c r="O333" s="36"/>
      <c r="P333" s="1"/>
      <c r="Q333"/>
    </row>
    <row r="334" spans="1:17" ht="28.8" x14ac:dyDescent="0.3">
      <c r="A334" s="1" t="s">
        <v>3135</v>
      </c>
      <c r="B334" s="1">
        <f t="shared" si="5"/>
        <v>329</v>
      </c>
      <c r="C334" s="4" t="s">
        <v>2233</v>
      </c>
      <c r="D334" s="4" t="s">
        <v>2234</v>
      </c>
      <c r="E334">
        <v>8189083</v>
      </c>
      <c r="G334" s="4" t="s">
        <v>2235</v>
      </c>
      <c r="H334" s="4" t="s">
        <v>1700</v>
      </c>
      <c r="I334">
        <v>4687044</v>
      </c>
      <c r="J334">
        <v>67752174</v>
      </c>
      <c r="K334" s="1">
        <v>1058702</v>
      </c>
      <c r="L334" s="53" t="s">
        <v>2987</v>
      </c>
      <c r="M334" s="1" t="s">
        <v>17</v>
      </c>
      <c r="O334" s="51"/>
      <c r="P334" s="1"/>
      <c r="Q334"/>
    </row>
    <row r="335" spans="1:17" x14ac:dyDescent="0.3">
      <c r="A335" s="1">
        <v>341</v>
      </c>
      <c r="B335" s="1">
        <f t="shared" si="5"/>
        <v>330</v>
      </c>
      <c r="C335" s="4" t="s">
        <v>746</v>
      </c>
      <c r="D335" s="4" t="s">
        <v>747</v>
      </c>
      <c r="E335">
        <v>5422891</v>
      </c>
      <c r="F335">
        <v>77827286</v>
      </c>
      <c r="G335" s="4" t="s">
        <v>209</v>
      </c>
      <c r="H335" s="4" t="s">
        <v>748</v>
      </c>
      <c r="I335">
        <v>6274291</v>
      </c>
      <c r="K335" s="1">
        <v>1058904</v>
      </c>
      <c r="L335" s="1">
        <v>64155</v>
      </c>
      <c r="M335" s="1" t="s">
        <v>7</v>
      </c>
      <c r="O335" s="36"/>
      <c r="P335" s="1"/>
      <c r="Q335"/>
    </row>
    <row r="336" spans="1:17" ht="27" x14ac:dyDescent="0.3">
      <c r="A336" s="26">
        <v>342</v>
      </c>
      <c r="B336" s="26">
        <f t="shared" si="5"/>
        <v>331</v>
      </c>
      <c r="C336" s="34" t="s">
        <v>2978</v>
      </c>
      <c r="D336" s="27" t="s">
        <v>1506</v>
      </c>
      <c r="E336" s="28"/>
      <c r="F336" s="28"/>
      <c r="G336" s="27" t="s">
        <v>1507</v>
      </c>
      <c r="H336" s="27" t="s">
        <v>104</v>
      </c>
      <c r="I336" s="28">
        <v>5843369</v>
      </c>
      <c r="J336" s="28">
        <v>75637552</v>
      </c>
      <c r="K336" s="26">
        <v>1058850</v>
      </c>
      <c r="L336" s="26" t="s">
        <v>31</v>
      </c>
      <c r="M336" s="26" t="s">
        <v>12</v>
      </c>
      <c r="N336" s="26"/>
      <c r="O336" s="39"/>
      <c r="P336" s="1"/>
      <c r="Q336"/>
    </row>
    <row r="337" spans="1:17" x14ac:dyDescent="0.3">
      <c r="A337" s="1">
        <v>343</v>
      </c>
      <c r="B337" s="1">
        <f t="shared" si="5"/>
        <v>332</v>
      </c>
      <c r="C337" s="4" t="s">
        <v>2157</v>
      </c>
      <c r="D337" s="4" t="s">
        <v>787</v>
      </c>
      <c r="E337">
        <v>6231131</v>
      </c>
      <c r="G337" s="4" t="s">
        <v>1195</v>
      </c>
      <c r="H337" s="4" t="s">
        <v>2158</v>
      </c>
      <c r="I337">
        <v>4556620</v>
      </c>
      <c r="J337" s="8">
        <v>71029062</v>
      </c>
      <c r="K337" s="1">
        <v>1057049</v>
      </c>
      <c r="L337" s="1">
        <v>8706</v>
      </c>
      <c r="M337" s="1" t="s">
        <v>16</v>
      </c>
      <c r="O337" s="36"/>
      <c r="P337" s="1"/>
      <c r="Q337"/>
    </row>
    <row r="338" spans="1:17" x14ac:dyDescent="0.3">
      <c r="A338" s="1">
        <v>344</v>
      </c>
      <c r="B338" s="1">
        <f t="shared" si="5"/>
        <v>333</v>
      </c>
      <c r="C338" s="4" t="s">
        <v>1484</v>
      </c>
      <c r="D338" s="4" t="s">
        <v>1485</v>
      </c>
      <c r="G338" s="4" t="s">
        <v>247</v>
      </c>
      <c r="H338" s="4" t="s">
        <v>408</v>
      </c>
      <c r="I338">
        <v>8096256</v>
      </c>
      <c r="J338">
        <v>63507372</v>
      </c>
      <c r="K338" s="1">
        <v>1057343</v>
      </c>
      <c r="L338" s="1">
        <v>56018</v>
      </c>
      <c r="M338" s="1" t="s">
        <v>12</v>
      </c>
      <c r="N338" s="1" t="s">
        <v>19</v>
      </c>
      <c r="O338" s="36"/>
      <c r="P338" s="1"/>
      <c r="Q338"/>
    </row>
    <row r="339" spans="1:17" x14ac:dyDescent="0.3">
      <c r="A339" s="1">
        <v>120</v>
      </c>
      <c r="B339" s="1">
        <f t="shared" si="5"/>
        <v>334</v>
      </c>
      <c r="C339" s="4" t="s">
        <v>679</v>
      </c>
      <c r="D339" s="4" t="s">
        <v>680</v>
      </c>
      <c r="E339">
        <v>7992667</v>
      </c>
      <c r="G339" s="4" t="s">
        <v>457</v>
      </c>
      <c r="H339" s="4" t="s">
        <v>681</v>
      </c>
      <c r="I339">
        <v>9507378</v>
      </c>
      <c r="J339">
        <v>67742354</v>
      </c>
      <c r="K339" s="1">
        <v>1057515</v>
      </c>
      <c r="L339" s="1">
        <v>64166</v>
      </c>
      <c r="M339" s="1" t="s">
        <v>6</v>
      </c>
      <c r="O339" s="36"/>
      <c r="P339" s="1"/>
      <c r="Q339"/>
    </row>
    <row r="340" spans="1:17" x14ac:dyDescent="0.3">
      <c r="A340" s="1">
        <v>347</v>
      </c>
      <c r="B340" s="1">
        <f t="shared" si="5"/>
        <v>335</v>
      </c>
      <c r="C340" s="4" t="s">
        <v>2109</v>
      </c>
      <c r="D340" s="4" t="s">
        <v>2110</v>
      </c>
      <c r="E340">
        <v>3913596</v>
      </c>
      <c r="G340" s="4" t="s">
        <v>2111</v>
      </c>
      <c r="H340" s="4" t="s">
        <v>2112</v>
      </c>
      <c r="I340">
        <v>4611857</v>
      </c>
      <c r="J340">
        <v>71682882</v>
      </c>
      <c r="K340" s="1">
        <v>1059008</v>
      </c>
      <c r="L340" s="1">
        <v>82600</v>
      </c>
      <c r="M340" s="1" t="s">
        <v>16</v>
      </c>
      <c r="O340" s="36"/>
      <c r="P340" s="1"/>
      <c r="Q340"/>
    </row>
    <row r="341" spans="1:17" x14ac:dyDescent="0.3">
      <c r="A341" s="26">
        <v>348</v>
      </c>
      <c r="B341" s="26">
        <f t="shared" si="5"/>
        <v>336</v>
      </c>
      <c r="C341" s="27" t="s">
        <v>2424</v>
      </c>
      <c r="D341" s="27" t="s">
        <v>2425</v>
      </c>
      <c r="E341" s="28">
        <v>6243004</v>
      </c>
      <c r="F341" s="28">
        <v>78103442</v>
      </c>
      <c r="G341" s="27" t="s">
        <v>2426</v>
      </c>
      <c r="H341" s="27" t="s">
        <v>2094</v>
      </c>
      <c r="I341" s="28">
        <v>7805182</v>
      </c>
      <c r="J341" s="28"/>
      <c r="K341" s="26">
        <v>1058156</v>
      </c>
      <c r="L341" s="26">
        <v>56261</v>
      </c>
      <c r="M341" s="26" t="s">
        <v>20</v>
      </c>
      <c r="N341" s="26"/>
      <c r="O341" s="39"/>
      <c r="P341" s="1"/>
      <c r="Q341"/>
    </row>
    <row r="342" spans="1:17" x14ac:dyDescent="0.3">
      <c r="A342" s="26">
        <v>349</v>
      </c>
      <c r="B342" s="26">
        <f t="shared" si="5"/>
        <v>337</v>
      </c>
      <c r="C342" s="27" t="s">
        <v>2005</v>
      </c>
      <c r="D342" s="27" t="s">
        <v>2006</v>
      </c>
      <c r="E342" s="28">
        <v>5723896</v>
      </c>
      <c r="F342" s="28"/>
      <c r="G342" s="27" t="s">
        <v>2007</v>
      </c>
      <c r="H342" s="27" t="s">
        <v>2008</v>
      </c>
      <c r="I342" s="28">
        <v>5737191</v>
      </c>
      <c r="J342" s="28">
        <v>68926148</v>
      </c>
      <c r="K342" s="26">
        <v>1058743</v>
      </c>
      <c r="L342" s="26" t="s">
        <v>31</v>
      </c>
      <c r="M342" s="26" t="s">
        <v>15</v>
      </c>
      <c r="N342" s="26"/>
      <c r="O342" s="39"/>
      <c r="P342" s="1"/>
      <c r="Q342"/>
    </row>
    <row r="343" spans="1:17" ht="27" x14ac:dyDescent="0.3">
      <c r="A343" s="26">
        <v>350</v>
      </c>
      <c r="B343" s="26">
        <f t="shared" si="5"/>
        <v>338</v>
      </c>
      <c r="C343" s="34" t="s">
        <v>2977</v>
      </c>
      <c r="D343" s="27" t="s">
        <v>1470</v>
      </c>
      <c r="E343" s="28"/>
      <c r="F343" s="28"/>
      <c r="G343" s="27" t="s">
        <v>285</v>
      </c>
      <c r="H343" s="27" t="s">
        <v>1471</v>
      </c>
      <c r="I343" s="28">
        <v>10338112</v>
      </c>
      <c r="J343" s="28">
        <v>68766724</v>
      </c>
      <c r="K343" s="26">
        <v>1058957</v>
      </c>
      <c r="L343" s="26">
        <v>56270</v>
      </c>
      <c r="M343" s="26" t="s">
        <v>12</v>
      </c>
      <c r="N343" s="26"/>
      <c r="O343" s="39"/>
      <c r="P343" s="1"/>
      <c r="Q343"/>
    </row>
    <row r="344" spans="1:17" ht="27" x14ac:dyDescent="0.3">
      <c r="A344" s="26">
        <v>351</v>
      </c>
      <c r="B344" s="26">
        <f t="shared" si="5"/>
        <v>339</v>
      </c>
      <c r="C344" s="34" t="s">
        <v>2971</v>
      </c>
      <c r="D344" s="27" t="s">
        <v>138</v>
      </c>
      <c r="E344" s="28"/>
      <c r="F344" s="28"/>
      <c r="G344" s="27" t="s">
        <v>139</v>
      </c>
      <c r="H344" s="27" t="s">
        <v>140</v>
      </c>
      <c r="I344" s="28">
        <v>9850892</v>
      </c>
      <c r="J344" s="28">
        <v>67462639</v>
      </c>
      <c r="K344" s="26">
        <v>1059017</v>
      </c>
      <c r="L344" s="26" t="s">
        <v>31</v>
      </c>
      <c r="M344" s="26" t="s">
        <v>4</v>
      </c>
      <c r="N344" s="26" t="s">
        <v>16</v>
      </c>
      <c r="O344" s="39"/>
      <c r="P344" s="1"/>
      <c r="Q344"/>
    </row>
    <row r="345" spans="1:17" x14ac:dyDescent="0.3">
      <c r="A345" s="26">
        <v>352</v>
      </c>
      <c r="B345" s="26">
        <f t="shared" si="5"/>
        <v>340</v>
      </c>
      <c r="C345" s="27" t="s">
        <v>2098</v>
      </c>
      <c r="D345" s="27" t="s">
        <v>2099</v>
      </c>
      <c r="E345" s="28"/>
      <c r="F345" s="28"/>
      <c r="G345" s="27" t="s">
        <v>2016</v>
      </c>
      <c r="H345" s="27" t="s">
        <v>2100</v>
      </c>
      <c r="I345" s="28">
        <v>4708325</v>
      </c>
      <c r="J345" s="28">
        <v>77607844</v>
      </c>
      <c r="K345" s="30">
        <v>1040212</v>
      </c>
      <c r="L345" s="26">
        <v>56275</v>
      </c>
      <c r="M345" s="26" t="s">
        <v>16</v>
      </c>
      <c r="N345" s="26"/>
      <c r="O345" s="39"/>
      <c r="P345" s="1"/>
      <c r="Q345"/>
    </row>
    <row r="346" spans="1:17" x14ac:dyDescent="0.3">
      <c r="A346" s="26">
        <v>353</v>
      </c>
      <c r="B346" s="26">
        <f t="shared" si="5"/>
        <v>341</v>
      </c>
      <c r="C346" s="27" t="s">
        <v>2233</v>
      </c>
      <c r="D346" s="27" t="s">
        <v>2389</v>
      </c>
      <c r="E346" s="28">
        <v>3943600</v>
      </c>
      <c r="F346" s="28"/>
      <c r="G346" s="27" t="s">
        <v>831</v>
      </c>
      <c r="H346" s="27" t="s">
        <v>2390</v>
      </c>
      <c r="I346" s="28">
        <v>6274296</v>
      </c>
      <c r="J346" s="28">
        <v>77379691</v>
      </c>
      <c r="K346" s="26">
        <v>1059028</v>
      </c>
      <c r="L346" s="26" t="s">
        <v>31</v>
      </c>
      <c r="M346" s="26" t="s">
        <v>19</v>
      </c>
      <c r="N346" s="26"/>
      <c r="O346" s="39"/>
      <c r="P346" s="1"/>
      <c r="Q346"/>
    </row>
    <row r="347" spans="1:17" x14ac:dyDescent="0.3">
      <c r="A347" s="1">
        <v>354</v>
      </c>
      <c r="B347" s="1">
        <f t="shared" si="5"/>
        <v>342</v>
      </c>
      <c r="C347" s="4" t="s">
        <v>1009</v>
      </c>
      <c r="D347" s="4" t="s">
        <v>1452</v>
      </c>
      <c r="G347" s="4" t="s">
        <v>1453</v>
      </c>
      <c r="H347" s="4" t="s">
        <v>1454</v>
      </c>
      <c r="I347">
        <v>7858530</v>
      </c>
      <c r="J347">
        <v>72181419</v>
      </c>
      <c r="K347" s="1">
        <v>1058994</v>
      </c>
      <c r="L347" s="1">
        <v>64178</v>
      </c>
      <c r="M347" s="1" t="s">
        <v>11</v>
      </c>
      <c r="O347" s="36"/>
      <c r="P347" s="1"/>
      <c r="Q347"/>
    </row>
    <row r="348" spans="1:17" x14ac:dyDescent="0.3">
      <c r="A348" s="1">
        <v>355</v>
      </c>
      <c r="B348" s="1">
        <f t="shared" si="5"/>
        <v>343</v>
      </c>
      <c r="C348" s="4" t="s">
        <v>1491</v>
      </c>
      <c r="D348" s="4" t="s">
        <v>104</v>
      </c>
      <c r="E348">
        <v>4689531</v>
      </c>
      <c r="G348" s="4" t="s">
        <v>1492</v>
      </c>
      <c r="H348" s="4" t="s">
        <v>1493</v>
      </c>
      <c r="I348">
        <v>8241073</v>
      </c>
      <c r="J348">
        <v>73372656</v>
      </c>
      <c r="K348" s="1">
        <v>1057710</v>
      </c>
      <c r="L348" s="1">
        <v>64191</v>
      </c>
      <c r="M348" s="1" t="s">
        <v>12</v>
      </c>
      <c r="N348" s="1" t="s">
        <v>2422</v>
      </c>
      <c r="O348" s="36"/>
      <c r="P348" s="1"/>
      <c r="Q348"/>
    </row>
    <row r="349" spans="1:17" x14ac:dyDescent="0.3">
      <c r="A349" s="1">
        <v>356</v>
      </c>
      <c r="B349" s="1">
        <f t="shared" si="5"/>
        <v>344</v>
      </c>
      <c r="C349" s="4" t="s">
        <v>2276</v>
      </c>
      <c r="D349" s="4" t="s">
        <v>2277</v>
      </c>
      <c r="E349">
        <v>8994762</v>
      </c>
      <c r="F349">
        <v>76036339</v>
      </c>
      <c r="G349" s="4" t="s">
        <v>2278</v>
      </c>
      <c r="H349" s="4" t="s">
        <v>2279</v>
      </c>
      <c r="K349" s="1">
        <v>1058235</v>
      </c>
      <c r="L349" s="1">
        <v>8670</v>
      </c>
      <c r="M349" s="1" t="s">
        <v>18</v>
      </c>
      <c r="O349" s="40" t="s">
        <v>2988</v>
      </c>
      <c r="P349" s="1"/>
      <c r="Q349"/>
    </row>
    <row r="350" spans="1:17" x14ac:dyDescent="0.3">
      <c r="A350" s="26">
        <v>358</v>
      </c>
      <c r="B350" s="26">
        <f t="shared" si="5"/>
        <v>345</v>
      </c>
      <c r="C350" s="27" t="s">
        <v>1484</v>
      </c>
      <c r="D350" s="27" t="s">
        <v>2408</v>
      </c>
      <c r="E350" s="28">
        <v>5418084</v>
      </c>
      <c r="F350" s="28"/>
      <c r="G350" s="27" t="s">
        <v>232</v>
      </c>
      <c r="H350" s="27" t="s">
        <v>1541</v>
      </c>
      <c r="I350" s="28">
        <v>5893060</v>
      </c>
      <c r="J350" s="31">
        <v>72170365</v>
      </c>
      <c r="K350" s="26">
        <v>1058911</v>
      </c>
      <c r="L350" s="26">
        <v>56288</v>
      </c>
      <c r="M350" s="26" t="s">
        <v>20</v>
      </c>
      <c r="N350" s="26"/>
      <c r="O350" s="39"/>
      <c r="P350" s="1"/>
      <c r="Q350"/>
    </row>
    <row r="351" spans="1:17" x14ac:dyDescent="0.3">
      <c r="A351" s="26">
        <v>360</v>
      </c>
      <c r="B351" s="26">
        <f t="shared" si="5"/>
        <v>346</v>
      </c>
      <c r="C351" s="27" t="s">
        <v>1082</v>
      </c>
      <c r="D351" s="27" t="s">
        <v>1681</v>
      </c>
      <c r="E351" s="28">
        <v>7173022</v>
      </c>
      <c r="F351" s="28"/>
      <c r="G351" s="27" t="s">
        <v>1682</v>
      </c>
      <c r="H351" s="27" t="s">
        <v>1683</v>
      </c>
      <c r="I351" s="28">
        <v>9636764</v>
      </c>
      <c r="J351" s="28">
        <v>76649030</v>
      </c>
      <c r="K351" s="26">
        <v>1058519</v>
      </c>
      <c r="L351" s="26" t="s">
        <v>31</v>
      </c>
      <c r="M351" s="26" t="s">
        <v>14</v>
      </c>
      <c r="N351" s="26" t="s">
        <v>18</v>
      </c>
      <c r="O351" s="39"/>
      <c r="P351" s="1"/>
      <c r="Q351"/>
    </row>
    <row r="352" spans="1:17" x14ac:dyDescent="0.3">
      <c r="A352" s="1">
        <v>362</v>
      </c>
      <c r="B352" s="1">
        <f t="shared" si="5"/>
        <v>347</v>
      </c>
      <c r="C352" s="4" t="s">
        <v>514</v>
      </c>
      <c r="D352" s="4" t="s">
        <v>515</v>
      </c>
      <c r="G352" s="4" t="s">
        <v>516</v>
      </c>
      <c r="H352" s="4" t="s">
        <v>517</v>
      </c>
      <c r="I352">
        <v>6349771</v>
      </c>
      <c r="J352">
        <v>63468746</v>
      </c>
      <c r="K352" s="1">
        <v>1057482</v>
      </c>
      <c r="L352" s="1">
        <v>64196</v>
      </c>
      <c r="M352" s="1" t="s">
        <v>5</v>
      </c>
      <c r="O352" s="40" t="s">
        <v>2988</v>
      </c>
      <c r="P352" s="1"/>
      <c r="Q352"/>
    </row>
    <row r="353" spans="1:17" x14ac:dyDescent="0.3">
      <c r="A353" s="1">
        <v>363</v>
      </c>
      <c r="B353" s="1">
        <f t="shared" si="5"/>
        <v>348</v>
      </c>
      <c r="C353" s="4" t="s">
        <v>141</v>
      </c>
      <c r="D353" s="4" t="s">
        <v>142</v>
      </c>
      <c r="E353">
        <v>8067804</v>
      </c>
      <c r="F353">
        <v>75401156</v>
      </c>
      <c r="G353" s="4" t="s">
        <v>87</v>
      </c>
      <c r="H353" s="4" t="s">
        <v>143</v>
      </c>
      <c r="K353" s="1">
        <v>1059000</v>
      </c>
      <c r="L353" s="1">
        <v>56012</v>
      </c>
      <c r="M353" s="1" t="s">
        <v>4</v>
      </c>
      <c r="N353" s="1" t="s">
        <v>552</v>
      </c>
      <c r="O353" s="36"/>
      <c r="P353" s="1"/>
      <c r="Q353"/>
    </row>
    <row r="354" spans="1:17" x14ac:dyDescent="0.3">
      <c r="A354" s="26">
        <v>364</v>
      </c>
      <c r="B354" s="26">
        <f t="shared" si="5"/>
        <v>349</v>
      </c>
      <c r="C354" s="27" t="s">
        <v>1067</v>
      </c>
      <c r="D354" s="27" t="s">
        <v>1068</v>
      </c>
      <c r="E354" s="28">
        <v>6211561</v>
      </c>
      <c r="F354" s="28"/>
      <c r="G354" s="27" t="s">
        <v>165</v>
      </c>
      <c r="H354" s="27" t="s">
        <v>63</v>
      </c>
      <c r="I354" s="28">
        <v>7817845</v>
      </c>
      <c r="J354" s="28">
        <v>63402742</v>
      </c>
      <c r="K354" s="26">
        <v>1057352</v>
      </c>
      <c r="L354" s="26">
        <v>56283</v>
      </c>
      <c r="M354" s="26" t="s">
        <v>8</v>
      </c>
      <c r="N354" s="26"/>
      <c r="O354" s="39"/>
      <c r="P354" s="1"/>
      <c r="Q354"/>
    </row>
    <row r="355" spans="1:17" x14ac:dyDescent="0.3">
      <c r="A355" s="26">
        <v>390</v>
      </c>
      <c r="B355" s="26">
        <f t="shared" si="5"/>
        <v>350</v>
      </c>
      <c r="C355" s="27" t="s">
        <v>1283</v>
      </c>
      <c r="D355" s="27" t="s">
        <v>2237</v>
      </c>
      <c r="E355" s="28">
        <v>8175418</v>
      </c>
      <c r="F355" s="28"/>
      <c r="G355" s="27" t="s">
        <v>2238</v>
      </c>
      <c r="H355" s="27" t="s">
        <v>334</v>
      </c>
      <c r="I355" s="28">
        <v>7831288</v>
      </c>
      <c r="J355" s="28"/>
      <c r="K355" s="30">
        <v>1061071</v>
      </c>
      <c r="L355" s="26" t="s">
        <v>31</v>
      </c>
      <c r="M355" s="26" t="s">
        <v>17</v>
      </c>
      <c r="N355" s="26"/>
      <c r="O355" s="39"/>
      <c r="P355" s="1"/>
      <c r="Q355"/>
    </row>
    <row r="356" spans="1:17" x14ac:dyDescent="0.3">
      <c r="A356" s="26">
        <v>366</v>
      </c>
      <c r="B356" s="26">
        <f t="shared" si="5"/>
        <v>351</v>
      </c>
      <c r="C356" s="27" t="s">
        <v>1217</v>
      </c>
      <c r="D356" s="27" t="s">
        <v>1218</v>
      </c>
      <c r="E356" s="28"/>
      <c r="F356" s="28"/>
      <c r="G356" s="27" t="s">
        <v>67</v>
      </c>
      <c r="H356" s="27" t="s">
        <v>1219</v>
      </c>
      <c r="I356" s="28">
        <v>8096128</v>
      </c>
      <c r="J356" s="28">
        <v>75380191</v>
      </c>
      <c r="K356" s="26">
        <v>1058050</v>
      </c>
      <c r="L356" s="26" t="s">
        <v>31</v>
      </c>
      <c r="M356" s="26" t="s">
        <v>9</v>
      </c>
      <c r="N356" s="26"/>
      <c r="O356" s="39"/>
      <c r="P356" s="1"/>
      <c r="Q356"/>
    </row>
    <row r="357" spans="1:17" x14ac:dyDescent="0.3">
      <c r="A357" s="1">
        <v>367</v>
      </c>
      <c r="B357" s="1">
        <f t="shared" si="5"/>
        <v>352</v>
      </c>
      <c r="C357" s="4" t="s">
        <v>1100</v>
      </c>
      <c r="D357" s="4" t="s">
        <v>1630</v>
      </c>
      <c r="E357">
        <v>12558760</v>
      </c>
      <c r="G357" s="4" t="s">
        <v>484</v>
      </c>
      <c r="H357" s="4" t="s">
        <v>1631</v>
      </c>
      <c r="I357">
        <v>8634768</v>
      </c>
      <c r="J357">
        <v>63735049</v>
      </c>
      <c r="K357" s="1">
        <v>1060058</v>
      </c>
      <c r="L357" s="1">
        <v>56004</v>
      </c>
      <c r="M357" s="1" t="s">
        <v>14</v>
      </c>
      <c r="O357" s="36"/>
      <c r="P357" s="1"/>
      <c r="Q357"/>
    </row>
    <row r="358" spans="1:17" x14ac:dyDescent="0.3">
      <c r="A358" s="1">
        <v>368</v>
      </c>
      <c r="B358" s="1">
        <f t="shared" si="5"/>
        <v>353</v>
      </c>
      <c r="C358" s="4" t="s">
        <v>2335</v>
      </c>
      <c r="D358" s="4" t="s">
        <v>2336</v>
      </c>
      <c r="E358">
        <v>8996897</v>
      </c>
      <c r="G358" s="4" t="s">
        <v>2337</v>
      </c>
      <c r="H358" s="4" t="s">
        <v>2338</v>
      </c>
      <c r="I358">
        <v>9624780</v>
      </c>
      <c r="J358">
        <v>75612091</v>
      </c>
      <c r="K358" s="1">
        <v>1057210</v>
      </c>
      <c r="L358" s="1">
        <v>8665</v>
      </c>
      <c r="M358" s="1" t="s">
        <v>18</v>
      </c>
      <c r="O358" s="36"/>
      <c r="P358" s="1"/>
      <c r="Q358"/>
    </row>
    <row r="359" spans="1:17" x14ac:dyDescent="0.3">
      <c r="A359" s="26">
        <v>369</v>
      </c>
      <c r="B359" s="26">
        <f t="shared" si="5"/>
        <v>354</v>
      </c>
      <c r="C359" s="27" t="s">
        <v>1074</v>
      </c>
      <c r="D359" s="27" t="s">
        <v>1661</v>
      </c>
      <c r="E359" s="28"/>
      <c r="F359" s="28"/>
      <c r="G359" s="27" t="s">
        <v>329</v>
      </c>
      <c r="H359" s="27" t="s">
        <v>1662</v>
      </c>
      <c r="I359" s="28">
        <v>6270516</v>
      </c>
      <c r="J359" s="31">
        <v>68868693</v>
      </c>
      <c r="K359" s="26">
        <v>1060056</v>
      </c>
      <c r="L359" s="26">
        <v>82648</v>
      </c>
      <c r="M359" s="26" t="s">
        <v>14</v>
      </c>
      <c r="N359" s="26"/>
      <c r="O359" s="39"/>
      <c r="P359" s="1"/>
      <c r="Q359"/>
    </row>
    <row r="360" spans="1:17" x14ac:dyDescent="0.3">
      <c r="A360" s="1">
        <v>370</v>
      </c>
      <c r="B360" s="1">
        <f t="shared" ref="B360:B423" si="6">ROW(B355)</f>
        <v>355</v>
      </c>
      <c r="C360" s="4" t="s">
        <v>1620</v>
      </c>
      <c r="D360" s="4" t="s">
        <v>1621</v>
      </c>
      <c r="E360">
        <v>4663602</v>
      </c>
      <c r="F360">
        <v>63791865</v>
      </c>
      <c r="G360" s="4" t="s">
        <v>1622</v>
      </c>
      <c r="H360" s="4" t="s">
        <v>1623</v>
      </c>
      <c r="K360" s="1">
        <v>1059180</v>
      </c>
      <c r="L360" s="1">
        <v>56019</v>
      </c>
      <c r="M360" s="1" t="s">
        <v>14</v>
      </c>
      <c r="N360" s="1" t="s">
        <v>16</v>
      </c>
      <c r="O360" s="36"/>
      <c r="P360" s="1"/>
      <c r="Q360" s="1">
        <f>17117+9638</f>
        <v>26755</v>
      </c>
    </row>
    <row r="361" spans="1:17" x14ac:dyDescent="0.3">
      <c r="A361" s="1">
        <v>372</v>
      </c>
      <c r="B361" s="1">
        <f t="shared" si="6"/>
        <v>356</v>
      </c>
      <c r="C361" s="4" t="s">
        <v>1545</v>
      </c>
      <c r="D361" s="4" t="s">
        <v>1546</v>
      </c>
      <c r="G361" s="4" t="s">
        <v>105</v>
      </c>
      <c r="H361" s="4" t="s">
        <v>1547</v>
      </c>
      <c r="I361">
        <v>3881213</v>
      </c>
      <c r="J361">
        <v>75628510</v>
      </c>
      <c r="K361" s="1">
        <v>1059161</v>
      </c>
      <c r="L361" s="1">
        <v>56003</v>
      </c>
      <c r="M361" s="1" t="s">
        <v>13</v>
      </c>
      <c r="O361" s="36"/>
      <c r="P361" s="1"/>
      <c r="Q361"/>
    </row>
    <row r="362" spans="1:17" x14ac:dyDescent="0.3">
      <c r="A362" s="26">
        <v>373</v>
      </c>
      <c r="B362" s="26">
        <f t="shared" si="6"/>
        <v>357</v>
      </c>
      <c r="C362" s="27" t="s">
        <v>179</v>
      </c>
      <c r="D362" s="27" t="s">
        <v>1599</v>
      </c>
      <c r="E362" s="28"/>
      <c r="F362" s="28"/>
      <c r="G362" s="27" t="s">
        <v>1088</v>
      </c>
      <c r="H362" s="27" t="s">
        <v>1600</v>
      </c>
      <c r="I362" s="28">
        <v>4738831</v>
      </c>
      <c r="J362" s="28">
        <v>64463916</v>
      </c>
      <c r="K362" s="26">
        <v>1060064</v>
      </c>
      <c r="L362" s="26">
        <v>56044</v>
      </c>
      <c r="M362" s="26" t="s">
        <v>13</v>
      </c>
      <c r="N362" s="26"/>
      <c r="O362" s="39"/>
      <c r="P362" s="1"/>
      <c r="Q362"/>
    </row>
    <row r="363" spans="1:17" x14ac:dyDescent="0.3">
      <c r="A363" s="1">
        <v>374</v>
      </c>
      <c r="B363" s="1">
        <f t="shared" si="6"/>
        <v>358</v>
      </c>
      <c r="C363" s="4" t="s">
        <v>2346</v>
      </c>
      <c r="D363" s="4" t="s">
        <v>2347</v>
      </c>
      <c r="E363">
        <v>6246057</v>
      </c>
      <c r="G363" s="4" t="s">
        <v>1034</v>
      </c>
      <c r="H363" s="4" t="s">
        <v>2348</v>
      </c>
      <c r="I363">
        <v>8963119</v>
      </c>
      <c r="J363" s="8">
        <v>78522015</v>
      </c>
      <c r="K363" s="1">
        <v>1059881</v>
      </c>
      <c r="L363" s="1">
        <v>56005</v>
      </c>
      <c r="M363" s="1" t="s">
        <v>18</v>
      </c>
      <c r="O363" s="36"/>
      <c r="P363" s="1"/>
      <c r="Q363"/>
    </row>
    <row r="364" spans="1:17" x14ac:dyDescent="0.3">
      <c r="A364" s="1">
        <v>376</v>
      </c>
      <c r="B364" s="1">
        <f t="shared" si="6"/>
        <v>359</v>
      </c>
      <c r="C364" s="4" t="s">
        <v>429</v>
      </c>
      <c r="D364" s="4" t="s">
        <v>430</v>
      </c>
      <c r="G364" s="4" t="s">
        <v>431</v>
      </c>
      <c r="H364" s="4" t="s">
        <v>432</v>
      </c>
      <c r="I364">
        <v>6287517</v>
      </c>
      <c r="J364">
        <v>72414772</v>
      </c>
      <c r="K364" s="1">
        <v>1060087</v>
      </c>
      <c r="L364" s="1">
        <v>56006</v>
      </c>
      <c r="M364" s="1" t="s">
        <v>5</v>
      </c>
      <c r="O364" s="36"/>
      <c r="P364" s="1"/>
      <c r="Q364"/>
    </row>
    <row r="365" spans="1:17" x14ac:dyDescent="0.3">
      <c r="A365" s="26">
        <v>377</v>
      </c>
      <c r="B365" s="26">
        <f t="shared" si="6"/>
        <v>360</v>
      </c>
      <c r="C365" s="27" t="s">
        <v>2119</v>
      </c>
      <c r="D365" s="27" t="s">
        <v>104</v>
      </c>
      <c r="E365" s="28">
        <v>1318199</v>
      </c>
      <c r="F365" s="28">
        <v>63332814</v>
      </c>
      <c r="G365" s="27" t="s">
        <v>1492</v>
      </c>
      <c r="H365" s="27" t="s">
        <v>2120</v>
      </c>
      <c r="I365" s="28">
        <v>5855577</v>
      </c>
      <c r="J365" s="28"/>
      <c r="K365" s="26">
        <v>1059658</v>
      </c>
      <c r="L365" s="26" t="s">
        <v>31</v>
      </c>
      <c r="M365" s="26" t="s">
        <v>16</v>
      </c>
      <c r="N365" s="26"/>
      <c r="O365" s="39"/>
      <c r="P365" s="1"/>
      <c r="Q365"/>
    </row>
    <row r="366" spans="1:17" x14ac:dyDescent="0.3">
      <c r="A366" s="1">
        <v>152</v>
      </c>
      <c r="B366" s="1">
        <f t="shared" si="6"/>
        <v>361</v>
      </c>
      <c r="C366" s="4" t="s">
        <v>85</v>
      </c>
      <c r="D366" s="4" t="s">
        <v>683</v>
      </c>
      <c r="E366">
        <v>7579966</v>
      </c>
      <c r="G366" s="4" t="s">
        <v>684</v>
      </c>
      <c r="H366" s="4" t="s">
        <v>685</v>
      </c>
      <c r="I366">
        <v>10377824</v>
      </c>
      <c r="J366">
        <v>62173041</v>
      </c>
      <c r="K366" s="1">
        <v>1057272</v>
      </c>
      <c r="L366" s="1">
        <v>64184</v>
      </c>
      <c r="M366" s="1" t="s">
        <v>6</v>
      </c>
      <c r="O366" s="36"/>
      <c r="P366" s="1"/>
      <c r="Q366"/>
    </row>
    <row r="367" spans="1:17" ht="43.2" x14ac:dyDescent="0.3">
      <c r="A367" s="1">
        <v>379</v>
      </c>
      <c r="B367" s="1">
        <f t="shared" si="6"/>
        <v>362</v>
      </c>
      <c r="C367" s="4" t="s">
        <v>1357</v>
      </c>
      <c r="D367" s="4" t="s">
        <v>222</v>
      </c>
      <c r="E367">
        <v>8195093</v>
      </c>
      <c r="G367" s="4" t="s">
        <v>1358</v>
      </c>
      <c r="H367" s="4" t="s">
        <v>1359</v>
      </c>
      <c r="I367">
        <v>7817844</v>
      </c>
      <c r="J367">
        <v>71688188</v>
      </c>
      <c r="K367" s="1">
        <v>1059345</v>
      </c>
      <c r="L367" s="53" t="s">
        <v>2984</v>
      </c>
      <c r="M367" s="1" t="s">
        <v>11</v>
      </c>
      <c r="N367" s="1" t="s">
        <v>1361</v>
      </c>
      <c r="O367" s="36"/>
      <c r="P367" s="1"/>
      <c r="Q367"/>
    </row>
    <row r="368" spans="1:17" x14ac:dyDescent="0.3">
      <c r="A368" s="1">
        <v>380</v>
      </c>
      <c r="B368" s="1">
        <f t="shared" si="6"/>
        <v>363</v>
      </c>
      <c r="C368" s="4" t="s">
        <v>227</v>
      </c>
      <c r="D368" s="4" t="s">
        <v>1690</v>
      </c>
      <c r="G368" s="4" t="s">
        <v>1691</v>
      </c>
      <c r="H368" s="4" t="s">
        <v>279</v>
      </c>
      <c r="I368">
        <v>4584752</v>
      </c>
      <c r="J368">
        <v>63511234</v>
      </c>
      <c r="K368" s="1">
        <v>1060109</v>
      </c>
      <c r="L368" s="1">
        <v>56027</v>
      </c>
      <c r="M368" s="1" t="s">
        <v>14</v>
      </c>
      <c r="O368" s="36"/>
      <c r="P368" s="1"/>
      <c r="Q368"/>
    </row>
    <row r="369" spans="1:17" x14ac:dyDescent="0.3">
      <c r="A369" s="26">
        <v>382</v>
      </c>
      <c r="B369" s="26">
        <f t="shared" si="6"/>
        <v>364</v>
      </c>
      <c r="C369" s="27" t="s">
        <v>2369</v>
      </c>
      <c r="D369" s="27" t="s">
        <v>293</v>
      </c>
      <c r="E369" s="28"/>
      <c r="F369" s="28"/>
      <c r="G369" s="27" t="s">
        <v>2370</v>
      </c>
      <c r="H369" s="27" t="s">
        <v>30</v>
      </c>
      <c r="I369" s="28">
        <v>6200098</v>
      </c>
      <c r="J369" s="28">
        <v>74508797</v>
      </c>
      <c r="K369" s="26" t="s">
        <v>2371</v>
      </c>
      <c r="L369" s="26">
        <v>56296</v>
      </c>
      <c r="M369" s="26" t="s">
        <v>19</v>
      </c>
      <c r="N369" s="26"/>
      <c r="O369" s="39"/>
      <c r="P369" s="1"/>
      <c r="Q369"/>
    </row>
    <row r="370" spans="1:17" x14ac:dyDescent="0.3">
      <c r="A370" s="1">
        <v>383</v>
      </c>
      <c r="B370" s="1">
        <f t="shared" si="6"/>
        <v>365</v>
      </c>
      <c r="C370" s="4" t="s">
        <v>1078</v>
      </c>
      <c r="D370" s="4" t="s">
        <v>1079</v>
      </c>
      <c r="E370">
        <v>6210745</v>
      </c>
      <c r="G370" s="4" t="s">
        <v>997</v>
      </c>
      <c r="H370" s="4" t="s">
        <v>1080</v>
      </c>
      <c r="I370">
        <v>9583393</v>
      </c>
      <c r="J370">
        <v>69277787</v>
      </c>
      <c r="K370" s="1">
        <v>1059202</v>
      </c>
      <c r="L370" s="1">
        <v>8556</v>
      </c>
      <c r="M370" s="1" t="s">
        <v>8</v>
      </c>
      <c r="O370" s="36" t="s">
        <v>2949</v>
      </c>
      <c r="P370" s="1"/>
      <c r="Q370"/>
    </row>
    <row r="371" spans="1:17" x14ac:dyDescent="0.3">
      <c r="A371" s="1">
        <v>321</v>
      </c>
      <c r="B371" s="1">
        <f t="shared" si="6"/>
        <v>366</v>
      </c>
      <c r="C371" s="4" t="s">
        <v>720</v>
      </c>
      <c r="D371" s="4" t="s">
        <v>2240</v>
      </c>
      <c r="E371">
        <v>7832488</v>
      </c>
      <c r="F371">
        <v>78566516</v>
      </c>
      <c r="G371" s="4" t="s">
        <v>2238</v>
      </c>
      <c r="H371" s="4" t="s">
        <v>2241</v>
      </c>
      <c r="I371">
        <v>7832488</v>
      </c>
      <c r="K371" s="1">
        <v>1058618</v>
      </c>
      <c r="L371" s="1">
        <v>82593</v>
      </c>
      <c r="M371" s="1" t="s">
        <v>17</v>
      </c>
      <c r="O371" s="36"/>
      <c r="P371" s="1"/>
      <c r="Q371"/>
    </row>
    <row r="372" spans="1:17" x14ac:dyDescent="0.3">
      <c r="A372" s="1">
        <v>385</v>
      </c>
      <c r="B372" s="1">
        <f t="shared" si="6"/>
        <v>367</v>
      </c>
      <c r="C372" s="4" t="s">
        <v>1620</v>
      </c>
      <c r="D372" s="4" t="s">
        <v>1664</v>
      </c>
      <c r="G372" s="4" t="s">
        <v>1666</v>
      </c>
      <c r="H372" s="4" t="s">
        <v>1665</v>
      </c>
      <c r="I372">
        <v>6323044</v>
      </c>
      <c r="J372">
        <v>75373940</v>
      </c>
      <c r="K372" s="1">
        <v>1057917</v>
      </c>
      <c r="L372" s="1">
        <v>64187</v>
      </c>
      <c r="M372" s="1" t="s">
        <v>14</v>
      </c>
      <c r="N372" s="1" t="s">
        <v>16</v>
      </c>
      <c r="O372" s="36"/>
      <c r="P372" s="1"/>
      <c r="Q372"/>
    </row>
    <row r="373" spans="1:17" x14ac:dyDescent="0.3">
      <c r="A373" s="26">
        <v>386</v>
      </c>
      <c r="B373" s="26">
        <f t="shared" si="6"/>
        <v>368</v>
      </c>
      <c r="C373" s="27" t="s">
        <v>2014</v>
      </c>
      <c r="D373" s="27" t="s">
        <v>2015</v>
      </c>
      <c r="E373" s="28">
        <v>3911765</v>
      </c>
      <c r="F373" s="28"/>
      <c r="G373" s="27" t="s">
        <v>2016</v>
      </c>
      <c r="H373" s="27" t="s">
        <v>2017</v>
      </c>
      <c r="I373" s="28">
        <v>3948396</v>
      </c>
      <c r="J373" s="31">
        <v>75011851</v>
      </c>
      <c r="K373" s="26">
        <v>1060133</v>
      </c>
      <c r="L373" s="26" t="s">
        <v>31</v>
      </c>
      <c r="M373" s="26" t="s">
        <v>15</v>
      </c>
      <c r="N373" s="26"/>
      <c r="O373" s="39"/>
      <c r="P373" s="1"/>
      <c r="Q373"/>
    </row>
    <row r="374" spans="1:17" x14ac:dyDescent="0.3">
      <c r="A374" s="26">
        <v>387</v>
      </c>
      <c r="B374" s="26">
        <f t="shared" si="6"/>
        <v>369</v>
      </c>
      <c r="C374" s="27" t="s">
        <v>541</v>
      </c>
      <c r="D374" s="27" t="s">
        <v>545</v>
      </c>
      <c r="E374" s="28"/>
      <c r="F374" s="28"/>
      <c r="G374" s="27" t="s">
        <v>541</v>
      </c>
      <c r="H374" s="27" t="s">
        <v>546</v>
      </c>
      <c r="I374" s="28" t="s">
        <v>540</v>
      </c>
      <c r="J374" s="28"/>
      <c r="K374" s="26">
        <v>1060132</v>
      </c>
      <c r="L374" s="26" t="s">
        <v>31</v>
      </c>
      <c r="M374" s="26" t="s">
        <v>3</v>
      </c>
      <c r="N374" s="27" t="s">
        <v>44</v>
      </c>
      <c r="O374" s="39"/>
      <c r="P374" s="1"/>
      <c r="Q374"/>
    </row>
    <row r="375" spans="1:17" x14ac:dyDescent="0.3">
      <c r="A375" s="26">
        <v>388</v>
      </c>
      <c r="B375" s="26">
        <f t="shared" si="6"/>
        <v>370</v>
      </c>
      <c r="C375" s="27" t="s">
        <v>1693</v>
      </c>
      <c r="D375" s="27" t="s">
        <v>1694</v>
      </c>
      <c r="E375" s="28">
        <v>6386218</v>
      </c>
      <c r="F375" s="28">
        <v>63391224</v>
      </c>
      <c r="G375" s="27" t="s">
        <v>1350</v>
      </c>
      <c r="H375" s="27" t="s">
        <v>1695</v>
      </c>
      <c r="I375" s="28">
        <v>8082105</v>
      </c>
      <c r="J375" s="28"/>
      <c r="K375" s="26">
        <v>1060134</v>
      </c>
      <c r="L375" s="26">
        <v>82633</v>
      </c>
      <c r="M375" s="26" t="s">
        <v>14</v>
      </c>
      <c r="N375" s="26" t="s">
        <v>16</v>
      </c>
      <c r="O375" s="39"/>
      <c r="P375" s="1"/>
      <c r="Q375"/>
    </row>
    <row r="376" spans="1:17" x14ac:dyDescent="0.3">
      <c r="A376" s="26">
        <v>389</v>
      </c>
      <c r="B376" s="26">
        <f t="shared" si="6"/>
        <v>371</v>
      </c>
      <c r="C376" s="27" t="s">
        <v>208</v>
      </c>
      <c r="D376" s="27" t="s">
        <v>2313</v>
      </c>
      <c r="E376" s="28">
        <v>4713885</v>
      </c>
      <c r="F376" s="28"/>
      <c r="G376" s="27" t="s">
        <v>457</v>
      </c>
      <c r="H376" s="27" t="s">
        <v>100</v>
      </c>
      <c r="I376" s="28">
        <v>5826189</v>
      </c>
      <c r="J376" s="28">
        <v>72174713</v>
      </c>
      <c r="K376" s="26">
        <v>1059595</v>
      </c>
      <c r="L376" s="26" t="s">
        <v>31</v>
      </c>
      <c r="M376" s="26" t="s">
        <v>18</v>
      </c>
      <c r="N376" s="26"/>
      <c r="O376" s="39"/>
      <c r="P376" s="1"/>
      <c r="Q376"/>
    </row>
    <row r="377" spans="1:17" x14ac:dyDescent="0.3">
      <c r="A377" s="26">
        <v>435</v>
      </c>
      <c r="B377" s="26">
        <f t="shared" si="6"/>
        <v>372</v>
      </c>
      <c r="C377" s="27" t="s">
        <v>971</v>
      </c>
      <c r="D377" s="27" t="s">
        <v>2243</v>
      </c>
      <c r="E377" s="28">
        <v>6358768</v>
      </c>
      <c r="F377" s="28"/>
      <c r="G377" s="27" t="s">
        <v>2244</v>
      </c>
      <c r="H377" s="27" t="s">
        <v>2245</v>
      </c>
      <c r="I377" s="28">
        <v>5841745</v>
      </c>
      <c r="J377" s="28">
        <v>77310319</v>
      </c>
      <c r="K377" s="26">
        <v>1061805</v>
      </c>
      <c r="L377" s="26">
        <v>56263</v>
      </c>
      <c r="M377" s="26" t="s">
        <v>17</v>
      </c>
      <c r="N377" s="26"/>
      <c r="O377" s="39"/>
      <c r="P377" s="1"/>
      <c r="Q377"/>
    </row>
    <row r="378" spans="1:17" x14ac:dyDescent="0.3">
      <c r="A378" s="26">
        <v>129</v>
      </c>
      <c r="B378" s="26">
        <f t="shared" si="6"/>
        <v>373</v>
      </c>
      <c r="C378" s="27" t="s">
        <v>1516</v>
      </c>
      <c r="D378" s="27" t="s">
        <v>1517</v>
      </c>
      <c r="E378" s="28"/>
      <c r="F378" s="28"/>
      <c r="G378" s="27" t="s">
        <v>1518</v>
      </c>
      <c r="H378" s="27" t="s">
        <v>1519</v>
      </c>
      <c r="I378" s="28">
        <v>7665168</v>
      </c>
      <c r="J378" s="28">
        <v>78158601</v>
      </c>
      <c r="K378" s="26">
        <v>1057502</v>
      </c>
      <c r="L378" s="26">
        <v>56104</v>
      </c>
      <c r="M378" s="26" t="s">
        <v>12</v>
      </c>
      <c r="N378" s="26"/>
      <c r="O378" s="39"/>
      <c r="P378" s="1"/>
      <c r="Q378"/>
    </row>
    <row r="379" spans="1:17" x14ac:dyDescent="0.3">
      <c r="A379" s="26">
        <v>392</v>
      </c>
      <c r="B379" s="26">
        <f t="shared" ref="B379:B389" si="7">ROW(B374)</f>
        <v>374</v>
      </c>
      <c r="C379" s="27" t="s">
        <v>331</v>
      </c>
      <c r="D379" s="27" t="s">
        <v>332</v>
      </c>
      <c r="E379" s="28">
        <v>4571692</v>
      </c>
      <c r="F379" s="28"/>
      <c r="G379" s="27" t="s">
        <v>333</v>
      </c>
      <c r="H379" s="27" t="s">
        <v>334</v>
      </c>
      <c r="I379" s="28">
        <v>6289191</v>
      </c>
      <c r="J379" s="28">
        <v>68768844</v>
      </c>
      <c r="K379" s="26">
        <v>1061055</v>
      </c>
      <c r="L379" s="26">
        <v>56257</v>
      </c>
      <c r="M379" s="26" t="s">
        <v>3</v>
      </c>
      <c r="N379" s="26"/>
      <c r="O379" s="39"/>
      <c r="P379" s="1"/>
      <c r="Q379"/>
    </row>
    <row r="380" spans="1:17" ht="27" x14ac:dyDescent="0.3">
      <c r="A380" s="26">
        <v>393</v>
      </c>
      <c r="B380" s="26">
        <f t="shared" si="7"/>
        <v>375</v>
      </c>
      <c r="C380" s="27" t="s">
        <v>2150</v>
      </c>
      <c r="D380" s="27" t="s">
        <v>2150</v>
      </c>
      <c r="E380" s="28"/>
      <c r="F380" s="28"/>
      <c r="G380" s="34" t="s">
        <v>2963</v>
      </c>
      <c r="H380" s="27" t="s">
        <v>1674</v>
      </c>
      <c r="I380" s="28">
        <v>8968701</v>
      </c>
      <c r="J380" s="28">
        <v>73053112</v>
      </c>
      <c r="K380" s="32">
        <v>1060614</v>
      </c>
      <c r="L380" s="26" t="s">
        <v>31</v>
      </c>
      <c r="M380" s="26" t="s">
        <v>14</v>
      </c>
      <c r="N380" s="26"/>
      <c r="O380" s="39"/>
      <c r="P380" s="1"/>
      <c r="Q380"/>
    </row>
    <row r="381" spans="1:17" x14ac:dyDescent="0.3">
      <c r="A381" s="26">
        <v>394</v>
      </c>
      <c r="B381" s="26">
        <f t="shared" si="7"/>
        <v>376</v>
      </c>
      <c r="C381" s="27" t="s">
        <v>2073</v>
      </c>
      <c r="D381" s="27" t="s">
        <v>2074</v>
      </c>
      <c r="E381" s="28">
        <v>3883674</v>
      </c>
      <c r="F381" s="28"/>
      <c r="G381" s="27" t="s">
        <v>2075</v>
      </c>
      <c r="H381" s="27" t="s">
        <v>2076</v>
      </c>
      <c r="I381" s="28">
        <v>4649950</v>
      </c>
      <c r="J381" s="28">
        <v>76848020</v>
      </c>
      <c r="K381" s="26">
        <v>1058785</v>
      </c>
      <c r="L381" s="26" t="s">
        <v>31</v>
      </c>
      <c r="M381" s="26" t="s">
        <v>15</v>
      </c>
      <c r="N381" s="26"/>
      <c r="O381" s="39"/>
      <c r="P381" s="1"/>
      <c r="Q381"/>
    </row>
    <row r="382" spans="1:17" x14ac:dyDescent="0.3">
      <c r="A382" s="1">
        <v>395</v>
      </c>
      <c r="B382" s="1">
        <f t="shared" si="7"/>
        <v>377</v>
      </c>
      <c r="C382" s="4" t="s">
        <v>1141</v>
      </c>
      <c r="D382" s="4" t="s">
        <v>1142</v>
      </c>
      <c r="E382">
        <v>6314372</v>
      </c>
      <c r="F382">
        <v>69194481</v>
      </c>
      <c r="G382" s="4" t="s">
        <v>1143</v>
      </c>
      <c r="H382" s="4" t="s">
        <v>1144</v>
      </c>
      <c r="I382">
        <v>8081662</v>
      </c>
      <c r="J382" s="8">
        <v>77019901</v>
      </c>
      <c r="K382" s="1">
        <v>1057656</v>
      </c>
      <c r="L382" s="1">
        <v>82559</v>
      </c>
      <c r="M382" s="1" t="s">
        <v>9</v>
      </c>
      <c r="O382" s="36"/>
      <c r="P382" s="1"/>
      <c r="Q382"/>
    </row>
    <row r="383" spans="1:17" x14ac:dyDescent="0.3">
      <c r="A383" s="1">
        <v>396</v>
      </c>
      <c r="B383" s="1">
        <f t="shared" si="7"/>
        <v>378</v>
      </c>
      <c r="C383" s="4" t="s">
        <v>227</v>
      </c>
      <c r="D383" s="4" t="s">
        <v>61</v>
      </c>
      <c r="E383">
        <v>8870880</v>
      </c>
      <c r="G383" s="4" t="s">
        <v>228</v>
      </c>
      <c r="H383" s="4" t="s">
        <v>229</v>
      </c>
      <c r="I383">
        <v>9626232</v>
      </c>
      <c r="J383">
        <v>74649121</v>
      </c>
      <c r="K383" s="59">
        <v>1056642</v>
      </c>
      <c r="L383" s="1">
        <v>56007</v>
      </c>
      <c r="M383" s="1" t="s">
        <v>3</v>
      </c>
      <c r="O383" s="42">
        <v>3</v>
      </c>
      <c r="P383" s="1"/>
      <c r="Q383"/>
    </row>
    <row r="384" spans="1:17" x14ac:dyDescent="0.3">
      <c r="A384" s="1">
        <v>397</v>
      </c>
      <c r="B384" s="1">
        <f t="shared" si="7"/>
        <v>379</v>
      </c>
      <c r="C384" s="4" t="s">
        <v>234</v>
      </c>
      <c r="D384" s="4" t="s">
        <v>477</v>
      </c>
      <c r="E384">
        <v>6296955</v>
      </c>
      <c r="G384" s="4" t="s">
        <v>478</v>
      </c>
      <c r="H384" s="4" t="s">
        <v>479</v>
      </c>
      <c r="I384">
        <v>5495442</v>
      </c>
      <c r="J384">
        <v>65886282</v>
      </c>
      <c r="K384" s="1">
        <v>1059146</v>
      </c>
      <c r="L384" s="1">
        <v>8564</v>
      </c>
      <c r="M384" s="1" t="s">
        <v>5</v>
      </c>
      <c r="O384" s="36"/>
      <c r="P384" s="1"/>
      <c r="Q384"/>
    </row>
    <row r="385" spans="1:17" x14ac:dyDescent="0.3">
      <c r="A385" s="26">
        <v>398</v>
      </c>
      <c r="B385" s="26">
        <f t="shared" si="7"/>
        <v>380</v>
      </c>
      <c r="C385" s="27" t="s">
        <v>1685</v>
      </c>
      <c r="D385" s="27" t="s">
        <v>1686</v>
      </c>
      <c r="E385" s="28">
        <v>8096015</v>
      </c>
      <c r="F385" s="28"/>
      <c r="G385" s="27" t="s">
        <v>1687</v>
      </c>
      <c r="H385" s="27" t="s">
        <v>1688</v>
      </c>
      <c r="I385" s="31">
        <v>9584579</v>
      </c>
      <c r="J385" s="28">
        <v>67290597</v>
      </c>
      <c r="K385" s="26">
        <v>1058888</v>
      </c>
      <c r="L385" s="26" t="s">
        <v>31</v>
      </c>
      <c r="M385" s="26" t="s">
        <v>14</v>
      </c>
      <c r="N385" s="26"/>
      <c r="O385" s="39"/>
      <c r="P385" s="1"/>
      <c r="Q385"/>
    </row>
    <row r="386" spans="1:17" ht="15.6" customHeight="1" x14ac:dyDescent="0.3">
      <c r="A386" s="1">
        <v>399</v>
      </c>
      <c r="B386" s="1">
        <f t="shared" si="7"/>
        <v>381</v>
      </c>
      <c r="C386" s="4" t="s">
        <v>710</v>
      </c>
      <c r="D386" s="4" t="s">
        <v>711</v>
      </c>
      <c r="E386">
        <v>1880698</v>
      </c>
      <c r="F386">
        <v>72129070</v>
      </c>
      <c r="G386" s="4" t="s">
        <v>712</v>
      </c>
      <c r="H386" s="4" t="s">
        <v>713</v>
      </c>
      <c r="I386">
        <v>4611635</v>
      </c>
      <c r="K386" s="1">
        <v>1061106</v>
      </c>
      <c r="L386" s="1">
        <v>64156</v>
      </c>
      <c r="M386" s="1" t="s">
        <v>7</v>
      </c>
      <c r="N386" s="1" t="s">
        <v>14</v>
      </c>
      <c r="O386" s="36"/>
      <c r="P386" s="1"/>
      <c r="Q386"/>
    </row>
    <row r="387" spans="1:17" x14ac:dyDescent="0.3">
      <c r="A387" s="1">
        <v>400</v>
      </c>
      <c r="B387" s="1">
        <f t="shared" si="7"/>
        <v>382</v>
      </c>
      <c r="C387" s="4" t="s">
        <v>1441</v>
      </c>
      <c r="D387" s="4" t="s">
        <v>654</v>
      </c>
      <c r="G387" s="4" t="s">
        <v>209</v>
      </c>
      <c r="H387" s="4" t="s">
        <v>1442</v>
      </c>
      <c r="I387">
        <v>12983416</v>
      </c>
      <c r="J387">
        <v>71042705</v>
      </c>
      <c r="K387" s="1">
        <v>1057360</v>
      </c>
      <c r="L387" s="1">
        <v>8679</v>
      </c>
      <c r="M387" s="1" t="s">
        <v>11</v>
      </c>
      <c r="O387" s="36"/>
      <c r="P387" s="1"/>
      <c r="Q387"/>
    </row>
    <row r="388" spans="1:17" x14ac:dyDescent="0.3">
      <c r="A388" s="26">
        <v>401</v>
      </c>
      <c r="B388" s="26">
        <f t="shared" si="7"/>
        <v>383</v>
      </c>
      <c r="C388" s="27" t="s">
        <v>795</v>
      </c>
      <c r="D388" s="27" t="s">
        <v>796</v>
      </c>
      <c r="E388" s="28">
        <v>8129692</v>
      </c>
      <c r="F388" s="28"/>
      <c r="G388" s="27" t="s">
        <v>797</v>
      </c>
      <c r="H388" s="27" t="s">
        <v>798</v>
      </c>
      <c r="I388" s="28">
        <v>5892658</v>
      </c>
      <c r="J388" s="28">
        <v>73144275</v>
      </c>
      <c r="K388" s="30" t="s">
        <v>851</v>
      </c>
      <c r="L388" s="26">
        <v>56105</v>
      </c>
      <c r="M388" s="26" t="s">
        <v>7</v>
      </c>
      <c r="N388" s="26"/>
      <c r="O388" s="39"/>
      <c r="P388" s="1"/>
      <c r="Q388"/>
    </row>
    <row r="389" spans="1:17" x14ac:dyDescent="0.3">
      <c r="A389" s="1">
        <v>55</v>
      </c>
      <c r="B389" s="1">
        <f t="shared" si="7"/>
        <v>384</v>
      </c>
      <c r="C389" s="4" t="s">
        <v>319</v>
      </c>
      <c r="D389" s="4" t="s">
        <v>687</v>
      </c>
      <c r="E389">
        <v>9604564</v>
      </c>
      <c r="G389" s="4" t="s">
        <v>688</v>
      </c>
      <c r="H389" s="4" t="s">
        <v>57</v>
      </c>
      <c r="I389">
        <v>6310621</v>
      </c>
      <c r="J389">
        <v>78081535</v>
      </c>
      <c r="K389" s="1">
        <v>1055297</v>
      </c>
      <c r="L389" s="1">
        <v>8568</v>
      </c>
      <c r="M389" s="1" t="s">
        <v>6</v>
      </c>
      <c r="O389" s="36"/>
      <c r="P389" s="1"/>
      <c r="Q389"/>
    </row>
    <row r="390" spans="1:17" x14ac:dyDescent="0.3">
      <c r="A390" s="26">
        <v>403</v>
      </c>
      <c r="B390" s="26">
        <f t="shared" ref="B390:B453" si="8">ROW(B385)</f>
        <v>385</v>
      </c>
      <c r="C390" s="27" t="s">
        <v>1410</v>
      </c>
      <c r="D390" s="27" t="s">
        <v>2063</v>
      </c>
      <c r="E390" s="28">
        <v>5360117</v>
      </c>
      <c r="F390" s="28">
        <v>78131914</v>
      </c>
      <c r="G390" s="27" t="s">
        <v>1350</v>
      </c>
      <c r="H390" s="27" t="s">
        <v>1005</v>
      </c>
      <c r="I390" s="28">
        <v>5407150</v>
      </c>
      <c r="J390" s="28"/>
      <c r="K390" s="30">
        <v>10513610</v>
      </c>
      <c r="L390" s="26" t="s">
        <v>31</v>
      </c>
      <c r="M390" s="26" t="s">
        <v>15</v>
      </c>
      <c r="N390" s="26"/>
      <c r="O390" s="39"/>
      <c r="P390" s="1"/>
      <c r="Q390"/>
    </row>
    <row r="391" spans="1:17" ht="27" x14ac:dyDescent="0.3">
      <c r="A391" s="26">
        <v>404</v>
      </c>
      <c r="B391" s="26">
        <f t="shared" si="8"/>
        <v>386</v>
      </c>
      <c r="C391" s="27" t="s">
        <v>467</v>
      </c>
      <c r="D391" s="27" t="s">
        <v>468</v>
      </c>
      <c r="E391" s="28">
        <v>7699256</v>
      </c>
      <c r="F391" s="28"/>
      <c r="G391" s="34" t="s">
        <v>2969</v>
      </c>
      <c r="H391" s="27" t="s">
        <v>469</v>
      </c>
      <c r="I391" s="28">
        <v>8144985</v>
      </c>
      <c r="J391" s="28">
        <v>75610353</v>
      </c>
      <c r="K391" s="26">
        <v>1056146</v>
      </c>
      <c r="L391" s="26">
        <v>56278</v>
      </c>
      <c r="M391" s="26" t="s">
        <v>5</v>
      </c>
      <c r="N391" s="26"/>
      <c r="O391" s="39"/>
      <c r="P391" s="1"/>
      <c r="Q391">
        <v>9600</v>
      </c>
    </row>
    <row r="392" spans="1:17" x14ac:dyDescent="0.3">
      <c r="A392" s="26">
        <v>405</v>
      </c>
      <c r="B392" s="26">
        <f t="shared" si="8"/>
        <v>387</v>
      </c>
      <c r="C392" s="27" t="s">
        <v>302</v>
      </c>
      <c r="D392" s="27" t="s">
        <v>303</v>
      </c>
      <c r="E392" s="28">
        <v>12565242</v>
      </c>
      <c r="F392" s="28"/>
      <c r="G392" s="27" t="s">
        <v>304</v>
      </c>
      <c r="H392" s="27" t="s">
        <v>305</v>
      </c>
      <c r="I392" s="28">
        <v>9764416</v>
      </c>
      <c r="J392" s="28">
        <v>74926827</v>
      </c>
      <c r="K392" s="26">
        <v>1058343</v>
      </c>
      <c r="L392" s="26">
        <v>56042</v>
      </c>
      <c r="M392" s="26" t="s">
        <v>3</v>
      </c>
      <c r="N392" s="26"/>
      <c r="O392" s="39"/>
      <c r="P392" s="1"/>
      <c r="Q392"/>
    </row>
    <row r="393" spans="1:17" x14ac:dyDescent="0.3">
      <c r="A393" s="26">
        <v>406</v>
      </c>
      <c r="B393" s="26">
        <f t="shared" si="8"/>
        <v>388</v>
      </c>
      <c r="C393" s="27" t="s">
        <v>323</v>
      </c>
      <c r="D393" s="27" t="s">
        <v>1210</v>
      </c>
      <c r="E393" s="28">
        <v>5359990</v>
      </c>
      <c r="F393" s="28">
        <v>76058937</v>
      </c>
      <c r="G393" s="27" t="s">
        <v>228</v>
      </c>
      <c r="H393" s="27" t="s">
        <v>1211</v>
      </c>
      <c r="I393" s="28">
        <v>6307935</v>
      </c>
      <c r="J393" s="28"/>
      <c r="K393" s="26">
        <v>1057477</v>
      </c>
      <c r="L393" s="26">
        <v>56033</v>
      </c>
      <c r="M393" s="26" t="s">
        <v>9</v>
      </c>
      <c r="N393" s="26"/>
      <c r="O393" s="39"/>
      <c r="P393" s="1"/>
      <c r="Q393"/>
    </row>
    <row r="394" spans="1:17" x14ac:dyDescent="0.3">
      <c r="A394" s="26">
        <v>407</v>
      </c>
      <c r="B394" s="26">
        <f t="shared" si="8"/>
        <v>389</v>
      </c>
      <c r="C394" s="27" t="s">
        <v>781</v>
      </c>
      <c r="D394" s="27" t="s">
        <v>782</v>
      </c>
      <c r="E394" s="28"/>
      <c r="F394" s="28"/>
      <c r="G394" s="27" t="s">
        <v>508</v>
      </c>
      <c r="H394" s="27" t="s">
        <v>783</v>
      </c>
      <c r="I394" s="28">
        <v>5820389</v>
      </c>
      <c r="J394" s="28">
        <v>79487450</v>
      </c>
      <c r="K394" s="26">
        <v>1056414</v>
      </c>
      <c r="L394" s="26">
        <v>82629</v>
      </c>
      <c r="M394" s="26" t="s">
        <v>7</v>
      </c>
      <c r="N394" s="26"/>
      <c r="O394" s="39"/>
      <c r="P394" s="1"/>
      <c r="Q394">
        <v>5140</v>
      </c>
    </row>
    <row r="395" spans="1:17" ht="27" x14ac:dyDescent="0.3">
      <c r="A395" s="26">
        <v>408</v>
      </c>
      <c r="B395" s="26">
        <f t="shared" si="8"/>
        <v>390</v>
      </c>
      <c r="C395" s="34" t="s">
        <v>2976</v>
      </c>
      <c r="D395" s="27" t="s">
        <v>1190</v>
      </c>
      <c r="E395" s="28">
        <v>6275062</v>
      </c>
      <c r="F395" s="28"/>
      <c r="G395" s="27" t="s">
        <v>1191</v>
      </c>
      <c r="H395" s="27" t="s">
        <v>1192</v>
      </c>
      <c r="I395" s="28">
        <v>7827005</v>
      </c>
      <c r="J395" s="28">
        <v>78171605</v>
      </c>
      <c r="K395" s="26">
        <v>1057659</v>
      </c>
      <c r="L395" s="26" t="s">
        <v>31</v>
      </c>
      <c r="M395" s="26" t="s">
        <v>9</v>
      </c>
      <c r="N395" s="26"/>
      <c r="O395" s="39"/>
      <c r="P395" s="1"/>
      <c r="Q395"/>
    </row>
    <row r="396" spans="1:17" x14ac:dyDescent="0.3">
      <c r="A396" s="1">
        <v>409</v>
      </c>
      <c r="B396" s="1">
        <f t="shared" si="8"/>
        <v>391</v>
      </c>
      <c r="C396" s="4" t="s">
        <v>52</v>
      </c>
      <c r="D396" s="4" t="s">
        <v>53</v>
      </c>
      <c r="E396">
        <v>7152823</v>
      </c>
      <c r="G396" s="4" t="s">
        <v>54</v>
      </c>
      <c r="H396" s="4" t="s">
        <v>55</v>
      </c>
      <c r="I396">
        <v>7794625</v>
      </c>
      <c r="J396">
        <v>77614202</v>
      </c>
      <c r="K396" s="1">
        <v>1055949</v>
      </c>
      <c r="L396" s="1">
        <v>56030</v>
      </c>
      <c r="M396" s="1" t="s">
        <v>4</v>
      </c>
      <c r="O396" s="36"/>
      <c r="P396" s="1"/>
      <c r="Q396"/>
    </row>
    <row r="397" spans="1:17" x14ac:dyDescent="0.3">
      <c r="A397" s="1">
        <v>410</v>
      </c>
      <c r="B397" s="1">
        <f t="shared" si="8"/>
        <v>392</v>
      </c>
      <c r="C397" s="4" t="s">
        <v>323</v>
      </c>
      <c r="D397" s="4" t="s">
        <v>1460</v>
      </c>
      <c r="G397" s="4" t="s">
        <v>1461</v>
      </c>
      <c r="H397" s="4" t="s">
        <v>1462</v>
      </c>
      <c r="I397">
        <v>7460969</v>
      </c>
      <c r="J397">
        <v>68692934</v>
      </c>
      <c r="K397" s="1">
        <v>1057992</v>
      </c>
      <c r="L397" s="1">
        <v>82616</v>
      </c>
      <c r="M397" s="1" t="s">
        <v>12</v>
      </c>
      <c r="O397" s="36"/>
      <c r="P397" s="1"/>
      <c r="Q397"/>
    </row>
    <row r="398" spans="1:17" x14ac:dyDescent="0.3">
      <c r="A398" s="26">
        <v>411</v>
      </c>
      <c r="B398" s="26">
        <f t="shared" si="8"/>
        <v>393</v>
      </c>
      <c r="C398" s="27" t="s">
        <v>1676</v>
      </c>
      <c r="D398" s="27" t="s">
        <v>1677</v>
      </c>
      <c r="E398" s="28"/>
      <c r="F398" s="28"/>
      <c r="G398" s="27" t="s">
        <v>1678</v>
      </c>
      <c r="H398" s="27" t="s">
        <v>1679</v>
      </c>
      <c r="I398" s="28">
        <v>7831216</v>
      </c>
      <c r="J398" s="28">
        <v>78121572</v>
      </c>
      <c r="K398" s="26">
        <v>1060067</v>
      </c>
      <c r="L398" s="26" t="s">
        <v>31</v>
      </c>
      <c r="M398" s="26" t="s">
        <v>14</v>
      </c>
      <c r="N398" s="26"/>
      <c r="O398" s="39"/>
      <c r="P398" s="1"/>
      <c r="Q398"/>
    </row>
    <row r="399" spans="1:17" x14ac:dyDescent="0.3">
      <c r="A399" s="26">
        <v>412</v>
      </c>
      <c r="B399" s="26">
        <f t="shared" si="8"/>
        <v>394</v>
      </c>
      <c r="C399" s="27" t="s">
        <v>1332</v>
      </c>
      <c r="D399" s="27" t="s">
        <v>579</v>
      </c>
      <c r="E399" s="28">
        <v>8216959</v>
      </c>
      <c r="F399" s="28"/>
      <c r="G399" s="27" t="s">
        <v>1333</v>
      </c>
      <c r="H399" s="27" t="s">
        <v>1085</v>
      </c>
      <c r="I399" s="28">
        <v>12758902</v>
      </c>
      <c r="J399" s="28">
        <v>77641451</v>
      </c>
      <c r="K399" s="26">
        <v>1057846</v>
      </c>
      <c r="L399" s="26" t="s">
        <v>31</v>
      </c>
      <c r="M399" s="26" t="s">
        <v>10</v>
      </c>
      <c r="N399" s="26"/>
      <c r="O399" s="39"/>
      <c r="P399" s="1"/>
      <c r="Q399"/>
    </row>
    <row r="400" spans="1:17" x14ac:dyDescent="0.3">
      <c r="A400" s="26">
        <v>413</v>
      </c>
      <c r="B400" s="26">
        <f t="shared" si="8"/>
        <v>395</v>
      </c>
      <c r="C400" s="27" t="s">
        <v>298</v>
      </c>
      <c r="D400" s="27" t="s">
        <v>299</v>
      </c>
      <c r="E400" s="28"/>
      <c r="F400" s="28"/>
      <c r="G400" s="27" t="s">
        <v>300</v>
      </c>
      <c r="H400" s="27" t="s">
        <v>301</v>
      </c>
      <c r="I400" s="28">
        <v>12534292</v>
      </c>
      <c r="J400" s="28">
        <v>62391309</v>
      </c>
      <c r="K400" s="26">
        <v>1060492</v>
      </c>
      <c r="L400" s="26">
        <v>56282</v>
      </c>
      <c r="M400" s="26" t="s">
        <v>3</v>
      </c>
      <c r="N400" s="26"/>
      <c r="O400" s="39"/>
      <c r="P400" s="1"/>
      <c r="Q400"/>
    </row>
    <row r="401" spans="1:17" x14ac:dyDescent="0.3">
      <c r="A401" s="26">
        <v>414</v>
      </c>
      <c r="B401" s="26">
        <f t="shared" si="8"/>
        <v>396</v>
      </c>
      <c r="C401" s="27" t="s">
        <v>148</v>
      </c>
      <c r="D401" s="27" t="s">
        <v>149</v>
      </c>
      <c r="E401" s="28"/>
      <c r="F401" s="28"/>
      <c r="G401" s="27" t="s">
        <v>150</v>
      </c>
      <c r="H401" s="27" t="s">
        <v>151</v>
      </c>
      <c r="I401" s="28">
        <v>5354619</v>
      </c>
      <c r="J401" s="28">
        <v>72164833</v>
      </c>
      <c r="K401" s="26">
        <v>1056333</v>
      </c>
      <c r="L401" s="26" t="s">
        <v>31</v>
      </c>
      <c r="M401" s="26" t="s">
        <v>4</v>
      </c>
      <c r="N401" s="26"/>
      <c r="O401" s="39"/>
      <c r="P401" s="1"/>
      <c r="Q401"/>
    </row>
    <row r="402" spans="1:17" x14ac:dyDescent="0.3">
      <c r="A402" s="1">
        <v>415</v>
      </c>
      <c r="B402" s="1">
        <f t="shared" si="8"/>
        <v>397</v>
      </c>
      <c r="C402" s="4" t="s">
        <v>1324</v>
      </c>
      <c r="D402" s="4" t="s">
        <v>1325</v>
      </c>
      <c r="E402">
        <v>8953553</v>
      </c>
      <c r="G402" s="4" t="s">
        <v>1326</v>
      </c>
      <c r="H402" s="4" t="s">
        <v>1327</v>
      </c>
      <c r="I402">
        <v>13302853</v>
      </c>
      <c r="J402">
        <v>62055087</v>
      </c>
      <c r="K402" s="1">
        <v>1058127</v>
      </c>
      <c r="L402" s="1">
        <v>82615</v>
      </c>
      <c r="M402" s="1" t="s">
        <v>10</v>
      </c>
      <c r="O402" s="36"/>
      <c r="P402" s="1"/>
      <c r="Q402"/>
    </row>
    <row r="403" spans="1:17" x14ac:dyDescent="0.3">
      <c r="A403" s="26">
        <v>416</v>
      </c>
      <c r="B403" s="26">
        <f t="shared" si="8"/>
        <v>398</v>
      </c>
      <c r="C403" s="27" t="s">
        <v>1254</v>
      </c>
      <c r="D403" s="27" t="s">
        <v>1255</v>
      </c>
      <c r="E403" s="28">
        <v>6533438</v>
      </c>
      <c r="F403" s="28"/>
      <c r="G403" s="27" t="s">
        <v>1256</v>
      </c>
      <c r="H403" s="27" t="s">
        <v>1257</v>
      </c>
      <c r="I403" s="28">
        <v>7779068</v>
      </c>
      <c r="J403" s="28">
        <v>78185563</v>
      </c>
      <c r="K403" s="26">
        <v>1058774</v>
      </c>
      <c r="L403" s="26" t="s">
        <v>31</v>
      </c>
      <c r="M403" s="26" t="s">
        <v>10</v>
      </c>
      <c r="N403" s="26" t="s">
        <v>19</v>
      </c>
      <c r="O403" s="39"/>
      <c r="P403" s="1"/>
      <c r="Q403"/>
    </row>
    <row r="404" spans="1:17" ht="27" x14ac:dyDescent="0.3">
      <c r="A404" s="26">
        <v>417</v>
      </c>
      <c r="B404" s="26">
        <f t="shared" si="8"/>
        <v>399</v>
      </c>
      <c r="C404" s="27" t="s">
        <v>81</v>
      </c>
      <c r="D404" s="27" t="s">
        <v>2034</v>
      </c>
      <c r="E404" s="28"/>
      <c r="F404" s="28"/>
      <c r="G404" s="34" t="s">
        <v>2959</v>
      </c>
      <c r="H404" s="27" t="s">
        <v>2035</v>
      </c>
      <c r="I404" s="28">
        <v>8129658</v>
      </c>
      <c r="J404" s="28">
        <v>67156169</v>
      </c>
      <c r="K404" s="26">
        <v>1060843</v>
      </c>
      <c r="L404" s="26">
        <v>82642</v>
      </c>
      <c r="M404" s="26" t="s">
        <v>15</v>
      </c>
      <c r="N404" s="26"/>
      <c r="O404" s="39"/>
      <c r="P404" s="1"/>
      <c r="Q404"/>
    </row>
    <row r="405" spans="1:17" ht="27" x14ac:dyDescent="0.3">
      <c r="A405" s="26">
        <v>418</v>
      </c>
      <c r="B405" s="26">
        <f t="shared" si="8"/>
        <v>400</v>
      </c>
      <c r="C405" s="27" t="s">
        <v>802</v>
      </c>
      <c r="D405" s="27" t="s">
        <v>803</v>
      </c>
      <c r="E405" s="28">
        <v>9818629</v>
      </c>
      <c r="F405" s="28"/>
      <c r="G405" s="34" t="s">
        <v>2966</v>
      </c>
      <c r="H405" s="27" t="s">
        <v>804</v>
      </c>
      <c r="I405" s="28">
        <v>12355099</v>
      </c>
      <c r="J405" s="28"/>
      <c r="K405" s="26">
        <v>1071358</v>
      </c>
      <c r="L405" s="26" t="s">
        <v>31</v>
      </c>
      <c r="M405" s="26" t="s">
        <v>7</v>
      </c>
      <c r="N405" s="26"/>
      <c r="O405" s="39"/>
      <c r="P405" s="1"/>
      <c r="Q405"/>
    </row>
    <row r="406" spans="1:17" x14ac:dyDescent="0.3">
      <c r="A406" s="26">
        <v>419</v>
      </c>
      <c r="B406" s="26">
        <f t="shared" si="8"/>
        <v>401</v>
      </c>
      <c r="C406" s="27" t="s">
        <v>323</v>
      </c>
      <c r="D406" s="27" t="s">
        <v>324</v>
      </c>
      <c r="E406" s="28"/>
      <c r="F406" s="28"/>
      <c r="G406" s="27" t="s">
        <v>325</v>
      </c>
      <c r="H406" s="27" t="s">
        <v>326</v>
      </c>
      <c r="I406" s="28">
        <v>8221056</v>
      </c>
      <c r="J406" s="28">
        <v>75060598</v>
      </c>
      <c r="K406" s="26">
        <v>1056642</v>
      </c>
      <c r="L406" s="26" t="s">
        <v>31</v>
      </c>
      <c r="M406" s="26" t="s">
        <v>3</v>
      </c>
      <c r="N406" s="26"/>
      <c r="O406" s="44">
        <v>3</v>
      </c>
      <c r="P406" s="1"/>
      <c r="Q406"/>
    </row>
    <row r="407" spans="1:17" x14ac:dyDescent="0.3">
      <c r="A407" s="26">
        <v>384</v>
      </c>
      <c r="B407" s="26">
        <f t="shared" si="8"/>
        <v>402</v>
      </c>
      <c r="C407" s="27" t="s">
        <v>2247</v>
      </c>
      <c r="D407" s="27" t="s">
        <v>2248</v>
      </c>
      <c r="E407" s="28"/>
      <c r="F407" s="28"/>
      <c r="G407" s="27" t="s">
        <v>2249</v>
      </c>
      <c r="H407" s="27" t="s">
        <v>2250</v>
      </c>
      <c r="I407" s="28">
        <v>8258391</v>
      </c>
      <c r="J407" s="28">
        <v>63392550</v>
      </c>
      <c r="K407" s="26">
        <v>1014202501</v>
      </c>
      <c r="L407" s="26" t="s">
        <v>31</v>
      </c>
      <c r="M407" s="26" t="s">
        <v>17</v>
      </c>
      <c r="N407" s="26"/>
      <c r="O407" s="39"/>
      <c r="P407" s="1"/>
      <c r="Q407"/>
    </row>
    <row r="408" spans="1:17" x14ac:dyDescent="0.3">
      <c r="A408" s="1">
        <v>421</v>
      </c>
      <c r="B408" s="1">
        <f t="shared" si="8"/>
        <v>403</v>
      </c>
      <c r="C408" s="4" t="s">
        <v>1377</v>
      </c>
      <c r="D408" s="4" t="s">
        <v>2939</v>
      </c>
      <c r="E408">
        <v>5821986</v>
      </c>
      <c r="G408" s="4" t="s">
        <v>1378</v>
      </c>
      <c r="H408" s="4" t="s">
        <v>760</v>
      </c>
      <c r="I408">
        <v>8096343</v>
      </c>
      <c r="J408">
        <v>73896318</v>
      </c>
      <c r="K408" s="1">
        <v>1059661</v>
      </c>
      <c r="L408" s="1">
        <v>8741</v>
      </c>
      <c r="M408" s="1" t="s">
        <v>11</v>
      </c>
      <c r="O408" s="36"/>
      <c r="P408" s="1"/>
      <c r="Q408"/>
    </row>
    <row r="409" spans="1:17" x14ac:dyDescent="0.3">
      <c r="A409" s="26">
        <v>422</v>
      </c>
      <c r="B409" s="26">
        <f t="shared" si="8"/>
        <v>404</v>
      </c>
      <c r="C409" s="27" t="s">
        <v>1318</v>
      </c>
      <c r="D409" s="27" t="s">
        <v>1319</v>
      </c>
      <c r="E409" s="28"/>
      <c r="F409" s="28"/>
      <c r="G409" s="27" t="s">
        <v>1320</v>
      </c>
      <c r="H409" s="27" t="s">
        <v>1267</v>
      </c>
      <c r="I409" s="28">
        <v>6386712</v>
      </c>
      <c r="J409" s="28">
        <v>69106695</v>
      </c>
      <c r="K409" s="26">
        <v>1059023</v>
      </c>
      <c r="L409" s="26" t="s">
        <v>31</v>
      </c>
      <c r="M409" s="26" t="s">
        <v>10</v>
      </c>
      <c r="N409" s="26"/>
      <c r="O409" s="39"/>
      <c r="P409" s="1"/>
      <c r="Q409"/>
    </row>
    <row r="410" spans="1:17" x14ac:dyDescent="0.3">
      <c r="A410" s="26">
        <v>423</v>
      </c>
      <c r="B410" s="26">
        <f t="shared" si="8"/>
        <v>405</v>
      </c>
      <c r="C410" s="27" t="s">
        <v>1484</v>
      </c>
      <c r="D410" s="27" t="s">
        <v>2361</v>
      </c>
      <c r="E410" s="28"/>
      <c r="F410" s="28"/>
      <c r="G410" s="27" t="s">
        <v>2362</v>
      </c>
      <c r="H410" s="27" t="s">
        <v>2363</v>
      </c>
      <c r="I410" s="28">
        <v>8876200</v>
      </c>
      <c r="J410" s="28">
        <v>76670137</v>
      </c>
      <c r="K410" s="30">
        <v>1058682</v>
      </c>
      <c r="L410" s="26" t="s">
        <v>31</v>
      </c>
      <c r="M410" s="26" t="s">
        <v>19</v>
      </c>
      <c r="N410" s="26"/>
      <c r="O410" s="39"/>
      <c r="P410" s="1"/>
      <c r="Q410"/>
    </row>
    <row r="411" spans="1:17" x14ac:dyDescent="0.3">
      <c r="A411" s="26">
        <v>425</v>
      </c>
      <c r="B411" s="26">
        <f t="shared" si="8"/>
        <v>406</v>
      </c>
      <c r="C411" s="27" t="s">
        <v>2084</v>
      </c>
      <c r="D411" s="27" t="s">
        <v>2085</v>
      </c>
      <c r="E411" s="28"/>
      <c r="F411" s="28"/>
      <c r="G411" s="27" t="s">
        <v>2086</v>
      </c>
      <c r="H411" s="27" t="s">
        <v>2087</v>
      </c>
      <c r="I411" s="28">
        <v>96000966</v>
      </c>
      <c r="J411" s="28">
        <v>62048317</v>
      </c>
      <c r="K411" s="26">
        <v>1061105</v>
      </c>
      <c r="L411" s="26" t="s">
        <v>31</v>
      </c>
      <c r="M411" s="26" t="s">
        <v>15</v>
      </c>
      <c r="N411" s="26"/>
      <c r="O411" s="39"/>
      <c r="P411" s="1"/>
      <c r="Q411"/>
    </row>
    <row r="412" spans="1:17" x14ac:dyDescent="0.3">
      <c r="A412" s="26">
        <v>426</v>
      </c>
      <c r="B412" s="26">
        <f t="shared" si="8"/>
        <v>407</v>
      </c>
      <c r="C412" s="27" t="s">
        <v>529</v>
      </c>
      <c r="D412" s="27" t="s">
        <v>530</v>
      </c>
      <c r="E412" s="28">
        <v>8944680</v>
      </c>
      <c r="F412" s="28"/>
      <c r="G412" s="27" t="s">
        <v>531</v>
      </c>
      <c r="H412" s="27" t="s">
        <v>532</v>
      </c>
      <c r="I412" s="28">
        <v>6360535</v>
      </c>
      <c r="J412" s="28">
        <v>76632599</v>
      </c>
      <c r="K412" s="26">
        <v>1061613</v>
      </c>
      <c r="L412" s="26" t="s">
        <v>31</v>
      </c>
      <c r="M412" s="26" t="s">
        <v>5</v>
      </c>
      <c r="N412" s="26" t="s">
        <v>10</v>
      </c>
      <c r="O412" s="39"/>
      <c r="P412" s="1"/>
      <c r="Q412"/>
    </row>
    <row r="413" spans="1:17" x14ac:dyDescent="0.3">
      <c r="A413" s="1">
        <v>428</v>
      </c>
      <c r="B413" s="1">
        <f t="shared" si="8"/>
        <v>408</v>
      </c>
      <c r="C413" s="4" t="s">
        <v>269</v>
      </c>
      <c r="D413" s="4" t="s">
        <v>270</v>
      </c>
      <c r="E413">
        <v>8113127</v>
      </c>
      <c r="G413" s="4" t="s">
        <v>271</v>
      </c>
      <c r="H413" s="4" t="s">
        <v>272</v>
      </c>
      <c r="I413">
        <v>8146388</v>
      </c>
      <c r="J413" s="8">
        <v>77688457</v>
      </c>
      <c r="K413" s="1">
        <v>1061755</v>
      </c>
      <c r="L413" s="1">
        <v>82618</v>
      </c>
      <c r="M413" s="1" t="s">
        <v>3</v>
      </c>
      <c r="O413" s="36"/>
      <c r="P413" s="1"/>
      <c r="Q413"/>
    </row>
    <row r="414" spans="1:17" x14ac:dyDescent="0.3">
      <c r="A414" s="26">
        <v>429</v>
      </c>
      <c r="B414" s="26">
        <f t="shared" si="8"/>
        <v>409</v>
      </c>
      <c r="C414" s="27" t="s">
        <v>2377</v>
      </c>
      <c r="D414" s="27" t="s">
        <v>2378</v>
      </c>
      <c r="E414" s="28">
        <v>5866323</v>
      </c>
      <c r="F414" s="28"/>
      <c r="G414" s="27" t="s">
        <v>2379</v>
      </c>
      <c r="H414" s="27" t="s">
        <v>513</v>
      </c>
      <c r="I414" s="28">
        <v>6367374</v>
      </c>
      <c r="J414" s="28">
        <v>74685534</v>
      </c>
      <c r="K414" s="26">
        <v>1058839</v>
      </c>
      <c r="L414" s="26" t="s">
        <v>31</v>
      </c>
      <c r="M414" s="26" t="s">
        <v>19</v>
      </c>
      <c r="N414" s="26"/>
      <c r="O414" s="39"/>
      <c r="P414" s="1"/>
      <c r="Q414"/>
    </row>
    <row r="415" spans="1:17" x14ac:dyDescent="0.3">
      <c r="A415" s="1">
        <v>430</v>
      </c>
      <c r="B415" s="1">
        <f t="shared" si="8"/>
        <v>410</v>
      </c>
      <c r="C415" s="4" t="s">
        <v>732</v>
      </c>
      <c r="D415" s="4" t="s">
        <v>733</v>
      </c>
      <c r="E415">
        <v>8153626</v>
      </c>
      <c r="G415" s="4" t="s">
        <v>105</v>
      </c>
      <c r="H415" s="4" t="s">
        <v>734</v>
      </c>
      <c r="I415">
        <v>6223555</v>
      </c>
      <c r="J415">
        <v>63655371</v>
      </c>
      <c r="K415" s="1">
        <v>1057192</v>
      </c>
      <c r="L415" s="1">
        <v>8671</v>
      </c>
      <c r="M415" s="1" t="s">
        <v>7</v>
      </c>
      <c r="N415" s="1" t="s">
        <v>18</v>
      </c>
      <c r="O415" s="36"/>
      <c r="P415" s="1"/>
      <c r="Q415"/>
    </row>
    <row r="416" spans="1:17" x14ac:dyDescent="0.3">
      <c r="A416" s="26">
        <v>431</v>
      </c>
      <c r="B416" s="26">
        <f t="shared" si="8"/>
        <v>411</v>
      </c>
      <c r="C416" s="27" t="s">
        <v>69</v>
      </c>
      <c r="D416" s="27" t="s">
        <v>70</v>
      </c>
      <c r="E416" s="28"/>
      <c r="F416" s="28"/>
      <c r="G416" s="27" t="s">
        <v>71</v>
      </c>
      <c r="H416" s="27" t="s">
        <v>72</v>
      </c>
      <c r="I416" s="28">
        <v>4689833</v>
      </c>
      <c r="J416" s="28">
        <v>71300914</v>
      </c>
      <c r="K416" s="29">
        <v>1057410</v>
      </c>
      <c r="L416" s="26">
        <v>56276</v>
      </c>
      <c r="M416" s="26" t="s">
        <v>4</v>
      </c>
      <c r="N416" s="26" t="s">
        <v>12</v>
      </c>
      <c r="O416" s="39"/>
      <c r="P416" s="1"/>
      <c r="Q416"/>
    </row>
    <row r="417" spans="1:17" x14ac:dyDescent="0.3">
      <c r="A417" s="1">
        <v>432</v>
      </c>
      <c r="B417" s="1">
        <f t="shared" si="8"/>
        <v>412</v>
      </c>
      <c r="C417" s="4" t="s">
        <v>1313</v>
      </c>
      <c r="D417" s="4" t="s">
        <v>1314</v>
      </c>
      <c r="E417">
        <v>8194275</v>
      </c>
      <c r="G417" s="4" t="s">
        <v>1315</v>
      </c>
      <c r="H417" s="4" t="s">
        <v>1316</v>
      </c>
      <c r="I417">
        <v>13402548</v>
      </c>
      <c r="J417">
        <v>63381767</v>
      </c>
      <c r="K417" s="1">
        <v>1063278</v>
      </c>
      <c r="L417" s="1">
        <v>82619</v>
      </c>
      <c r="M417" s="1" t="s">
        <v>10</v>
      </c>
      <c r="O417" s="36"/>
      <c r="P417" s="1"/>
      <c r="Q417"/>
    </row>
    <row r="418" spans="1:17" x14ac:dyDescent="0.3">
      <c r="A418" s="26">
        <v>433</v>
      </c>
      <c r="B418" s="26">
        <f t="shared" si="8"/>
        <v>413</v>
      </c>
      <c r="C418" s="27" t="s">
        <v>1151</v>
      </c>
      <c r="D418" s="27" t="s">
        <v>1152</v>
      </c>
      <c r="E418" s="28">
        <v>76034580</v>
      </c>
      <c r="F418" s="28"/>
      <c r="G418" s="27" t="s">
        <v>1153</v>
      </c>
      <c r="H418" s="27" t="s">
        <v>1154</v>
      </c>
      <c r="I418" s="28">
        <v>6232804</v>
      </c>
      <c r="J418" s="28"/>
      <c r="K418" s="32">
        <v>1063214</v>
      </c>
      <c r="L418" s="26">
        <v>56010</v>
      </c>
      <c r="M418" s="26" t="s">
        <v>9</v>
      </c>
      <c r="N418" s="26"/>
      <c r="O418" s="39"/>
      <c r="P418" s="1"/>
      <c r="Q418"/>
    </row>
    <row r="419" spans="1:17" x14ac:dyDescent="0.3">
      <c r="A419" s="11">
        <v>434</v>
      </c>
      <c r="B419" s="1">
        <f t="shared" si="8"/>
        <v>414</v>
      </c>
      <c r="C419" s="4" t="s">
        <v>1244</v>
      </c>
      <c r="D419" s="4" t="s">
        <v>1245</v>
      </c>
      <c r="E419">
        <v>13668555</v>
      </c>
      <c r="F419">
        <v>76055372</v>
      </c>
      <c r="G419" s="4" t="s">
        <v>1246</v>
      </c>
      <c r="H419" s="4" t="s">
        <v>1247</v>
      </c>
      <c r="I419">
        <v>11303815</v>
      </c>
      <c r="K419" s="1">
        <v>1061565</v>
      </c>
      <c r="L419" s="1">
        <v>56023</v>
      </c>
      <c r="M419" s="1" t="s">
        <v>10</v>
      </c>
      <c r="O419" s="36"/>
      <c r="P419" s="1"/>
      <c r="Q419"/>
    </row>
    <row r="420" spans="1:17" x14ac:dyDescent="0.3">
      <c r="A420" s="26">
        <v>322</v>
      </c>
      <c r="B420" s="26">
        <f t="shared" si="8"/>
        <v>415</v>
      </c>
      <c r="C420" s="27" t="s">
        <v>2252</v>
      </c>
      <c r="D420" s="27" t="s">
        <v>2253</v>
      </c>
      <c r="E420" s="28"/>
      <c r="F420" s="28"/>
      <c r="G420" s="27" t="s">
        <v>232</v>
      </c>
      <c r="H420" s="27" t="s">
        <v>2254</v>
      </c>
      <c r="I420" s="28">
        <v>7793980</v>
      </c>
      <c r="J420" s="28">
        <v>78402891</v>
      </c>
      <c r="K420" s="26">
        <v>1058627</v>
      </c>
      <c r="L420" s="26">
        <v>56271</v>
      </c>
      <c r="M420" s="26" t="s">
        <v>17</v>
      </c>
      <c r="N420" s="26"/>
      <c r="O420" s="39"/>
      <c r="P420" s="1"/>
      <c r="Q420"/>
    </row>
    <row r="421" spans="1:17" x14ac:dyDescent="0.3">
      <c r="A421" s="26" t="s">
        <v>3144</v>
      </c>
      <c r="B421" s="26">
        <f t="shared" si="8"/>
        <v>416</v>
      </c>
      <c r="C421" s="27" t="s">
        <v>319</v>
      </c>
      <c r="D421" s="27" t="s">
        <v>2256</v>
      </c>
      <c r="E421" s="28">
        <v>9004823</v>
      </c>
      <c r="F421" s="28"/>
      <c r="G421" s="27" t="s">
        <v>281</v>
      </c>
      <c r="H421" s="27" t="s">
        <v>2257</v>
      </c>
      <c r="I421" s="28">
        <v>9044669</v>
      </c>
      <c r="J421" s="28">
        <v>62200306</v>
      </c>
      <c r="K421" s="26" t="s">
        <v>31</v>
      </c>
      <c r="L421" s="26">
        <v>56298</v>
      </c>
      <c r="M421" s="26" t="s">
        <v>17</v>
      </c>
      <c r="N421" s="26"/>
      <c r="O421" s="39"/>
      <c r="P421" s="1"/>
      <c r="Q421"/>
    </row>
    <row r="422" spans="1:17" x14ac:dyDescent="0.3">
      <c r="A422" s="1">
        <v>437</v>
      </c>
      <c r="B422" s="1">
        <f t="shared" si="8"/>
        <v>417</v>
      </c>
      <c r="C422" s="4" t="s">
        <v>323</v>
      </c>
      <c r="D422" s="4" t="s">
        <v>2937</v>
      </c>
      <c r="E422">
        <v>5658166</v>
      </c>
      <c r="G422" s="4" t="s">
        <v>975</v>
      </c>
      <c r="H422" s="4" t="s">
        <v>2396</v>
      </c>
      <c r="I422">
        <v>5674608</v>
      </c>
      <c r="J422">
        <v>63744198</v>
      </c>
      <c r="K422" s="1">
        <v>1058596</v>
      </c>
      <c r="L422" s="1">
        <v>82595</v>
      </c>
      <c r="M422" s="1" t="s">
        <v>4</v>
      </c>
      <c r="N422" s="1" t="s">
        <v>19</v>
      </c>
      <c r="O422" s="36"/>
      <c r="P422" s="1"/>
      <c r="Q422"/>
    </row>
    <row r="423" spans="1:17" x14ac:dyDescent="0.3">
      <c r="A423" s="26">
        <v>438</v>
      </c>
      <c r="B423" s="26">
        <f t="shared" si="8"/>
        <v>418</v>
      </c>
      <c r="C423" s="27" t="s">
        <v>319</v>
      </c>
      <c r="D423" s="27" t="s">
        <v>1477</v>
      </c>
      <c r="E423" s="28"/>
      <c r="F423" s="28"/>
      <c r="G423" s="27" t="s">
        <v>1425</v>
      </c>
      <c r="H423" s="27" t="s">
        <v>1478</v>
      </c>
      <c r="I423" s="28">
        <v>7841282</v>
      </c>
      <c r="J423" s="28">
        <v>77658336</v>
      </c>
      <c r="K423" s="26">
        <v>1062435</v>
      </c>
      <c r="L423" s="26" t="s">
        <v>31</v>
      </c>
      <c r="M423" s="26" t="s">
        <v>12</v>
      </c>
      <c r="N423" s="26"/>
      <c r="O423" s="39"/>
      <c r="P423" s="1"/>
      <c r="Q423"/>
    </row>
    <row r="424" spans="1:17" x14ac:dyDescent="0.3">
      <c r="A424" s="26">
        <v>439</v>
      </c>
      <c r="B424" s="26">
        <f t="shared" si="8"/>
        <v>419</v>
      </c>
      <c r="C424" s="27" t="s">
        <v>971</v>
      </c>
      <c r="D424" s="27" t="s">
        <v>1570</v>
      </c>
      <c r="E424" s="28">
        <v>9049671</v>
      </c>
      <c r="F424" s="28"/>
      <c r="G424" s="27" t="s">
        <v>1571</v>
      </c>
      <c r="H424" s="27" t="s">
        <v>1572</v>
      </c>
      <c r="I424" s="28">
        <v>7660801</v>
      </c>
      <c r="J424" s="28">
        <v>67715087</v>
      </c>
      <c r="K424" s="32">
        <v>1063545</v>
      </c>
      <c r="L424" s="26">
        <v>56268</v>
      </c>
      <c r="M424" s="26" t="s">
        <v>13</v>
      </c>
      <c r="N424" s="26"/>
      <c r="O424" s="39"/>
      <c r="P424" s="1"/>
      <c r="Q424"/>
    </row>
    <row r="425" spans="1:17" x14ac:dyDescent="0.3">
      <c r="A425" s="1">
        <v>440</v>
      </c>
      <c r="B425" s="1">
        <f t="shared" si="8"/>
        <v>420</v>
      </c>
      <c r="C425" s="4" t="s">
        <v>433</v>
      </c>
      <c r="D425" s="4" t="s">
        <v>434</v>
      </c>
      <c r="E425">
        <v>7133403</v>
      </c>
      <c r="G425" s="4" t="s">
        <v>435</v>
      </c>
      <c r="H425" s="4" t="s">
        <v>408</v>
      </c>
      <c r="I425">
        <v>9779802</v>
      </c>
      <c r="J425">
        <v>68864316</v>
      </c>
      <c r="K425" s="1">
        <v>1064749</v>
      </c>
      <c r="L425" s="1">
        <v>8586</v>
      </c>
      <c r="M425" s="1" t="s">
        <v>5</v>
      </c>
      <c r="O425" s="36"/>
      <c r="P425" s="1"/>
      <c r="Q425"/>
    </row>
    <row r="426" spans="1:17" x14ac:dyDescent="0.3">
      <c r="A426" s="26">
        <v>441</v>
      </c>
      <c r="B426" s="26">
        <f t="shared" si="8"/>
        <v>421</v>
      </c>
      <c r="C426" s="27" t="s">
        <v>93</v>
      </c>
      <c r="D426" s="27" t="s">
        <v>94</v>
      </c>
      <c r="E426" s="28">
        <v>5667674</v>
      </c>
      <c r="F426" s="28">
        <v>63396876</v>
      </c>
      <c r="G426" s="27" t="s">
        <v>95</v>
      </c>
      <c r="H426" s="27" t="s">
        <v>96</v>
      </c>
      <c r="I426" s="28"/>
      <c r="J426" s="28"/>
      <c r="K426" s="26">
        <v>1057030</v>
      </c>
      <c r="L426" s="26">
        <v>82637</v>
      </c>
      <c r="M426" s="26" t="s">
        <v>4</v>
      </c>
      <c r="N426" s="26"/>
      <c r="O426" s="39"/>
      <c r="P426" s="1"/>
      <c r="Q426"/>
    </row>
    <row r="427" spans="1:17" x14ac:dyDescent="0.3">
      <c r="A427" s="26">
        <v>442</v>
      </c>
      <c r="B427" s="26">
        <f t="shared" si="8"/>
        <v>422</v>
      </c>
      <c r="C427" s="27" t="s">
        <v>175</v>
      </c>
      <c r="D427" s="27" t="s">
        <v>176</v>
      </c>
      <c r="E427" s="28"/>
      <c r="F427" s="28"/>
      <c r="G427" s="27" t="s">
        <v>177</v>
      </c>
      <c r="H427" s="27" t="s">
        <v>178</v>
      </c>
      <c r="I427" s="28">
        <v>7857045</v>
      </c>
      <c r="J427" s="28">
        <v>79077130</v>
      </c>
      <c r="K427" s="26">
        <v>1064765</v>
      </c>
      <c r="L427" s="26" t="s">
        <v>31</v>
      </c>
      <c r="M427" s="26" t="s">
        <v>4</v>
      </c>
      <c r="N427" s="26" t="s">
        <v>15</v>
      </c>
      <c r="O427" s="39"/>
      <c r="P427" s="1"/>
      <c r="Q427"/>
    </row>
    <row r="428" spans="1:17" x14ac:dyDescent="0.3">
      <c r="A428" s="30">
        <v>443</v>
      </c>
      <c r="B428" s="26">
        <f t="shared" si="8"/>
        <v>423</v>
      </c>
      <c r="C428" s="27" t="s">
        <v>1045</v>
      </c>
      <c r="D428" s="27" t="s">
        <v>1046</v>
      </c>
      <c r="E428" s="28">
        <v>73107791</v>
      </c>
      <c r="F428" s="28"/>
      <c r="G428" s="27" t="s">
        <v>1047</v>
      </c>
      <c r="H428" s="27" t="s">
        <v>1048</v>
      </c>
      <c r="I428" s="28">
        <v>7699634</v>
      </c>
      <c r="J428" s="28">
        <v>70448656</v>
      </c>
      <c r="K428" s="30">
        <v>1064969</v>
      </c>
      <c r="L428" s="26">
        <v>8730</v>
      </c>
      <c r="M428" s="26" t="s">
        <v>8</v>
      </c>
      <c r="N428" s="26" t="s">
        <v>16</v>
      </c>
      <c r="O428" s="39"/>
      <c r="P428" s="1"/>
      <c r="Q428"/>
    </row>
    <row r="429" spans="1:17" x14ac:dyDescent="0.3">
      <c r="A429" s="26">
        <v>444</v>
      </c>
      <c r="B429" s="26">
        <f t="shared" si="8"/>
        <v>424</v>
      </c>
      <c r="C429" s="27" t="s">
        <v>1172</v>
      </c>
      <c r="D429" s="27" t="s">
        <v>595</v>
      </c>
      <c r="E429" s="28"/>
      <c r="F429" s="28"/>
      <c r="G429" s="27" t="s">
        <v>263</v>
      </c>
      <c r="H429" s="27" t="s">
        <v>1149</v>
      </c>
      <c r="I429" s="28">
        <v>4013626</v>
      </c>
      <c r="J429" s="28">
        <v>75514687</v>
      </c>
      <c r="K429" s="32">
        <v>1065135</v>
      </c>
      <c r="L429" s="26">
        <v>82643</v>
      </c>
      <c r="M429" s="26" t="s">
        <v>9</v>
      </c>
      <c r="N429" s="26" t="s">
        <v>16</v>
      </c>
      <c r="O429" s="39"/>
      <c r="P429" s="1"/>
      <c r="Q429"/>
    </row>
    <row r="430" spans="1:17" x14ac:dyDescent="0.3">
      <c r="A430" s="1">
        <v>445</v>
      </c>
      <c r="B430" s="1">
        <f t="shared" si="8"/>
        <v>425</v>
      </c>
      <c r="C430" s="4" t="s">
        <v>323</v>
      </c>
      <c r="D430" s="4" t="s">
        <v>1592</v>
      </c>
      <c r="E430">
        <v>5853074</v>
      </c>
      <c r="F430">
        <v>726139001</v>
      </c>
      <c r="G430" s="4" t="s">
        <v>1305</v>
      </c>
      <c r="H430" s="4" t="s">
        <v>1593</v>
      </c>
      <c r="I430">
        <v>5487825</v>
      </c>
      <c r="K430" s="19">
        <v>1057364</v>
      </c>
      <c r="L430" s="1">
        <v>64183</v>
      </c>
      <c r="M430" s="1" t="s">
        <v>13</v>
      </c>
      <c r="O430" s="36"/>
      <c r="P430" s="1"/>
      <c r="Q430"/>
    </row>
    <row r="431" spans="1:17" x14ac:dyDescent="0.3">
      <c r="A431" s="1">
        <v>446</v>
      </c>
      <c r="B431" s="1">
        <f t="shared" si="8"/>
        <v>426</v>
      </c>
      <c r="C431" s="4" t="s">
        <v>1620</v>
      </c>
      <c r="D431" s="4" t="s">
        <v>2059</v>
      </c>
      <c r="G431" s="4" t="s">
        <v>2060</v>
      </c>
      <c r="H431" s="4" t="s">
        <v>2061</v>
      </c>
      <c r="I431">
        <v>6336530</v>
      </c>
      <c r="J431">
        <v>68758595</v>
      </c>
      <c r="K431" s="1" t="s">
        <v>31</v>
      </c>
      <c r="L431" s="1">
        <v>56024</v>
      </c>
      <c r="M431" s="1" t="s">
        <v>15</v>
      </c>
      <c r="O431" s="36" t="s">
        <v>2275</v>
      </c>
      <c r="P431" s="1"/>
      <c r="Q431"/>
    </row>
    <row r="432" spans="1:17" x14ac:dyDescent="0.3">
      <c r="A432" s="26">
        <v>449</v>
      </c>
      <c r="B432" s="26">
        <f t="shared" si="8"/>
        <v>427</v>
      </c>
      <c r="C432" s="27" t="s">
        <v>806</v>
      </c>
      <c r="D432" s="27" t="s">
        <v>1670</v>
      </c>
      <c r="E432" s="28">
        <v>5358635</v>
      </c>
      <c r="F432" s="28"/>
      <c r="G432" s="27" t="s">
        <v>1671</v>
      </c>
      <c r="H432" s="27" t="s">
        <v>1517</v>
      </c>
      <c r="I432" s="28">
        <v>5859093</v>
      </c>
      <c r="J432" s="31">
        <v>76082763</v>
      </c>
      <c r="K432" s="26">
        <v>1072191</v>
      </c>
      <c r="L432" s="26" t="s">
        <v>31</v>
      </c>
      <c r="M432" s="26" t="s">
        <v>14</v>
      </c>
      <c r="N432" s="26"/>
      <c r="O432" s="39"/>
      <c r="P432" s="1"/>
      <c r="Q432"/>
    </row>
    <row r="433" spans="1:17" x14ac:dyDescent="0.3">
      <c r="A433" s="30">
        <v>452</v>
      </c>
      <c r="B433" s="26">
        <f t="shared" si="8"/>
        <v>428</v>
      </c>
      <c r="C433" s="27" t="s">
        <v>208</v>
      </c>
      <c r="D433" s="27" t="s">
        <v>280</v>
      </c>
      <c r="E433" s="28">
        <v>7668520</v>
      </c>
      <c r="F433" s="28"/>
      <c r="G433" s="27" t="s">
        <v>281</v>
      </c>
      <c r="H433" s="27" t="s">
        <v>282</v>
      </c>
      <c r="I433" s="28">
        <v>3925720</v>
      </c>
      <c r="J433" s="28">
        <v>63587804</v>
      </c>
      <c r="K433" s="30">
        <v>1065890</v>
      </c>
      <c r="L433" s="26">
        <v>82649</v>
      </c>
      <c r="M433" s="26" t="s">
        <v>3</v>
      </c>
      <c r="N433" s="26" t="s">
        <v>14</v>
      </c>
      <c r="O433" s="39"/>
      <c r="P433" s="1"/>
      <c r="Q433"/>
    </row>
    <row r="434" spans="1:17" x14ac:dyDescent="0.3">
      <c r="A434" s="1">
        <v>454</v>
      </c>
      <c r="B434" s="1">
        <f t="shared" si="8"/>
        <v>429</v>
      </c>
      <c r="C434" s="4" t="s">
        <v>85</v>
      </c>
      <c r="D434" s="4" t="s">
        <v>2154</v>
      </c>
      <c r="E434">
        <v>7666191</v>
      </c>
      <c r="G434" s="4" t="s">
        <v>730</v>
      </c>
      <c r="H434" s="4" t="s">
        <v>2155</v>
      </c>
      <c r="I434">
        <v>8914423</v>
      </c>
      <c r="J434">
        <v>76640269</v>
      </c>
      <c r="K434" s="1">
        <v>1080937</v>
      </c>
      <c r="L434" s="1">
        <v>56022</v>
      </c>
      <c r="M434" s="1" t="s">
        <v>16</v>
      </c>
      <c r="O434" s="36"/>
      <c r="P434" s="1"/>
      <c r="Q434"/>
    </row>
    <row r="435" spans="1:17" x14ac:dyDescent="0.3">
      <c r="A435" s="1">
        <v>455</v>
      </c>
      <c r="B435" s="1">
        <f t="shared" si="8"/>
        <v>430</v>
      </c>
      <c r="C435" s="4" t="s">
        <v>1353</v>
      </c>
      <c r="D435" s="4" t="s">
        <v>2092</v>
      </c>
      <c r="E435">
        <v>4606279</v>
      </c>
      <c r="G435" s="4" t="s">
        <v>2093</v>
      </c>
      <c r="H435" s="4" t="s">
        <v>2094</v>
      </c>
      <c r="I435">
        <v>6570575</v>
      </c>
      <c r="K435" s="1">
        <v>1077550</v>
      </c>
      <c r="L435" s="1">
        <v>56029</v>
      </c>
      <c r="M435" s="1" t="s">
        <v>15</v>
      </c>
      <c r="O435" s="36"/>
      <c r="P435" s="1"/>
      <c r="Q435"/>
    </row>
    <row r="436" spans="1:17" x14ac:dyDescent="0.3">
      <c r="A436" s="1">
        <v>472</v>
      </c>
      <c r="B436" s="1">
        <f t="shared" si="8"/>
        <v>431</v>
      </c>
      <c r="C436" s="4" t="s">
        <v>433</v>
      </c>
      <c r="D436" s="4" t="s">
        <v>3004</v>
      </c>
      <c r="G436" s="4" t="s">
        <v>3005</v>
      </c>
      <c r="H436" s="4" t="s">
        <v>3006</v>
      </c>
      <c r="I436">
        <v>6233237</v>
      </c>
      <c r="J436">
        <v>75600418</v>
      </c>
      <c r="K436" s="1">
        <v>1090026</v>
      </c>
      <c r="L436" s="1">
        <v>82645</v>
      </c>
      <c r="M436" s="1" t="s">
        <v>12</v>
      </c>
      <c r="O436" s="36"/>
      <c r="P436" s="1"/>
      <c r="Q436">
        <v>6000</v>
      </c>
    </row>
    <row r="437" spans="1:17" x14ac:dyDescent="0.3">
      <c r="A437" s="1">
        <v>502</v>
      </c>
      <c r="B437" s="1">
        <f t="shared" si="8"/>
        <v>432</v>
      </c>
      <c r="C437" s="4" t="s">
        <v>211</v>
      </c>
      <c r="D437" s="4" t="s">
        <v>212</v>
      </c>
      <c r="E437">
        <v>8945195</v>
      </c>
      <c r="F437">
        <v>69237659</v>
      </c>
      <c r="G437" s="4" t="s">
        <v>213</v>
      </c>
      <c r="H437" s="4" t="s">
        <v>214</v>
      </c>
      <c r="I437">
        <v>7831225</v>
      </c>
      <c r="K437" s="1">
        <v>1056032</v>
      </c>
      <c r="L437" s="1">
        <v>8594</v>
      </c>
      <c r="M437" s="1" t="s">
        <v>3</v>
      </c>
      <c r="O437" s="36"/>
      <c r="P437" s="1"/>
      <c r="Q437">
        <f>SUM(Q391:Q436)</f>
        <v>20740</v>
      </c>
    </row>
    <row r="438" spans="1:17" x14ac:dyDescent="0.3">
      <c r="A438" s="26" t="s">
        <v>3123</v>
      </c>
      <c r="B438" s="26">
        <f t="shared" si="8"/>
        <v>433</v>
      </c>
      <c r="C438" s="27" t="s">
        <v>1480</v>
      </c>
      <c r="D438" s="27" t="s">
        <v>1481</v>
      </c>
      <c r="E438" s="28">
        <v>8112786</v>
      </c>
      <c r="F438" s="28"/>
      <c r="G438" s="27" t="s">
        <v>730</v>
      </c>
      <c r="H438" s="27" t="s">
        <v>1482</v>
      </c>
      <c r="I438" s="28">
        <v>8990131</v>
      </c>
      <c r="J438" s="28">
        <v>76025531</v>
      </c>
      <c r="K438" s="26" t="s">
        <v>31</v>
      </c>
      <c r="L438" s="26">
        <v>56102</v>
      </c>
      <c r="M438" s="26" t="s">
        <v>12</v>
      </c>
      <c r="N438" s="26"/>
      <c r="O438" s="39"/>
      <c r="P438" s="1"/>
      <c r="Q438"/>
    </row>
    <row r="439" spans="1:17" x14ac:dyDescent="0.3">
      <c r="A439" s="1" t="s">
        <v>3124</v>
      </c>
      <c r="B439" s="1">
        <f t="shared" si="8"/>
        <v>434</v>
      </c>
      <c r="C439" s="4" t="s">
        <v>1156</v>
      </c>
      <c r="D439" s="4" t="s">
        <v>1157</v>
      </c>
      <c r="E439">
        <v>6217149</v>
      </c>
      <c r="F439">
        <v>74445041</v>
      </c>
      <c r="G439" s="4" t="s">
        <v>1158</v>
      </c>
      <c r="H439" s="4" t="s">
        <v>1159</v>
      </c>
      <c r="I439">
        <v>7826336</v>
      </c>
      <c r="K439" s="11">
        <v>82578</v>
      </c>
      <c r="L439" s="1">
        <v>82578</v>
      </c>
      <c r="M439" s="1" t="s">
        <v>9</v>
      </c>
      <c r="O439" s="36"/>
      <c r="P439" s="1"/>
      <c r="Q439"/>
    </row>
    <row r="440" spans="1:17" x14ac:dyDescent="0.3">
      <c r="A440" s="26" t="s">
        <v>3125</v>
      </c>
      <c r="B440" s="26">
        <f t="shared" si="8"/>
        <v>435</v>
      </c>
      <c r="C440" s="27" t="s">
        <v>2299</v>
      </c>
      <c r="D440" s="27" t="s">
        <v>2300</v>
      </c>
      <c r="E440" s="28">
        <v>6217244</v>
      </c>
      <c r="F440" s="28"/>
      <c r="G440" s="27" t="s">
        <v>2301</v>
      </c>
      <c r="H440" s="27" t="s">
        <v>2302</v>
      </c>
      <c r="I440" s="28">
        <v>7805334</v>
      </c>
      <c r="J440" s="28">
        <v>78579710</v>
      </c>
      <c r="K440" s="26">
        <v>1057851</v>
      </c>
      <c r="L440" s="26">
        <v>56301</v>
      </c>
      <c r="M440" s="26" t="s">
        <v>18</v>
      </c>
      <c r="N440" s="26"/>
      <c r="O440" s="39"/>
      <c r="P440" s="1"/>
      <c r="Q440"/>
    </row>
    <row r="441" spans="1:17" x14ac:dyDescent="0.3">
      <c r="A441" s="26" t="s">
        <v>3126</v>
      </c>
      <c r="B441" s="26">
        <f t="shared" si="8"/>
        <v>436</v>
      </c>
      <c r="C441" s="27" t="s">
        <v>1213</v>
      </c>
      <c r="D441" s="27" t="s">
        <v>2373</v>
      </c>
      <c r="E441" s="28">
        <v>5496735</v>
      </c>
      <c r="F441" s="28"/>
      <c r="G441" s="27" t="s">
        <v>2374</v>
      </c>
      <c r="H441" s="27" t="s">
        <v>2375</v>
      </c>
      <c r="I441" s="28">
        <v>7460968</v>
      </c>
      <c r="J441" s="28">
        <v>78006490</v>
      </c>
      <c r="K441" s="26">
        <v>1056867</v>
      </c>
      <c r="L441" s="26" t="s">
        <v>31</v>
      </c>
      <c r="M441" s="26" t="s">
        <v>19</v>
      </c>
      <c r="N441" s="26"/>
      <c r="O441" s="39"/>
      <c r="P441" s="1"/>
      <c r="Q441"/>
    </row>
    <row r="442" spans="1:17" x14ac:dyDescent="0.3">
      <c r="A442" s="26" t="s">
        <v>3127</v>
      </c>
      <c r="B442" s="26">
        <f t="shared" si="8"/>
        <v>437</v>
      </c>
      <c r="C442" s="27" t="s">
        <v>1167</v>
      </c>
      <c r="D442" s="27" t="s">
        <v>1168</v>
      </c>
      <c r="E442" s="28">
        <v>5418092</v>
      </c>
      <c r="F442" s="28">
        <v>76344270</v>
      </c>
      <c r="G442" s="27" t="s">
        <v>1169</v>
      </c>
      <c r="H442" s="27" t="s">
        <v>1170</v>
      </c>
      <c r="I442" s="28">
        <v>7706080</v>
      </c>
      <c r="J442" s="28"/>
      <c r="K442" s="26">
        <v>503341</v>
      </c>
      <c r="L442" s="26" t="s">
        <v>31</v>
      </c>
      <c r="M442" s="26" t="s">
        <v>9</v>
      </c>
      <c r="N442" s="26"/>
      <c r="O442" s="39"/>
      <c r="P442" s="1"/>
      <c r="Q442"/>
    </row>
    <row r="443" spans="1:17" x14ac:dyDescent="0.3">
      <c r="A443" s="1" t="s">
        <v>3128</v>
      </c>
      <c r="B443" s="1">
        <f t="shared" si="8"/>
        <v>438</v>
      </c>
      <c r="C443" s="4" t="s">
        <v>547</v>
      </c>
      <c r="D443" s="4" t="s">
        <v>548</v>
      </c>
      <c r="E443">
        <v>4708373</v>
      </c>
      <c r="G443" s="4" t="s">
        <v>549</v>
      </c>
      <c r="H443" s="4" t="s">
        <v>550</v>
      </c>
      <c r="I443">
        <v>4624999</v>
      </c>
      <c r="J443">
        <v>78099846</v>
      </c>
      <c r="K443" s="1">
        <v>1062790</v>
      </c>
      <c r="L443" s="1">
        <v>8595</v>
      </c>
      <c r="M443" s="1" t="s">
        <v>3</v>
      </c>
      <c r="O443" s="36"/>
      <c r="P443" s="1"/>
      <c r="Q443"/>
    </row>
    <row r="444" spans="1:17" x14ac:dyDescent="0.3">
      <c r="A444" s="1" t="s">
        <v>3129</v>
      </c>
      <c r="B444" s="1">
        <f t="shared" si="8"/>
        <v>439</v>
      </c>
      <c r="C444" s="4" t="s">
        <v>2306</v>
      </c>
      <c r="D444" s="4" t="s">
        <v>2307</v>
      </c>
      <c r="E444">
        <v>5388937</v>
      </c>
      <c r="G444" s="4" t="s">
        <v>712</v>
      </c>
      <c r="H444" s="4" t="s">
        <v>2308</v>
      </c>
      <c r="I444">
        <v>7676223</v>
      </c>
      <c r="J444">
        <v>77044084</v>
      </c>
      <c r="K444" s="1">
        <v>1055503</v>
      </c>
      <c r="L444" s="1">
        <v>8733</v>
      </c>
      <c r="M444" s="1" t="s">
        <v>18</v>
      </c>
      <c r="O444" s="36"/>
      <c r="P444" s="1"/>
      <c r="Q444"/>
    </row>
    <row r="445" spans="1:17" x14ac:dyDescent="0.3">
      <c r="A445" s="26" t="s">
        <v>3130</v>
      </c>
      <c r="B445" s="26">
        <f t="shared" si="8"/>
        <v>440</v>
      </c>
      <c r="C445" s="27" t="s">
        <v>2042</v>
      </c>
      <c r="D445" s="27" t="s">
        <v>2310</v>
      </c>
      <c r="E445" s="28">
        <v>3864154</v>
      </c>
      <c r="F445" s="28"/>
      <c r="G445" s="27" t="s">
        <v>2311</v>
      </c>
      <c r="H445" s="27" t="s">
        <v>279</v>
      </c>
      <c r="I445" s="28">
        <v>5398268</v>
      </c>
      <c r="J445" s="28">
        <v>71052437</v>
      </c>
      <c r="K445" s="26">
        <v>1058532</v>
      </c>
      <c r="L445" s="26" t="s">
        <v>31</v>
      </c>
      <c r="M445" s="26" t="s">
        <v>18</v>
      </c>
      <c r="N445" s="26"/>
      <c r="O445" s="39"/>
      <c r="P445" s="1"/>
      <c r="Q445"/>
    </row>
    <row r="446" spans="1:17" x14ac:dyDescent="0.3">
      <c r="A446" s="26">
        <v>465</v>
      </c>
      <c r="B446" s="26">
        <f t="shared" si="8"/>
        <v>441</v>
      </c>
      <c r="C446" s="27" t="s">
        <v>1009</v>
      </c>
      <c r="D446" s="27" t="s">
        <v>1657</v>
      </c>
      <c r="E446" s="28">
        <v>4684616</v>
      </c>
      <c r="F446" s="28"/>
      <c r="G446" s="27" t="s">
        <v>1658</v>
      </c>
      <c r="H446" s="27" t="s">
        <v>1659</v>
      </c>
      <c r="I446" s="28">
        <v>4606151</v>
      </c>
      <c r="J446" s="28">
        <v>78199706</v>
      </c>
      <c r="K446" s="26">
        <v>1057278</v>
      </c>
      <c r="L446" s="26">
        <v>56264</v>
      </c>
      <c r="M446" s="26" t="s">
        <v>14</v>
      </c>
      <c r="N446" s="26"/>
      <c r="O446" s="39"/>
      <c r="P446" s="1"/>
      <c r="Q446"/>
    </row>
    <row r="447" spans="1:17" x14ac:dyDescent="0.3">
      <c r="A447" s="26">
        <v>118</v>
      </c>
      <c r="B447" s="26">
        <f t="shared" si="8"/>
        <v>442</v>
      </c>
      <c r="C447" s="27" t="s">
        <v>690</v>
      </c>
      <c r="D447" s="27" t="s">
        <v>691</v>
      </c>
      <c r="E447" s="28">
        <v>7722977</v>
      </c>
      <c r="F447" s="28"/>
      <c r="G447" s="27" t="s">
        <v>692</v>
      </c>
      <c r="H447" s="27" t="s">
        <v>693</v>
      </c>
      <c r="I447" s="28">
        <v>8987622</v>
      </c>
      <c r="J447" s="28">
        <v>73156605</v>
      </c>
      <c r="K447" s="26">
        <v>1057536</v>
      </c>
      <c r="L447" s="26" t="s">
        <v>31</v>
      </c>
      <c r="M447" s="26" t="s">
        <v>6</v>
      </c>
      <c r="N447" s="26"/>
      <c r="O447" s="39"/>
      <c r="P447" s="1"/>
      <c r="Q447"/>
    </row>
    <row r="448" spans="1:17" x14ac:dyDescent="0.3">
      <c r="A448" s="26" t="s">
        <v>3115</v>
      </c>
      <c r="B448" s="26">
        <f t="shared" si="8"/>
        <v>443</v>
      </c>
      <c r="C448" s="27" t="s">
        <v>995</v>
      </c>
      <c r="D448" s="27" t="s">
        <v>1995</v>
      </c>
      <c r="E448" s="28"/>
      <c r="F448" s="28"/>
      <c r="G448" s="27" t="s">
        <v>1996</v>
      </c>
      <c r="H448" s="27" t="s">
        <v>1997</v>
      </c>
      <c r="I448" s="28">
        <v>6301562</v>
      </c>
      <c r="J448" s="28">
        <v>71378871</v>
      </c>
      <c r="K448" s="26" t="s">
        <v>31</v>
      </c>
      <c r="L448" s="26" t="s">
        <v>31</v>
      </c>
      <c r="M448" s="26" t="s">
        <v>15</v>
      </c>
      <c r="N448" s="26"/>
      <c r="O448" s="39"/>
      <c r="P448" s="1"/>
      <c r="Q448"/>
    </row>
    <row r="449" spans="1:22" x14ac:dyDescent="0.3">
      <c r="A449" s="26" t="s">
        <v>3133</v>
      </c>
      <c r="B449" s="26">
        <f t="shared" si="8"/>
        <v>444</v>
      </c>
      <c r="C449" s="27" t="s">
        <v>2144</v>
      </c>
      <c r="D449" s="27" t="s">
        <v>2145</v>
      </c>
      <c r="E449" s="28">
        <v>3888121</v>
      </c>
      <c r="F449" s="28"/>
      <c r="G449" s="27" t="s">
        <v>87</v>
      </c>
      <c r="H449" s="27" t="s">
        <v>2146</v>
      </c>
      <c r="I449" s="28">
        <v>4549578</v>
      </c>
      <c r="J449" s="28">
        <v>69048992</v>
      </c>
      <c r="K449" s="26">
        <v>1078061</v>
      </c>
      <c r="L449" s="26">
        <v>82640</v>
      </c>
      <c r="M449" s="26" t="s">
        <v>16</v>
      </c>
      <c r="N449" s="26"/>
      <c r="O449" s="39"/>
      <c r="P449" s="1"/>
      <c r="Q449"/>
    </row>
    <row r="450" spans="1:22" x14ac:dyDescent="0.3">
      <c r="A450" s="1" t="s">
        <v>3134</v>
      </c>
      <c r="B450" s="1">
        <f t="shared" si="8"/>
        <v>445</v>
      </c>
      <c r="C450" s="4" t="s">
        <v>2942</v>
      </c>
      <c r="D450" s="4" t="s">
        <v>2940</v>
      </c>
      <c r="G450" s="4" t="s">
        <v>2942</v>
      </c>
      <c r="H450" s="4" t="s">
        <v>2941</v>
      </c>
      <c r="K450" s="1" t="s">
        <v>31</v>
      </c>
      <c r="L450" s="1">
        <v>8747</v>
      </c>
      <c r="M450" s="1" t="s">
        <v>11</v>
      </c>
      <c r="O450" s="36"/>
      <c r="P450" s="1"/>
      <c r="Q450"/>
    </row>
    <row r="451" spans="1:22" x14ac:dyDescent="0.3">
      <c r="A451" s="1">
        <v>365</v>
      </c>
      <c r="B451" s="1">
        <f t="shared" si="8"/>
        <v>446</v>
      </c>
      <c r="C451" s="4" t="s">
        <v>208</v>
      </c>
      <c r="D451" s="4" t="s">
        <v>2262</v>
      </c>
      <c r="G451" s="4" t="s">
        <v>1369</v>
      </c>
      <c r="H451" s="4" t="s">
        <v>2263</v>
      </c>
      <c r="I451" s="8">
        <v>9034422</v>
      </c>
      <c r="J451">
        <v>69134412</v>
      </c>
      <c r="K451" s="1">
        <v>1059259</v>
      </c>
      <c r="L451" s="1">
        <v>8553</v>
      </c>
      <c r="M451" s="1" t="s">
        <v>17</v>
      </c>
      <c r="O451" s="36"/>
      <c r="P451" s="1"/>
      <c r="Q451"/>
    </row>
    <row r="452" spans="1:22" x14ac:dyDescent="0.3">
      <c r="A452" s="1">
        <v>75</v>
      </c>
      <c r="B452" s="1">
        <f t="shared" si="8"/>
        <v>447</v>
      </c>
      <c r="C452" s="4" t="s">
        <v>695</v>
      </c>
      <c r="D452" s="4" t="s">
        <v>696</v>
      </c>
      <c r="G452" s="4" t="s">
        <v>697</v>
      </c>
      <c r="H452" s="4" t="s">
        <v>698</v>
      </c>
      <c r="I452">
        <v>5840437</v>
      </c>
      <c r="J452">
        <v>75366509</v>
      </c>
      <c r="K452" s="1">
        <v>1056120</v>
      </c>
      <c r="L452" s="1">
        <v>8660</v>
      </c>
      <c r="M452" s="1" t="s">
        <v>6</v>
      </c>
      <c r="O452" s="36"/>
      <c r="P452" s="1"/>
      <c r="Q452"/>
    </row>
    <row r="453" spans="1:22" x14ac:dyDescent="0.3">
      <c r="A453" s="26" t="s">
        <v>3137</v>
      </c>
      <c r="B453" s="26">
        <f t="shared" si="8"/>
        <v>448</v>
      </c>
      <c r="C453" s="27" t="s">
        <v>323</v>
      </c>
      <c r="D453" s="27" t="s">
        <v>2382</v>
      </c>
      <c r="E453" s="28">
        <v>3293857</v>
      </c>
      <c r="F453" s="28"/>
      <c r="G453" s="27" t="s">
        <v>2383</v>
      </c>
      <c r="H453" s="27" t="s">
        <v>2384</v>
      </c>
      <c r="I453" s="28">
        <v>5835742</v>
      </c>
      <c r="J453" s="28">
        <v>70281169</v>
      </c>
      <c r="K453" s="26">
        <v>1057471</v>
      </c>
      <c r="L453" s="26" t="s">
        <v>31</v>
      </c>
      <c r="M453" s="26" t="s">
        <v>19</v>
      </c>
      <c r="N453" s="26"/>
      <c r="O453" s="39"/>
      <c r="P453" s="1"/>
      <c r="Q453"/>
    </row>
    <row r="454" spans="1:22" x14ac:dyDescent="0.3">
      <c r="A454" s="1" t="s">
        <v>3138</v>
      </c>
      <c r="B454" s="1">
        <f t="shared" ref="B454:B478" si="9">ROW(B449)</f>
        <v>449</v>
      </c>
      <c r="C454" s="4" t="s">
        <v>323</v>
      </c>
      <c r="D454" s="4" t="s">
        <v>2386</v>
      </c>
      <c r="E454">
        <v>5894617</v>
      </c>
      <c r="G454" s="4" t="s">
        <v>2238</v>
      </c>
      <c r="H454" s="4" t="s">
        <v>2387</v>
      </c>
      <c r="I454">
        <v>8246767</v>
      </c>
      <c r="J454">
        <v>77042325</v>
      </c>
      <c r="K454" s="1">
        <v>1057295</v>
      </c>
      <c r="L454" s="1">
        <v>8725</v>
      </c>
      <c r="M454" s="1" t="s">
        <v>19</v>
      </c>
      <c r="O454" s="36"/>
      <c r="P454" s="1"/>
      <c r="Q454"/>
    </row>
    <row r="455" spans="1:22" ht="27" x14ac:dyDescent="0.3">
      <c r="A455" s="26" t="s">
        <v>3139</v>
      </c>
      <c r="B455" s="26">
        <f t="shared" si="9"/>
        <v>450</v>
      </c>
      <c r="C455" s="27" t="s">
        <v>1287</v>
      </c>
      <c r="D455" s="27" t="s">
        <v>2056</v>
      </c>
      <c r="E455" s="28">
        <v>5868957</v>
      </c>
      <c r="F455" s="28"/>
      <c r="G455" s="34" t="s">
        <v>2961</v>
      </c>
      <c r="H455" s="27" t="s">
        <v>2057</v>
      </c>
      <c r="I455" s="28">
        <v>5880222</v>
      </c>
      <c r="J455" s="28">
        <v>77886043</v>
      </c>
      <c r="K455" s="26">
        <v>11726745</v>
      </c>
      <c r="L455" s="26" t="s">
        <v>31</v>
      </c>
      <c r="M455" s="26" t="s">
        <v>15</v>
      </c>
      <c r="N455" s="26"/>
      <c r="O455" s="39"/>
      <c r="P455" s="1"/>
      <c r="Q455"/>
    </row>
    <row r="456" spans="1:22" x14ac:dyDescent="0.3">
      <c r="A456" s="26" t="s">
        <v>3140</v>
      </c>
      <c r="B456" s="26">
        <f t="shared" si="9"/>
        <v>451</v>
      </c>
      <c r="C456" s="27" t="s">
        <v>294</v>
      </c>
      <c r="D456" s="27" t="s">
        <v>2331</v>
      </c>
      <c r="E456" s="28">
        <v>6307065</v>
      </c>
      <c r="F456" s="28">
        <v>73685041</v>
      </c>
      <c r="G456" s="27" t="s">
        <v>2332</v>
      </c>
      <c r="H456" s="27" t="s">
        <v>1539</v>
      </c>
      <c r="I456" s="28">
        <v>5857801</v>
      </c>
      <c r="J456" s="28"/>
      <c r="K456" s="26" t="s">
        <v>2333</v>
      </c>
      <c r="L456" s="26" t="s">
        <v>31</v>
      </c>
      <c r="M456" s="26" t="s">
        <v>18</v>
      </c>
      <c r="N456" s="26"/>
      <c r="O456" s="39"/>
      <c r="P456" s="1"/>
      <c r="Q456"/>
    </row>
    <row r="457" spans="1:22" x14ac:dyDescent="0.3">
      <c r="A457" s="26" t="s">
        <v>3141</v>
      </c>
      <c r="B457" s="26">
        <f t="shared" si="9"/>
        <v>452</v>
      </c>
      <c r="C457" s="27" t="s">
        <v>208</v>
      </c>
      <c r="D457" s="27" t="s">
        <v>118</v>
      </c>
      <c r="E457" s="28">
        <v>7705466</v>
      </c>
      <c r="F457" s="28"/>
      <c r="G457" s="27" t="s">
        <v>480</v>
      </c>
      <c r="H457" s="27" t="s">
        <v>481</v>
      </c>
      <c r="I457" s="28">
        <v>4144053</v>
      </c>
      <c r="J457" s="31">
        <v>62181252</v>
      </c>
      <c r="K457" s="26" t="s">
        <v>31</v>
      </c>
      <c r="L457" s="26" t="s">
        <v>31</v>
      </c>
      <c r="M457" s="26" t="s">
        <v>5</v>
      </c>
      <c r="N457" s="26" t="s">
        <v>10</v>
      </c>
      <c r="O457" s="41"/>
      <c r="P457" s="1"/>
      <c r="Q457"/>
    </row>
    <row r="458" spans="1:22" x14ac:dyDescent="0.3">
      <c r="A458" s="26" t="s">
        <v>3142</v>
      </c>
      <c r="B458" s="26">
        <f t="shared" si="9"/>
        <v>453</v>
      </c>
      <c r="C458" s="27" t="s">
        <v>482</v>
      </c>
      <c r="D458" s="27" t="s">
        <v>483</v>
      </c>
      <c r="E458" s="28"/>
      <c r="F458" s="28"/>
      <c r="G458" s="27" t="s">
        <v>484</v>
      </c>
      <c r="H458" s="27" t="s">
        <v>485</v>
      </c>
      <c r="I458" s="28">
        <v>6602885</v>
      </c>
      <c r="J458" s="28">
        <v>68865348</v>
      </c>
      <c r="K458" s="26">
        <v>1055733</v>
      </c>
      <c r="L458" s="26">
        <v>82635</v>
      </c>
      <c r="M458" s="26" t="s">
        <v>5</v>
      </c>
      <c r="N458" s="26"/>
      <c r="O458" s="39"/>
      <c r="P458" s="1"/>
      <c r="Q458"/>
    </row>
    <row r="459" spans="1:22" x14ac:dyDescent="0.3">
      <c r="A459" s="26">
        <v>57</v>
      </c>
      <c r="B459" s="26">
        <f t="shared" si="9"/>
        <v>454</v>
      </c>
      <c r="C459" s="27" t="s">
        <v>1484</v>
      </c>
      <c r="D459" s="27" t="s">
        <v>1548</v>
      </c>
      <c r="E459" s="28"/>
      <c r="F459" s="28"/>
      <c r="G459" s="27" t="s">
        <v>1549</v>
      </c>
      <c r="H459" s="27" t="s">
        <v>476</v>
      </c>
      <c r="I459" s="28">
        <v>8943619</v>
      </c>
      <c r="J459" s="28">
        <v>71063011</v>
      </c>
      <c r="K459" s="26">
        <v>1055613</v>
      </c>
      <c r="L459" s="26" t="s">
        <v>31</v>
      </c>
      <c r="M459" s="26" t="s">
        <v>13</v>
      </c>
      <c r="N459" s="26"/>
      <c r="O459" s="39"/>
      <c r="P459" s="1"/>
      <c r="Q459"/>
    </row>
    <row r="460" spans="1:22" ht="27" x14ac:dyDescent="0.3">
      <c r="A460" s="26" t="s">
        <v>3143</v>
      </c>
      <c r="B460" s="26">
        <f t="shared" si="9"/>
        <v>455</v>
      </c>
      <c r="C460" s="34" t="s">
        <v>2979</v>
      </c>
      <c r="D460" s="27" t="s">
        <v>1521</v>
      </c>
      <c r="E460" s="28">
        <v>7827559</v>
      </c>
      <c r="F460" s="28"/>
      <c r="G460" s="27" t="s">
        <v>1522</v>
      </c>
      <c r="H460" s="27" t="s">
        <v>1523</v>
      </c>
      <c r="I460" s="28">
        <v>7827569</v>
      </c>
      <c r="J460" s="28">
        <v>69117089</v>
      </c>
      <c r="K460" s="26">
        <v>1058805</v>
      </c>
      <c r="L460" s="26" t="s">
        <v>31</v>
      </c>
      <c r="M460" s="26" t="s">
        <v>12</v>
      </c>
      <c r="N460" s="26"/>
      <c r="O460" s="39"/>
      <c r="P460" s="1"/>
      <c r="Q460"/>
    </row>
    <row r="461" spans="1:22" x14ac:dyDescent="0.3">
      <c r="A461" s="26">
        <v>303</v>
      </c>
      <c r="B461" s="26">
        <f t="shared" si="9"/>
        <v>456</v>
      </c>
      <c r="C461" s="27" t="s">
        <v>522</v>
      </c>
      <c r="D461" s="27" t="s">
        <v>2265</v>
      </c>
      <c r="E461" s="28">
        <v>6274582</v>
      </c>
      <c r="F461" s="28"/>
      <c r="G461" s="27" t="s">
        <v>2266</v>
      </c>
      <c r="H461" s="27" t="s">
        <v>1527</v>
      </c>
      <c r="I461" s="28">
        <v>7756110</v>
      </c>
      <c r="J461" s="28">
        <v>67721236</v>
      </c>
      <c r="K461" s="26">
        <v>1058553</v>
      </c>
      <c r="L461" s="26" t="s">
        <v>31</v>
      </c>
      <c r="M461" s="26" t="s">
        <v>17</v>
      </c>
      <c r="N461" s="26"/>
      <c r="O461" s="39"/>
      <c r="P461" s="1"/>
      <c r="Q461"/>
    </row>
    <row r="462" spans="1:22" ht="27" x14ac:dyDescent="0.3">
      <c r="A462" s="26" t="s">
        <v>3145</v>
      </c>
      <c r="B462" s="26">
        <f t="shared" si="9"/>
        <v>457</v>
      </c>
      <c r="C462" s="27" t="s">
        <v>2392</v>
      </c>
      <c r="D462" s="27" t="s">
        <v>2393</v>
      </c>
      <c r="E462" s="28">
        <v>8550231</v>
      </c>
      <c r="F462" s="28"/>
      <c r="G462" s="34" t="s">
        <v>2962</v>
      </c>
      <c r="H462" s="27" t="s">
        <v>2394</v>
      </c>
      <c r="I462" s="28">
        <v>6694232</v>
      </c>
      <c r="J462" s="28">
        <v>75624741</v>
      </c>
      <c r="K462" s="26">
        <v>1056137</v>
      </c>
      <c r="L462" s="26" t="s">
        <v>31</v>
      </c>
      <c r="M462" s="26" t="s">
        <v>19</v>
      </c>
      <c r="N462" s="26"/>
      <c r="O462" s="39"/>
      <c r="P462" s="1"/>
      <c r="Q462"/>
    </row>
    <row r="463" spans="1:22" x14ac:dyDescent="0.3">
      <c r="A463" s="26" t="s">
        <v>3146</v>
      </c>
      <c r="B463" s="26">
        <f t="shared" si="9"/>
        <v>458</v>
      </c>
      <c r="C463" s="27" t="s">
        <v>834</v>
      </c>
      <c r="D463" s="27" t="s">
        <v>835</v>
      </c>
      <c r="E463" s="28">
        <v>4538930</v>
      </c>
      <c r="F463" s="28">
        <v>60752428</v>
      </c>
      <c r="G463" s="27" t="s">
        <v>836</v>
      </c>
      <c r="H463" s="27" t="s">
        <v>837</v>
      </c>
      <c r="I463" s="28">
        <v>6201942</v>
      </c>
      <c r="J463" s="28"/>
      <c r="K463" s="26" t="s">
        <v>31</v>
      </c>
      <c r="L463" s="26">
        <v>82638</v>
      </c>
      <c r="M463" s="26" t="s">
        <v>7</v>
      </c>
      <c r="N463" s="26" t="s">
        <v>19</v>
      </c>
      <c r="O463" s="39"/>
      <c r="P463" s="1"/>
      <c r="Q463"/>
    </row>
    <row r="464" spans="1:22" x14ac:dyDescent="0.3">
      <c r="A464" s="26" t="s">
        <v>3147</v>
      </c>
      <c r="B464" s="26">
        <f t="shared" si="9"/>
        <v>459</v>
      </c>
      <c r="C464" s="27" t="s">
        <v>1287</v>
      </c>
      <c r="D464" s="27" t="s">
        <v>2399</v>
      </c>
      <c r="E464" s="28">
        <v>5887148</v>
      </c>
      <c r="F464" s="28"/>
      <c r="G464" s="27" t="s">
        <v>2400</v>
      </c>
      <c r="H464" s="27" t="s">
        <v>2205</v>
      </c>
      <c r="I464" s="28">
        <v>5887118</v>
      </c>
      <c r="J464" s="31">
        <v>69141904</v>
      </c>
      <c r="K464" s="26">
        <v>1064290</v>
      </c>
      <c r="L464" s="26" t="s">
        <v>31</v>
      </c>
      <c r="M464" s="26" t="s">
        <v>19</v>
      </c>
      <c r="N464" s="26"/>
      <c r="O464" s="39"/>
      <c r="P464" s="1"/>
      <c r="Q464"/>
      <c r="V464">
        <f>12+467</f>
        <v>479</v>
      </c>
    </row>
    <row r="465" spans="1:17" x14ac:dyDescent="0.3">
      <c r="A465" s="26" t="s">
        <v>3148</v>
      </c>
      <c r="B465" s="26">
        <f t="shared" si="9"/>
        <v>460</v>
      </c>
      <c r="C465" s="27" t="s">
        <v>1697</v>
      </c>
      <c r="D465" s="27" t="s">
        <v>1698</v>
      </c>
      <c r="E465" s="28">
        <v>7844306</v>
      </c>
      <c r="F465" s="28"/>
      <c r="G465" s="27" t="s">
        <v>1699</v>
      </c>
      <c r="H465" s="27" t="s">
        <v>1700</v>
      </c>
      <c r="I465" s="28">
        <v>7838651</v>
      </c>
      <c r="J465" s="28"/>
      <c r="K465" s="26">
        <v>1063041</v>
      </c>
      <c r="L465" s="26" t="s">
        <v>31</v>
      </c>
      <c r="M465" s="26" t="s">
        <v>14</v>
      </c>
      <c r="N465" s="26"/>
      <c r="O465" s="39"/>
      <c r="P465" s="1"/>
      <c r="Q465"/>
    </row>
    <row r="466" spans="1:17" x14ac:dyDescent="0.3">
      <c r="A466" s="26" t="s">
        <v>3149</v>
      </c>
      <c r="B466" s="26">
        <f t="shared" si="9"/>
        <v>461</v>
      </c>
      <c r="C466" s="27" t="s">
        <v>1172</v>
      </c>
      <c r="D466" s="27" t="s">
        <v>2447</v>
      </c>
      <c r="E466" s="28"/>
      <c r="F466" s="28"/>
      <c r="G466" s="27" t="s">
        <v>2448</v>
      </c>
      <c r="H466" s="27" t="s">
        <v>2449</v>
      </c>
      <c r="I466" s="31">
        <v>6336530</v>
      </c>
      <c r="J466" s="28">
        <v>68758595</v>
      </c>
      <c r="K466" s="26" t="s">
        <v>31</v>
      </c>
      <c r="L466" s="26">
        <v>56024</v>
      </c>
      <c r="M466" s="26" t="s">
        <v>20</v>
      </c>
      <c r="N466" s="26" t="s">
        <v>2995</v>
      </c>
      <c r="O466" s="39"/>
      <c r="P466" s="1"/>
      <c r="Q466"/>
    </row>
    <row r="467" spans="1:17" x14ac:dyDescent="0.3">
      <c r="A467" s="1" t="s">
        <v>3150</v>
      </c>
      <c r="B467" s="1">
        <f t="shared" si="9"/>
        <v>462</v>
      </c>
      <c r="C467" s="4" t="s">
        <v>824</v>
      </c>
      <c r="D467" s="4" t="s">
        <v>2328</v>
      </c>
      <c r="E467">
        <v>4708305</v>
      </c>
      <c r="G467" s="4" t="s">
        <v>494</v>
      </c>
      <c r="H467" s="4" t="s">
        <v>2329</v>
      </c>
      <c r="I467">
        <v>3924776</v>
      </c>
      <c r="J467">
        <v>77635883</v>
      </c>
      <c r="K467" s="1">
        <v>1058775</v>
      </c>
      <c r="L467" s="1">
        <v>8676</v>
      </c>
      <c r="M467" s="1" t="s">
        <v>18</v>
      </c>
      <c r="O467" s="36"/>
      <c r="P467" s="1"/>
      <c r="Q467"/>
    </row>
    <row r="468" spans="1:17" x14ac:dyDescent="0.3">
      <c r="A468" s="1" t="s">
        <v>3151</v>
      </c>
      <c r="B468" s="1">
        <f t="shared" si="9"/>
        <v>463</v>
      </c>
      <c r="C468" s="4" t="s">
        <v>2350</v>
      </c>
      <c r="D468" s="4" t="s">
        <v>2351</v>
      </c>
      <c r="G468" s="4" t="s">
        <v>2352</v>
      </c>
      <c r="H468" s="4" t="s">
        <v>2353</v>
      </c>
      <c r="I468">
        <v>6304434</v>
      </c>
      <c r="J468">
        <v>61393411</v>
      </c>
      <c r="K468" s="1">
        <v>1057301</v>
      </c>
      <c r="L468" s="1">
        <v>82598</v>
      </c>
      <c r="M468" s="1" t="s">
        <v>18</v>
      </c>
      <c r="O468" s="36"/>
      <c r="P468" s="1"/>
      <c r="Q468"/>
    </row>
    <row r="469" spans="1:17" x14ac:dyDescent="0.3">
      <c r="A469" s="1" t="s">
        <v>3155</v>
      </c>
      <c r="B469" s="1">
        <f t="shared" si="9"/>
        <v>464</v>
      </c>
      <c r="C469" s="4" t="s">
        <v>1620</v>
      </c>
      <c r="D469" s="4" t="s">
        <v>1240</v>
      </c>
      <c r="E469" s="8">
        <v>8994762</v>
      </c>
      <c r="F469">
        <v>76036339</v>
      </c>
      <c r="G469" s="4" t="s">
        <v>2268</v>
      </c>
      <c r="H469" s="4" t="s">
        <v>2269</v>
      </c>
      <c r="I469">
        <v>8148695</v>
      </c>
      <c r="J469" s="23"/>
      <c r="K469" s="1">
        <v>1058235</v>
      </c>
      <c r="L469" s="1">
        <v>8670</v>
      </c>
      <c r="M469" s="1" t="s">
        <v>17</v>
      </c>
      <c r="O469" s="40" t="s">
        <v>2988</v>
      </c>
      <c r="P469" s="1"/>
      <c r="Q469"/>
    </row>
    <row r="470" spans="1:17" x14ac:dyDescent="0.3">
      <c r="A470" s="26" t="s">
        <v>3117</v>
      </c>
      <c r="B470" s="26">
        <f t="shared" si="9"/>
        <v>465</v>
      </c>
      <c r="C470" s="27" t="s">
        <v>249</v>
      </c>
      <c r="D470" s="27" t="s">
        <v>250</v>
      </c>
      <c r="E470" s="28">
        <v>5894659</v>
      </c>
      <c r="F470" s="28"/>
      <c r="G470" s="27" t="s">
        <v>251</v>
      </c>
      <c r="H470" s="27" t="s">
        <v>252</v>
      </c>
      <c r="I470" s="28">
        <v>6242039</v>
      </c>
      <c r="J470" s="28">
        <v>68751468</v>
      </c>
      <c r="K470" s="26" t="s">
        <v>31</v>
      </c>
      <c r="L470" s="26">
        <v>56291</v>
      </c>
      <c r="M470" s="26" t="s">
        <v>3</v>
      </c>
      <c r="N470" s="26"/>
      <c r="O470" s="39"/>
      <c r="P470" s="1"/>
      <c r="Q470"/>
    </row>
    <row r="471" spans="1:17" x14ac:dyDescent="0.3">
      <c r="A471" s="1" t="s">
        <v>3152</v>
      </c>
      <c r="B471" s="1">
        <f t="shared" si="9"/>
        <v>466</v>
      </c>
      <c r="C471" s="4" t="s">
        <v>2946</v>
      </c>
      <c r="D471" s="4" t="s">
        <v>2943</v>
      </c>
      <c r="G471" s="4" t="s">
        <v>2946</v>
      </c>
      <c r="H471" s="4" t="s">
        <v>2944</v>
      </c>
      <c r="I471" t="s">
        <v>2945</v>
      </c>
      <c r="K471" s="1" t="s">
        <v>31</v>
      </c>
      <c r="L471" s="1">
        <v>64192</v>
      </c>
      <c r="M471" s="1" t="s">
        <v>14</v>
      </c>
      <c r="O471" s="36"/>
      <c r="P471" s="1"/>
      <c r="Q471"/>
    </row>
    <row r="472" spans="1:17" x14ac:dyDescent="0.3">
      <c r="A472" s="1" t="s">
        <v>3153</v>
      </c>
      <c r="B472" s="1">
        <f t="shared" si="9"/>
        <v>467</v>
      </c>
      <c r="C472" s="4" t="s">
        <v>2946</v>
      </c>
      <c r="D472" s="4" t="s">
        <v>2954</v>
      </c>
      <c r="H472" s="4" t="s">
        <v>2955</v>
      </c>
      <c r="I472" t="s">
        <v>2945</v>
      </c>
      <c r="K472" s="1" t="s">
        <v>31</v>
      </c>
      <c r="L472" s="1">
        <v>82620</v>
      </c>
      <c r="M472" s="1" t="s">
        <v>12</v>
      </c>
      <c r="O472" s="36"/>
      <c r="P472" s="1"/>
      <c r="Q472"/>
    </row>
    <row r="473" spans="1:17" x14ac:dyDescent="0.3">
      <c r="A473" s="26" t="s">
        <v>3154</v>
      </c>
      <c r="B473" s="26">
        <f t="shared" si="9"/>
        <v>468</v>
      </c>
      <c r="C473" s="27" t="s">
        <v>234</v>
      </c>
      <c r="D473" s="27" t="s">
        <v>981</v>
      </c>
      <c r="E473" s="28">
        <v>8989686</v>
      </c>
      <c r="F473" s="28">
        <v>76025702</v>
      </c>
      <c r="G473" s="27" t="s">
        <v>54</v>
      </c>
      <c r="H473" s="27" t="s">
        <v>1259</v>
      </c>
      <c r="I473" s="28"/>
      <c r="J473" s="28"/>
      <c r="K473" s="26">
        <v>1057960</v>
      </c>
      <c r="L473" s="26" t="s">
        <v>31</v>
      </c>
      <c r="M473" s="26" t="s">
        <v>10</v>
      </c>
      <c r="N473" s="26"/>
      <c r="O473" s="39"/>
      <c r="P473" s="1"/>
      <c r="Q473"/>
    </row>
    <row r="474" spans="1:17" x14ac:dyDescent="0.3">
      <c r="A474" s="1">
        <v>179</v>
      </c>
      <c r="B474" s="1">
        <f t="shared" si="9"/>
        <v>469</v>
      </c>
      <c r="C474" s="4" t="s">
        <v>2270</v>
      </c>
      <c r="D474" s="4" t="s">
        <v>2271</v>
      </c>
      <c r="E474">
        <v>5827961</v>
      </c>
      <c r="G474" s="4" t="s">
        <v>2272</v>
      </c>
      <c r="H474" s="4" t="s">
        <v>2273</v>
      </c>
      <c r="I474">
        <v>6242981</v>
      </c>
      <c r="J474">
        <v>71611934</v>
      </c>
      <c r="K474" s="1">
        <v>1057237</v>
      </c>
      <c r="L474" s="1">
        <v>82565</v>
      </c>
      <c r="M474" s="1" t="s">
        <v>17</v>
      </c>
      <c r="O474" s="40" t="s">
        <v>2988</v>
      </c>
      <c r="P474" s="1"/>
      <c r="Q474"/>
    </row>
    <row r="475" spans="1:17" x14ac:dyDescent="0.3">
      <c r="A475" s="26" t="s">
        <v>3119</v>
      </c>
      <c r="B475" s="26">
        <f t="shared" si="9"/>
        <v>470</v>
      </c>
      <c r="C475" s="27" t="s">
        <v>73</v>
      </c>
      <c r="D475" s="27" t="s">
        <v>74</v>
      </c>
      <c r="E475" s="28">
        <v>9662845</v>
      </c>
      <c r="F475" s="28"/>
      <c r="G475" s="27" t="s">
        <v>75</v>
      </c>
      <c r="H475" s="27" t="s">
        <v>76</v>
      </c>
      <c r="I475" s="28">
        <v>7826184</v>
      </c>
      <c r="J475" s="28">
        <v>74644173</v>
      </c>
      <c r="K475" s="26" t="s">
        <v>31</v>
      </c>
      <c r="L475" s="26" t="s">
        <v>31</v>
      </c>
      <c r="M475" s="26" t="s">
        <v>4</v>
      </c>
      <c r="N475" s="26" t="s">
        <v>7</v>
      </c>
      <c r="O475" s="39"/>
      <c r="P475" s="1"/>
      <c r="Q475">
        <f>Q391+Q394+Q436</f>
        <v>20740</v>
      </c>
    </row>
    <row r="476" spans="1:17" x14ac:dyDescent="0.3">
      <c r="A476" s="1">
        <v>105</v>
      </c>
      <c r="B476" s="1">
        <f t="shared" si="9"/>
        <v>471</v>
      </c>
      <c r="C476" s="4" t="s">
        <v>700</v>
      </c>
      <c r="D476" s="4" t="s">
        <v>701</v>
      </c>
      <c r="E476">
        <v>4220547</v>
      </c>
      <c r="G476" s="4" t="s">
        <v>702</v>
      </c>
      <c r="H476" s="4" t="s">
        <v>703</v>
      </c>
      <c r="I476">
        <v>5408834</v>
      </c>
      <c r="J476">
        <v>73171245</v>
      </c>
      <c r="K476" s="1">
        <v>1056907</v>
      </c>
      <c r="L476" s="11">
        <v>8555</v>
      </c>
      <c r="M476" s="1" t="s">
        <v>6</v>
      </c>
      <c r="O476" s="55" t="s">
        <v>2948</v>
      </c>
      <c r="P476" s="1"/>
      <c r="Q476"/>
    </row>
    <row r="477" spans="1:17" x14ac:dyDescent="0.3">
      <c r="A477" s="26" t="s">
        <v>3121</v>
      </c>
      <c r="B477" s="26">
        <f t="shared" si="9"/>
        <v>472</v>
      </c>
      <c r="C477" s="27" t="s">
        <v>2287</v>
      </c>
      <c r="D477" s="27" t="s">
        <v>2288</v>
      </c>
      <c r="E477" s="28">
        <v>4626612</v>
      </c>
      <c r="F477" s="28">
        <v>78127009</v>
      </c>
      <c r="G477" s="27" t="s">
        <v>132</v>
      </c>
      <c r="H477" s="27" t="s">
        <v>1664</v>
      </c>
      <c r="I477" s="28">
        <v>4665008</v>
      </c>
      <c r="J477" s="28"/>
      <c r="K477" s="26">
        <v>105861</v>
      </c>
      <c r="L477" s="26">
        <v>82625</v>
      </c>
      <c r="M477" s="26" t="s">
        <v>18</v>
      </c>
      <c r="N477" s="26"/>
      <c r="O477" s="39"/>
      <c r="P477" s="1"/>
      <c r="Q477"/>
    </row>
    <row r="478" spans="1:17" x14ac:dyDescent="0.3">
      <c r="A478" s="26" t="s">
        <v>3122</v>
      </c>
      <c r="B478" s="26">
        <f t="shared" si="9"/>
        <v>473</v>
      </c>
      <c r="C478" s="27" t="s">
        <v>986</v>
      </c>
      <c r="D478" s="27" t="s">
        <v>987</v>
      </c>
      <c r="E478" s="28">
        <v>11306453</v>
      </c>
      <c r="F478" s="28"/>
      <c r="G478" s="27" t="s">
        <v>988</v>
      </c>
      <c r="H478" s="27" t="s">
        <v>989</v>
      </c>
      <c r="I478" s="28">
        <v>11394771</v>
      </c>
      <c r="J478" s="31">
        <v>77372948</v>
      </c>
      <c r="K478" s="26">
        <v>1057703</v>
      </c>
      <c r="L478" s="26">
        <v>8717</v>
      </c>
      <c r="M478" s="26" t="s">
        <v>8</v>
      </c>
      <c r="N478" s="26"/>
      <c r="O478" s="39"/>
      <c r="P478" s="1"/>
      <c r="Q478"/>
    </row>
    <row r="479" spans="1:17" x14ac:dyDescent="0.3">
      <c r="A479" s="26"/>
      <c r="B479" s="1"/>
      <c r="K479" s="1"/>
      <c r="O479" s="36"/>
      <c r="P479" s="1"/>
      <c r="Q479"/>
    </row>
    <row r="480" spans="1:17" x14ac:dyDescent="0.3">
      <c r="A480" s="26"/>
      <c r="B480" s="1"/>
      <c r="K480" s="1"/>
      <c r="O480" s="36"/>
      <c r="P480" s="1"/>
      <c r="Q480"/>
    </row>
    <row r="481" spans="1:17" x14ac:dyDescent="0.3">
      <c r="A481" s="26"/>
      <c r="B481" s="1"/>
      <c r="K481" s="1"/>
      <c r="O481" s="36"/>
      <c r="P481" s="1"/>
      <c r="Q481"/>
    </row>
  </sheetData>
  <phoneticPr fontId="5" type="noConversion"/>
  <conditionalFormatting sqref="A1:A1048576">
    <cfRule type="duplicateValues" dxfId="13" priority="2"/>
  </conditionalFormatting>
  <conditionalFormatting sqref="A6">
    <cfRule type="duplicateValues" dxfId="12" priority="3"/>
  </conditionalFormatting>
  <conditionalFormatting sqref="K5:K65 K67:K479">
    <cfRule type="duplicateValues" dxfId="11" priority="11"/>
  </conditionalFormatting>
  <conditionalFormatting sqref="K66">
    <cfRule type="duplicateValues" dxfId="10" priority="1"/>
  </conditionalFormatting>
  <conditionalFormatting sqref="M482:M1048576 L1:L481">
    <cfRule type="duplicateValues" dxfId="9" priority="4"/>
    <cfRule type="duplicateValues" dxfId="8" priority="5"/>
  </conditionalFormatting>
  <conditionalFormatting sqref="L6">
    <cfRule type="duplicateValues" dxfId="7" priority="6"/>
  </conditionalFormatting>
  <pageMargins left="0.25" right="0.25" top="0.75" bottom="0.75" header="0.3" footer="0.3"/>
  <pageSetup paperSize="5" orientation="landscape" horizontalDpi="360" verticalDpi="36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AF12A-CAA2-43D3-A091-3A4F5C0A4704}">
  <sheetPr codeName="Hoja12"/>
  <dimension ref="B1:L12"/>
  <sheetViews>
    <sheetView topLeftCell="B1" workbookViewId="0">
      <selection activeCell="B1" sqref="B1:L3"/>
    </sheetView>
  </sheetViews>
  <sheetFormatPr baseColWidth="10" defaultRowHeight="14.4" x14ac:dyDescent="0.3"/>
  <cols>
    <col min="2" max="2" width="9.5546875" style="1" bestFit="1" customWidth="1"/>
    <col min="3" max="3" width="16.21875" bestFit="1" customWidth="1"/>
    <col min="4" max="4" width="23.88671875" bestFit="1" customWidth="1"/>
    <col min="5" max="5" width="26.33203125" style="1" bestFit="1" customWidth="1"/>
    <col min="6" max="6" width="15.6640625" bestFit="1" customWidth="1"/>
    <col min="7" max="7" width="19.21875" bestFit="1" customWidth="1"/>
    <col min="8" max="8" width="8.5546875" style="1" bestFit="1" customWidth="1"/>
    <col min="9" max="9" width="25.6640625" bestFit="1" customWidth="1"/>
    <col min="10" max="10" width="12.21875" style="1" bestFit="1" customWidth="1"/>
    <col min="11" max="11" width="12.77734375" style="1" bestFit="1" customWidth="1"/>
    <col min="12" max="12" width="7.44140625" style="1" bestFit="1" customWidth="1"/>
  </cols>
  <sheetData>
    <row r="1" spans="2:12" ht="14.4" customHeight="1" x14ac:dyDescent="0.3">
      <c r="B1" s="170" t="s">
        <v>3030</v>
      </c>
      <c r="C1" s="170"/>
      <c r="D1" s="170"/>
      <c r="E1" s="170"/>
      <c r="F1" s="170"/>
      <c r="G1" s="170"/>
      <c r="H1" s="170"/>
      <c r="I1" s="170"/>
      <c r="J1" s="170"/>
      <c r="K1" s="170"/>
      <c r="L1" s="170"/>
    </row>
    <row r="2" spans="2:12" ht="14.4" customHeight="1" x14ac:dyDescent="0.3">
      <c r="B2" s="170"/>
      <c r="C2" s="170"/>
      <c r="D2" s="170"/>
      <c r="E2" s="170"/>
      <c r="F2" s="170"/>
      <c r="G2" s="170"/>
      <c r="H2" s="170"/>
      <c r="I2" s="170"/>
      <c r="J2" s="170"/>
      <c r="K2" s="170"/>
      <c r="L2" s="170"/>
    </row>
    <row r="3" spans="2:12" ht="14.4" customHeight="1" x14ac:dyDescent="0.3">
      <c r="B3" s="170"/>
      <c r="C3" s="170"/>
      <c r="D3" s="170"/>
      <c r="E3" s="170"/>
      <c r="F3" s="170"/>
      <c r="G3" s="170"/>
      <c r="H3" s="170"/>
      <c r="I3" s="170"/>
      <c r="J3" s="170"/>
      <c r="K3" s="170"/>
      <c r="L3" s="170"/>
    </row>
    <row r="5" spans="2:12" x14ac:dyDescent="0.3">
      <c r="D5" s="134" t="s">
        <v>3033</v>
      </c>
    </row>
    <row r="6" spans="2:12" x14ac:dyDescent="0.3">
      <c r="C6" s="136" t="s">
        <v>3045</v>
      </c>
      <c r="D6" s="135" t="s">
        <v>293</v>
      </c>
    </row>
    <row r="7" spans="2:12" ht="24" x14ac:dyDescent="0.3">
      <c r="D7" s="137" t="s">
        <v>3054</v>
      </c>
      <c r="F7" s="1"/>
    </row>
    <row r="8" spans="2:12" x14ac:dyDescent="0.3">
      <c r="E8" s="1" t="s">
        <v>3055</v>
      </c>
      <c r="F8" s="171" t="s">
        <v>364</v>
      </c>
      <c r="G8" s="171"/>
    </row>
    <row r="10" spans="2:12" x14ac:dyDescent="0.3">
      <c r="B10" s="113" t="s">
        <v>2980</v>
      </c>
      <c r="C10" s="5" t="s">
        <v>3035</v>
      </c>
      <c r="D10" s="5" t="s">
        <v>3036</v>
      </c>
      <c r="E10" s="2" t="s">
        <v>3037</v>
      </c>
      <c r="F10" s="2" t="s">
        <v>3038</v>
      </c>
      <c r="G10" s="5" t="s">
        <v>3039</v>
      </c>
      <c r="H10" s="2" t="s">
        <v>3044</v>
      </c>
      <c r="I10" s="2" t="s">
        <v>3040</v>
      </c>
      <c r="J10" s="2" t="s">
        <v>3041</v>
      </c>
      <c r="K10" s="2" t="s">
        <v>3042</v>
      </c>
      <c r="L10" s="3" t="s">
        <v>3043</v>
      </c>
    </row>
    <row r="11" spans="2:12" x14ac:dyDescent="0.3">
      <c r="B11" s="114" cm="1">
        <f t="array" ref="B11:K12">IF(D6="","",_xlfn._xlws.FILTER(BDPADRES[],ISNUMBER(SEARCH(D6,BDPADRES[APELLIDOS PADRE]))+ISNUMBER(SEARCH(D6,BDPADRES[APELLIDOS MADRE])),""))</f>
        <v>35</v>
      </c>
      <c r="C11" t="str">
        <v>FABIO</v>
      </c>
      <c r="D11" t="str">
        <v>JIMENEZ VARGAS</v>
      </c>
      <c r="E11" s="1">
        <v>0</v>
      </c>
      <c r="F11" t="str">
        <v>OLIVIA</v>
      </c>
      <c r="G11" t="str">
        <v>FLORES SERRUTO</v>
      </c>
      <c r="H11" s="1">
        <v>6242016</v>
      </c>
      <c r="I11" t="str">
        <v>OLIVIA FLORES SERRUTO</v>
      </c>
      <c r="J11" s="1">
        <v>0</v>
      </c>
      <c r="K11" s="1">
        <v>76682553</v>
      </c>
    </row>
    <row r="12" spans="2:12" x14ac:dyDescent="0.3">
      <c r="B12" s="1">
        <v>382</v>
      </c>
      <c r="C12" t="str">
        <v>BERNO</v>
      </c>
      <c r="D12" t="str">
        <v>FLORES SERRUTO</v>
      </c>
      <c r="E12" s="1">
        <v>0</v>
      </c>
      <c r="F12" t="str">
        <v>FANNY</v>
      </c>
      <c r="G12" t="str">
        <v>MARTINEZ AGUANTA</v>
      </c>
      <c r="H12" s="1">
        <v>6200098</v>
      </c>
      <c r="I12" t="str">
        <v>FANNY MARTINEZ AGUANTA</v>
      </c>
      <c r="J12" s="1">
        <v>0</v>
      </c>
      <c r="K12" s="1">
        <v>74508797</v>
      </c>
    </row>
  </sheetData>
  <mergeCells count="2">
    <mergeCell ref="B1:L3"/>
    <mergeCell ref="F8:G8"/>
  </mergeCells>
  <pageMargins left="0.7" right="0.7" top="0.75" bottom="0.75" header="0.3" footer="0.3"/>
  <pageSetup orientation="portrait" horizontalDpi="360" verticalDpi="36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5C2299A5-F0F9-4A88-8CBD-64989401C56F}">
            <xm:f>NOT(ISERROR(SEARCH($C$1,F7)))</xm:f>
            <xm:f>$C$1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m:sqref>F7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2C0B5-ABB5-48B3-97FE-78AD2232C3B9}">
  <dimension ref="A1:H28"/>
  <sheetViews>
    <sheetView topLeftCell="A10" workbookViewId="0">
      <selection activeCell="B29" sqref="B29"/>
    </sheetView>
  </sheetViews>
  <sheetFormatPr baseColWidth="10" defaultRowHeight="14.4" x14ac:dyDescent="0.3"/>
  <cols>
    <col min="2" max="2" width="35.33203125" customWidth="1"/>
    <col min="3" max="3" width="23.77734375" customWidth="1"/>
  </cols>
  <sheetData>
    <row r="1" spans="1:4" x14ac:dyDescent="0.3">
      <c r="B1" t="s">
        <v>3168</v>
      </c>
    </row>
    <row r="2" spans="1:4" x14ac:dyDescent="0.3">
      <c r="A2">
        <v>1</v>
      </c>
      <c r="B2" s="4" t="s">
        <v>3169</v>
      </c>
      <c r="C2" t="s">
        <v>3170</v>
      </c>
      <c r="D2" t="s">
        <v>3171</v>
      </c>
    </row>
    <row r="18" spans="1:8" x14ac:dyDescent="0.3">
      <c r="B18" t="s">
        <v>3179</v>
      </c>
    </row>
    <row r="19" spans="1:8" x14ac:dyDescent="0.3">
      <c r="A19">
        <v>1</v>
      </c>
      <c r="B19" t="s">
        <v>3172</v>
      </c>
      <c r="C19" t="s">
        <v>3173</v>
      </c>
      <c r="D19">
        <v>178</v>
      </c>
      <c r="E19" t="s">
        <v>3174</v>
      </c>
      <c r="F19">
        <v>40</v>
      </c>
      <c r="G19" t="s">
        <v>9</v>
      </c>
    </row>
    <row r="20" spans="1:8" x14ac:dyDescent="0.3">
      <c r="B20" t="s">
        <v>3176</v>
      </c>
      <c r="C20" t="s">
        <v>3177</v>
      </c>
      <c r="D20">
        <v>98</v>
      </c>
      <c r="E20" t="s">
        <v>3174</v>
      </c>
      <c r="F20">
        <v>110</v>
      </c>
      <c r="G20" t="s">
        <v>3178</v>
      </c>
      <c r="H20">
        <v>64441882</v>
      </c>
    </row>
    <row r="28" spans="1:8" x14ac:dyDescent="0.3">
      <c r="B28" t="s">
        <v>3175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3D22B-1D19-4D03-8F0D-07DC7A20F8BD}">
  <sheetPr codeName="Hoja13"/>
  <dimension ref="A2:M22"/>
  <sheetViews>
    <sheetView workbookViewId="0">
      <selection activeCell="B16" sqref="B16"/>
    </sheetView>
  </sheetViews>
  <sheetFormatPr baseColWidth="10" defaultRowHeight="14.4" x14ac:dyDescent="0.3"/>
  <cols>
    <col min="1" max="1" width="18.5546875" bestFit="1" customWidth="1"/>
    <col min="2" max="2" width="30" bestFit="1" customWidth="1"/>
    <col min="3" max="3" width="14.33203125" bestFit="1" customWidth="1"/>
    <col min="4" max="4" width="15.6640625" bestFit="1" customWidth="1"/>
    <col min="5" max="5" width="11.21875" bestFit="1" customWidth="1"/>
    <col min="6" max="6" width="7" bestFit="1" customWidth="1"/>
    <col min="7" max="7" width="5.33203125" customWidth="1"/>
    <col min="8" max="8" width="18.5546875" bestFit="1" customWidth="1"/>
    <col min="9" max="9" width="30" bestFit="1" customWidth="1"/>
    <col min="10" max="10" width="9.33203125" bestFit="1" customWidth="1"/>
    <col min="11" max="11" width="10.5546875" bestFit="1" customWidth="1"/>
    <col min="12" max="12" width="8.21875" bestFit="1" customWidth="1"/>
    <col min="13" max="13" width="7" bestFit="1" customWidth="1"/>
    <col min="14" max="14" width="17.109375" bestFit="1" customWidth="1"/>
    <col min="15" max="15" width="2.44140625" bestFit="1" customWidth="1"/>
    <col min="16" max="16" width="3.21875" bestFit="1" customWidth="1"/>
  </cols>
  <sheetData>
    <row r="2" spans="1:13" ht="19.95" customHeight="1" x14ac:dyDescent="0.3">
      <c r="A2" s="172" t="s">
        <v>3046</v>
      </c>
      <c r="B2" s="172"/>
      <c r="C2" s="172"/>
      <c r="D2" s="172"/>
      <c r="E2" s="172"/>
      <c r="F2" s="172"/>
      <c r="G2" s="172"/>
      <c r="H2" s="172"/>
      <c r="I2" s="172"/>
      <c r="J2" s="172"/>
      <c r="K2" s="172"/>
      <c r="L2" s="172"/>
      <c r="M2" s="172"/>
    </row>
    <row r="3" spans="1:13" ht="19.95" customHeight="1" x14ac:dyDescent="0.3">
      <c r="A3" s="172"/>
      <c r="B3" s="172"/>
      <c r="C3" s="172"/>
      <c r="D3" s="172"/>
      <c r="E3" s="172"/>
      <c r="F3" s="172"/>
      <c r="G3" s="172"/>
      <c r="H3" s="172"/>
      <c r="I3" s="172"/>
      <c r="J3" s="172"/>
      <c r="K3" s="172"/>
      <c r="L3" s="172"/>
      <c r="M3" s="172"/>
    </row>
    <row r="4" spans="1:13" ht="19.95" customHeight="1" x14ac:dyDescent="0.3">
      <c r="A4" s="172"/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</row>
    <row r="6" spans="1:13" ht="22.2" x14ac:dyDescent="0.45">
      <c r="B6" s="126" t="s">
        <v>3048</v>
      </c>
      <c r="E6" s="1" t="s">
        <v>2</v>
      </c>
      <c r="H6" s="130"/>
      <c r="I6" s="131" t="s">
        <v>3048</v>
      </c>
    </row>
    <row r="7" spans="1:13" ht="27" x14ac:dyDescent="0.35">
      <c r="A7" s="127" t="s">
        <v>3047</v>
      </c>
      <c r="B7" s="125" t="str">
        <f>BUSQUEDAPADRES!F8</f>
        <v>JIMENEZ FLORES</v>
      </c>
      <c r="E7" s="145" t="s">
        <v>3</v>
      </c>
      <c r="H7" s="132" t="s">
        <v>3052</v>
      </c>
      <c r="I7" s="133"/>
    </row>
    <row r="8" spans="1:13" x14ac:dyDescent="0.3">
      <c r="E8" s="144" t="s">
        <v>3061</v>
      </c>
    </row>
    <row r="9" spans="1:13" x14ac:dyDescent="0.3">
      <c r="A9" s="112" t="s">
        <v>3049</v>
      </c>
      <c r="B9" s="112" t="s">
        <v>3050</v>
      </c>
      <c r="C9" s="112" t="s">
        <v>24</v>
      </c>
      <c r="D9" s="112" t="s">
        <v>1</v>
      </c>
      <c r="E9" s="112" t="s">
        <v>2932</v>
      </c>
      <c r="F9" s="112" t="s">
        <v>2</v>
      </c>
      <c r="G9" s="128"/>
      <c r="H9" s="129" t="s">
        <v>3049</v>
      </c>
      <c r="I9" s="129" t="s">
        <v>3050</v>
      </c>
      <c r="J9" s="129" t="s">
        <v>24</v>
      </c>
      <c r="K9" s="129" t="s">
        <v>1</v>
      </c>
      <c r="L9" s="129" t="s">
        <v>2932</v>
      </c>
      <c r="M9" s="129" t="s">
        <v>2</v>
      </c>
    </row>
    <row r="10" spans="1:13" x14ac:dyDescent="0.3">
      <c r="A10" s="1" t="e" cm="1">
        <f t="array" ref="A10">IF(B7="","",_xlfn._xlws.FILTER(#REF!,ISNUMBER(SEARCH(B7,BDALUMNOS[APELLIDOS])),""))</f>
        <v>#REF!</v>
      </c>
      <c r="B10" s="1"/>
      <c r="C10" s="1"/>
      <c r="D10" s="1"/>
      <c r="E10" s="1"/>
      <c r="F10" s="1"/>
      <c r="G10" s="128"/>
      <c r="H10" s="1" t="str" cm="1">
        <f t="array" ref="H10">IF(I7="","",_xlfn._xlws.FILTER(#REF!,ISNUMBER(SEARCH(I7,#REF!))+ISNUMBER(SEARCH(I7,BDALUMNOS[RUDE])),"SIN RESULTADO"))</f>
        <v/>
      </c>
      <c r="I10" s="1"/>
      <c r="J10" s="1"/>
      <c r="K10" s="1"/>
      <c r="L10" s="1"/>
      <c r="M10" s="1"/>
    </row>
    <row r="11" spans="1:13" x14ac:dyDescent="0.3">
      <c r="A11" s="1"/>
      <c r="B11" s="1"/>
      <c r="C11" s="1"/>
      <c r="D11" s="1"/>
      <c r="E11" s="1"/>
      <c r="F11" s="1"/>
      <c r="G11" s="128"/>
      <c r="H11" s="1"/>
      <c r="I11" s="1"/>
      <c r="J11" s="1"/>
      <c r="K11" s="1"/>
      <c r="L11" s="1"/>
      <c r="M11" s="1"/>
    </row>
    <row r="12" spans="1:13" x14ac:dyDescent="0.3">
      <c r="A12" s="1"/>
      <c r="B12" s="1"/>
      <c r="C12" s="1"/>
      <c r="D12" s="1"/>
      <c r="E12" s="1"/>
      <c r="F12" s="1"/>
      <c r="G12" s="128"/>
      <c r="H12" s="1"/>
      <c r="I12" s="1"/>
      <c r="J12" s="1"/>
      <c r="K12" s="1"/>
      <c r="L12" s="1"/>
      <c r="M12" s="1"/>
    </row>
    <row r="13" spans="1:13" x14ac:dyDescent="0.3">
      <c r="A13" s="1"/>
      <c r="B13" s="1"/>
      <c r="C13" s="1"/>
      <c r="D13" s="1"/>
      <c r="E13" s="1"/>
      <c r="F13" s="1"/>
      <c r="G13" s="128"/>
      <c r="H13" s="1"/>
      <c r="I13" s="1"/>
      <c r="J13" s="1"/>
      <c r="K13" s="1"/>
      <c r="L13" s="1"/>
      <c r="M13" s="1"/>
    </row>
    <row r="14" spans="1:13" x14ac:dyDescent="0.3">
      <c r="A14" s="1"/>
      <c r="B14" s="1"/>
      <c r="C14" s="1"/>
      <c r="D14" s="1"/>
      <c r="E14" s="1"/>
      <c r="F14" s="1"/>
      <c r="G14" s="128"/>
      <c r="H14" s="1"/>
      <c r="I14" s="1"/>
      <c r="J14" s="1"/>
      <c r="K14" s="1"/>
      <c r="L14" s="1"/>
      <c r="M14" s="1"/>
    </row>
    <row r="15" spans="1:13" x14ac:dyDescent="0.3">
      <c r="A15" s="1"/>
      <c r="B15" s="1"/>
      <c r="C15" s="1"/>
      <c r="D15" s="1"/>
      <c r="E15" s="1"/>
      <c r="F15" s="1"/>
      <c r="G15" s="128"/>
      <c r="H15" s="1"/>
      <c r="I15" s="1"/>
      <c r="J15" s="1"/>
      <c r="K15" s="1"/>
      <c r="L15" s="1"/>
      <c r="M15" s="1"/>
    </row>
    <row r="16" spans="1:13" x14ac:dyDescent="0.3">
      <c r="A16" s="1"/>
      <c r="B16" s="1"/>
      <c r="C16" s="1"/>
      <c r="D16" s="1"/>
      <c r="E16" s="1"/>
      <c r="F16" s="1"/>
      <c r="G16" s="128"/>
      <c r="H16" s="1"/>
      <c r="I16" s="1"/>
      <c r="J16" s="1"/>
      <c r="K16" s="1"/>
      <c r="L16" s="1"/>
      <c r="M16" s="1"/>
    </row>
    <row r="17" spans="1:13" x14ac:dyDescent="0.3">
      <c r="A17" s="1"/>
      <c r="B17" s="1"/>
      <c r="C17" s="1"/>
      <c r="D17" s="1"/>
      <c r="E17" s="1"/>
      <c r="F17" s="1"/>
      <c r="G17" s="128"/>
      <c r="H17" s="1"/>
      <c r="I17" s="1"/>
      <c r="J17" s="1"/>
      <c r="K17" s="1"/>
      <c r="L17" s="1"/>
      <c r="M17" s="1"/>
    </row>
    <row r="18" spans="1:13" x14ac:dyDescent="0.3">
      <c r="A18" s="1"/>
      <c r="B18" s="1"/>
      <c r="C18" s="1"/>
      <c r="D18" s="1"/>
      <c r="E18" s="1"/>
      <c r="F18" s="1"/>
      <c r="G18" s="128"/>
      <c r="H18" s="1"/>
      <c r="I18" s="1"/>
      <c r="J18" s="1"/>
      <c r="K18" s="1"/>
      <c r="L18" s="1"/>
      <c r="M18" s="1"/>
    </row>
    <row r="19" spans="1:13" x14ac:dyDescent="0.3">
      <c r="A19" s="1"/>
      <c r="B19" s="1"/>
      <c r="C19" s="1"/>
      <c r="D19" s="1"/>
      <c r="E19" s="1"/>
      <c r="F19" s="1"/>
      <c r="G19" s="128"/>
      <c r="H19" s="1"/>
      <c r="I19" s="1"/>
      <c r="J19" s="1"/>
      <c r="K19" s="1"/>
      <c r="L19" s="1"/>
      <c r="M19" s="1"/>
    </row>
    <row r="20" spans="1:13" x14ac:dyDescent="0.3">
      <c r="A20" s="1"/>
      <c r="B20" s="1"/>
      <c r="C20" s="1"/>
      <c r="D20" s="1"/>
      <c r="E20" s="1"/>
      <c r="F20" s="1"/>
      <c r="G20" s="128"/>
      <c r="H20" s="1"/>
      <c r="I20" s="1"/>
      <c r="J20" s="1"/>
      <c r="K20" s="1"/>
      <c r="L20" s="1"/>
      <c r="M20" s="1"/>
    </row>
    <row r="21" spans="1:13" x14ac:dyDescent="0.3">
      <c r="A21" s="1"/>
      <c r="B21" s="1"/>
      <c r="C21" s="1"/>
      <c r="D21" s="1"/>
      <c r="E21" s="1"/>
      <c r="F21" s="1"/>
      <c r="G21" s="128"/>
      <c r="H21" s="1"/>
      <c r="I21" s="1"/>
      <c r="J21" s="1"/>
      <c r="K21" s="1"/>
      <c r="L21" s="1"/>
      <c r="M21" s="1"/>
    </row>
    <row r="22" spans="1:13" x14ac:dyDescent="0.3">
      <c r="A22" s="128"/>
      <c r="B22" s="128"/>
      <c r="C22" s="128"/>
      <c r="D22" s="128"/>
      <c r="E22" s="128"/>
      <c r="F22" s="128"/>
      <c r="G22" s="128"/>
      <c r="H22" s="128"/>
      <c r="I22" s="128"/>
      <c r="J22" s="128"/>
      <c r="K22" s="128"/>
      <c r="L22" s="128"/>
      <c r="M22" s="128"/>
    </row>
  </sheetData>
  <mergeCells count="1">
    <mergeCell ref="A2:M4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812A2-AAA5-415B-A23D-D79BCBBE9EF6}">
  <sheetPr codeName="Hoja4"/>
  <dimension ref="A2:J482"/>
  <sheetViews>
    <sheetView tabSelected="1" topLeftCell="B174" workbookViewId="0">
      <selection activeCell="L11" sqref="L11"/>
    </sheetView>
  </sheetViews>
  <sheetFormatPr baseColWidth="10" defaultRowHeight="14.4" x14ac:dyDescent="0.3"/>
  <cols>
    <col min="1" max="1" width="8.88671875" customWidth="1"/>
    <col min="2" max="2" width="15.5546875" customWidth="1"/>
    <col min="3" max="3" width="22.109375" customWidth="1"/>
    <col min="4" max="4" width="7.5546875" customWidth="1"/>
    <col min="5" max="5" width="16.44140625" customWidth="1"/>
    <col min="6" max="6" width="21" customWidth="1"/>
    <col min="7" max="7" width="10.5546875" style="1" customWidth="1"/>
    <col min="8" max="8" width="32.6640625" customWidth="1"/>
    <col min="9" max="9" width="10.109375" customWidth="1"/>
    <col min="10" max="10" width="9.6640625" customWidth="1"/>
    <col min="11" max="11" width="10.88671875" customWidth="1"/>
    <col min="12" max="12" width="27" customWidth="1"/>
    <col min="13" max="13" width="9" bestFit="1" customWidth="1"/>
    <col min="14" max="14" width="19.5546875" bestFit="1" customWidth="1"/>
    <col min="15" max="15" width="24.21875" bestFit="1" customWidth="1"/>
    <col min="16" max="16" width="9.77734375" bestFit="1" customWidth="1"/>
    <col min="17" max="17" width="12" bestFit="1" customWidth="1"/>
    <col min="18" max="18" width="13" bestFit="1" customWidth="1"/>
    <col min="19" max="19" width="9.44140625" bestFit="1" customWidth="1"/>
    <col min="20" max="22" width="10.109375" bestFit="1" customWidth="1"/>
  </cols>
  <sheetData>
    <row r="2" spans="1:10" ht="14.4" customHeight="1" x14ac:dyDescent="0.3">
      <c r="A2" s="173" t="s">
        <v>3015</v>
      </c>
      <c r="B2" s="173"/>
      <c r="C2" s="173"/>
      <c r="D2" s="173"/>
      <c r="E2" s="173"/>
      <c r="F2" s="173"/>
      <c r="G2" s="173"/>
      <c r="H2" s="173"/>
      <c r="I2" s="173"/>
      <c r="J2" s="173"/>
    </row>
    <row r="3" spans="1:10" ht="14.4" customHeight="1" x14ac:dyDescent="0.3">
      <c r="A3" s="173"/>
      <c r="B3" s="173"/>
      <c r="C3" s="173"/>
      <c r="D3" s="173"/>
      <c r="E3" s="173"/>
      <c r="F3" s="173"/>
      <c r="G3" s="173"/>
      <c r="H3" s="173"/>
      <c r="I3" s="173"/>
      <c r="J3" s="173"/>
    </row>
    <row r="4" spans="1:10" ht="14.4" customHeight="1" x14ac:dyDescent="0.3">
      <c r="A4" s="173"/>
      <c r="B4" s="173"/>
      <c r="C4" s="173"/>
      <c r="D4" s="173"/>
      <c r="E4" s="173"/>
      <c r="F4" s="173"/>
      <c r="G4" s="173"/>
      <c r="H4" s="173"/>
      <c r="I4" s="173"/>
      <c r="J4" s="173"/>
    </row>
    <row r="6" spans="1:10" ht="15" thickBot="1" x14ac:dyDescent="0.35">
      <c r="A6" s="62" t="s">
        <v>3034</v>
      </c>
      <c r="B6" s="62" t="s">
        <v>3016</v>
      </c>
      <c r="C6" s="62" t="s">
        <v>3019</v>
      </c>
      <c r="D6" s="62" t="s">
        <v>22</v>
      </c>
      <c r="E6" s="62" t="s">
        <v>3020</v>
      </c>
      <c r="F6" s="62" t="s">
        <v>3017</v>
      </c>
      <c r="G6" s="61" t="s">
        <v>66</v>
      </c>
      <c r="H6" s="62" t="s">
        <v>3021</v>
      </c>
      <c r="I6" s="62" t="s">
        <v>3022</v>
      </c>
      <c r="J6" s="62" t="s">
        <v>3018</v>
      </c>
    </row>
    <row r="7" spans="1:10" x14ac:dyDescent="0.3">
      <c r="A7" s="61">
        <v>1</v>
      </c>
      <c r="B7" s="77" t="s">
        <v>459</v>
      </c>
      <c r="C7" s="78" t="s">
        <v>460</v>
      </c>
      <c r="D7" s="83">
        <v>6322211</v>
      </c>
      <c r="E7" s="89" t="s">
        <v>461</v>
      </c>
      <c r="F7" s="90" t="s">
        <v>462</v>
      </c>
      <c r="G7" s="100">
        <v>8131944</v>
      </c>
      <c r="H7" s="108" t="str">
        <f>CONCATENATE(BDPADRES[[#This Row],[NOMBRES MADRE]]," ",BDPADRES[[#This Row],[APELLIDOS MADRE]])</f>
        <v>ZUNILDA ARANCIBIA ROSADO</v>
      </c>
      <c r="I7" s="104"/>
      <c r="J7" s="91">
        <v>75631504</v>
      </c>
    </row>
    <row r="8" spans="1:10" x14ac:dyDescent="0.3">
      <c r="A8" s="61">
        <v>2</v>
      </c>
      <c r="B8" s="79" t="s">
        <v>3028</v>
      </c>
      <c r="C8" s="75" t="s">
        <v>3029</v>
      </c>
      <c r="D8" s="84">
        <v>8143667</v>
      </c>
      <c r="E8" s="92" t="s">
        <v>121</v>
      </c>
      <c r="F8" s="88" t="s">
        <v>122</v>
      </c>
      <c r="G8" s="101">
        <v>8908613</v>
      </c>
      <c r="H8" s="109" t="str">
        <f>CONCATENATE(BDPADRES[[#This Row],[NOMBRES MADRE]]," ",BDPADRES[[#This Row],[APELLIDOS MADRE]])</f>
        <v>GUISELA ULLOA MAMANI</v>
      </c>
      <c r="I8" s="105"/>
      <c r="J8" s="93">
        <v>68749423</v>
      </c>
    </row>
    <row r="9" spans="1:10" x14ac:dyDescent="0.3">
      <c r="A9" s="61">
        <v>3</v>
      </c>
      <c r="B9" s="79" t="s">
        <v>163</v>
      </c>
      <c r="C9" s="75" t="s">
        <v>164</v>
      </c>
      <c r="D9" s="84">
        <v>5365638</v>
      </c>
      <c r="E9" s="92" t="s">
        <v>165</v>
      </c>
      <c r="F9" s="88" t="s">
        <v>166</v>
      </c>
      <c r="G9" s="101">
        <v>6362987</v>
      </c>
      <c r="H9" s="109" t="str">
        <f>CONCATENATE(BDPADRES[[#This Row],[NOMBRES MADRE]]," ",BDPADRES[[#This Row],[APELLIDOS MADRE]])</f>
        <v>BENITA VILLARES PACHILE</v>
      </c>
      <c r="I9" s="105"/>
      <c r="J9" s="93">
        <v>77656883</v>
      </c>
    </row>
    <row r="10" spans="1:10" x14ac:dyDescent="0.3">
      <c r="A10" s="61">
        <v>4</v>
      </c>
      <c r="B10" s="79" t="s">
        <v>130</v>
      </c>
      <c r="C10" s="75" t="s">
        <v>131</v>
      </c>
      <c r="D10" s="84">
        <v>8128373</v>
      </c>
      <c r="E10" s="92" t="s">
        <v>132</v>
      </c>
      <c r="F10" s="88" t="s">
        <v>133</v>
      </c>
      <c r="G10" s="101">
        <v>7826123</v>
      </c>
      <c r="H10" s="109" t="str">
        <f>CONCATENATE(BDPADRES[[#This Row],[NOMBRES MADRE]]," ",BDPADRES[[#This Row],[APELLIDOS MADRE]])</f>
        <v>MARIELA ORELLANA ARANCIBIA</v>
      </c>
      <c r="I10" s="105"/>
      <c r="J10" s="93">
        <v>67803111</v>
      </c>
    </row>
    <row r="11" spans="1:10" x14ac:dyDescent="0.3">
      <c r="A11" s="61">
        <v>5</v>
      </c>
      <c r="B11" s="79" t="s">
        <v>234</v>
      </c>
      <c r="C11" s="75" t="s">
        <v>235</v>
      </c>
      <c r="D11" s="84">
        <v>8204937</v>
      </c>
      <c r="E11" s="92" t="s">
        <v>236</v>
      </c>
      <c r="F11" s="88" t="s">
        <v>237</v>
      </c>
      <c r="G11" s="101">
        <v>8925547</v>
      </c>
      <c r="H11" s="109" t="str">
        <f>CONCATENATE(BDPADRES[[#This Row],[NOMBRES MADRE]]," ",BDPADRES[[#This Row],[APELLIDOS MADRE]])</f>
        <v>YILDA ROSADO ARAUZ</v>
      </c>
      <c r="I11" s="105"/>
      <c r="J11" s="93">
        <v>76674514</v>
      </c>
    </row>
    <row r="12" spans="1:10" x14ac:dyDescent="0.3">
      <c r="A12" s="61">
        <v>6</v>
      </c>
      <c r="B12" s="79" t="s">
        <v>451</v>
      </c>
      <c r="C12" s="75" t="s">
        <v>452</v>
      </c>
      <c r="D12" s="84">
        <v>6200682</v>
      </c>
      <c r="E12" s="92" t="s">
        <v>453</v>
      </c>
      <c r="F12" s="88" t="s">
        <v>454</v>
      </c>
      <c r="G12" s="101">
        <v>6217438</v>
      </c>
      <c r="H12" s="109" t="str">
        <f>CONCATENATE(BDPADRES[[#This Row],[NOMBRES MADRE]]," ",BDPADRES[[#This Row],[APELLIDOS MADRE]])</f>
        <v>LEIDY KAROLA MEDINA BELTRAN</v>
      </c>
      <c r="I12" s="105"/>
      <c r="J12" s="93">
        <v>76316204</v>
      </c>
    </row>
    <row r="13" spans="1:10" x14ac:dyDescent="0.3">
      <c r="A13" s="61">
        <v>7</v>
      </c>
      <c r="B13" s="79" t="s">
        <v>486</v>
      </c>
      <c r="C13" s="75" t="s">
        <v>487</v>
      </c>
      <c r="D13" s="84">
        <v>6258537</v>
      </c>
      <c r="E13" s="92" t="s">
        <v>488</v>
      </c>
      <c r="F13" s="88" t="s">
        <v>489</v>
      </c>
      <c r="G13" s="101">
        <v>6299314</v>
      </c>
      <c r="H13" s="109" t="str">
        <f>CONCATENATE(BDPADRES[[#This Row],[NOMBRES MADRE]]," ",BDPADRES[[#This Row],[APELLIDOS MADRE]])</f>
        <v>LUZ CORAZON ALBORNOS ZABALAGA</v>
      </c>
      <c r="I13" s="105">
        <v>76364381</v>
      </c>
      <c r="J13" s="93"/>
    </row>
    <row r="14" spans="1:10" x14ac:dyDescent="0.3">
      <c r="A14" s="61">
        <v>8</v>
      </c>
      <c r="B14" s="79" t="s">
        <v>134</v>
      </c>
      <c r="C14" s="75" t="s">
        <v>135</v>
      </c>
      <c r="D14" s="84"/>
      <c r="E14" s="92" t="s">
        <v>136</v>
      </c>
      <c r="F14" s="88" t="s">
        <v>137</v>
      </c>
      <c r="G14" s="101">
        <v>7817966</v>
      </c>
      <c r="H14" s="109" t="str">
        <f>CONCATENATE(BDPADRES[[#This Row],[NOMBRES MADRE]]," ",BDPADRES[[#This Row],[APELLIDOS MADRE]])</f>
        <v>ANA KAREN ESTRADA URIONA</v>
      </c>
      <c r="I14" s="105"/>
      <c r="J14" s="93">
        <v>62085135</v>
      </c>
    </row>
    <row r="15" spans="1:10" x14ac:dyDescent="0.3">
      <c r="A15" s="61">
        <v>9</v>
      </c>
      <c r="B15" s="79" t="s">
        <v>277</v>
      </c>
      <c r="C15" s="75" t="s">
        <v>278</v>
      </c>
      <c r="D15" s="84">
        <v>7831457</v>
      </c>
      <c r="E15" s="94" t="s">
        <v>3092</v>
      </c>
      <c r="F15" s="88" t="s">
        <v>279</v>
      </c>
      <c r="G15" s="101">
        <v>6395203</v>
      </c>
      <c r="H15" s="109" t="str">
        <f>CONCATENATE(BDPADRES[[#This Row],[NOMBRES MADRE]]," ",BDPADRES[[#This Row],[APELLIDOS MADRE]])</f>
        <v>PAMELA LEONESA MARTINEZ ROMERO</v>
      </c>
      <c r="I15" s="105"/>
      <c r="J15" s="93">
        <v>67718223</v>
      </c>
    </row>
    <row r="16" spans="1:10" x14ac:dyDescent="0.3">
      <c r="A16" s="61">
        <v>10</v>
      </c>
      <c r="B16" s="79" t="s">
        <v>56</v>
      </c>
      <c r="C16" s="75" t="s">
        <v>57</v>
      </c>
      <c r="D16" s="84">
        <v>6274017</v>
      </c>
      <c r="E16" s="92" t="s">
        <v>58</v>
      </c>
      <c r="F16" s="88" t="s">
        <v>59</v>
      </c>
      <c r="G16" s="101">
        <v>9607750</v>
      </c>
      <c r="H16" s="109" t="str">
        <f>CONCATENATE(BDPADRES[[#This Row],[NOMBRES MADRE]]," ",BDPADRES[[#This Row],[APELLIDOS MADRE]])</f>
        <v>EVELIN BALDERRAMA ROJAS</v>
      </c>
      <c r="I16" s="105"/>
      <c r="J16" s="93">
        <v>78110560</v>
      </c>
    </row>
    <row r="17" spans="1:10" x14ac:dyDescent="0.3">
      <c r="A17" s="61">
        <v>11</v>
      </c>
      <c r="B17" s="79" t="s">
        <v>518</v>
      </c>
      <c r="C17" s="75" t="s">
        <v>519</v>
      </c>
      <c r="D17" s="84">
        <v>5354377</v>
      </c>
      <c r="E17" s="92" t="s">
        <v>520</v>
      </c>
      <c r="F17" s="88" t="s">
        <v>521</v>
      </c>
      <c r="G17" s="101">
        <v>8931302</v>
      </c>
      <c r="H17" s="109" t="str">
        <f>CONCATENATE(BDPADRES[[#This Row],[NOMBRES MADRE]]," ",BDPADRES[[#This Row],[APELLIDOS MADRE]])</f>
        <v>CELIA ORELLANA GUTIERREZ</v>
      </c>
      <c r="I17" s="105"/>
      <c r="J17" s="93">
        <v>75000755</v>
      </c>
    </row>
    <row r="18" spans="1:10" x14ac:dyDescent="0.3">
      <c r="A18" s="61">
        <v>12</v>
      </c>
      <c r="B18" s="79" t="s">
        <v>99</v>
      </c>
      <c r="C18" s="75" t="s">
        <v>100</v>
      </c>
      <c r="D18" s="84">
        <v>12516051</v>
      </c>
      <c r="E18" s="92" t="s">
        <v>101</v>
      </c>
      <c r="F18" s="88" t="s">
        <v>102</v>
      </c>
      <c r="G18" s="101">
        <v>12427513</v>
      </c>
      <c r="H18" s="109" t="str">
        <f>CONCATENATE(BDPADRES[[#This Row],[NOMBRES MADRE]]," ",BDPADRES[[#This Row],[APELLIDOS MADRE]])</f>
        <v>MARCELINA MOJIANO MOSCOSO</v>
      </c>
      <c r="I18" s="105"/>
      <c r="J18" s="95">
        <v>77010697</v>
      </c>
    </row>
    <row r="19" spans="1:10" x14ac:dyDescent="0.3">
      <c r="A19" s="61">
        <v>13</v>
      </c>
      <c r="B19" s="79" t="s">
        <v>474</v>
      </c>
      <c r="C19" s="75" t="s">
        <v>475</v>
      </c>
      <c r="D19" s="84"/>
      <c r="E19" s="92" t="s">
        <v>181</v>
      </c>
      <c r="F19" s="88" t="s">
        <v>476</v>
      </c>
      <c r="G19" s="101">
        <v>9759899</v>
      </c>
      <c r="H19" s="109" t="str">
        <f>CONCATENATE(BDPADRES[[#This Row],[NOMBRES MADRE]]," ",BDPADRES[[#This Row],[APELLIDOS MADRE]])</f>
        <v>YOLANDA CRUZ AGUIRRE</v>
      </c>
      <c r="I19" s="105"/>
      <c r="J19" s="93">
        <v>63558713</v>
      </c>
    </row>
    <row r="20" spans="1:10" x14ac:dyDescent="0.3">
      <c r="A20" s="61">
        <v>14</v>
      </c>
      <c r="B20" s="79" t="s">
        <v>85</v>
      </c>
      <c r="C20" s="75" t="s">
        <v>86</v>
      </c>
      <c r="D20" s="84"/>
      <c r="E20" s="92" t="s">
        <v>87</v>
      </c>
      <c r="F20" s="88" t="s">
        <v>88</v>
      </c>
      <c r="G20" s="101">
        <v>9836797</v>
      </c>
      <c r="H20" s="109" t="str">
        <f>CONCATENATE(BDPADRES[[#This Row],[NOMBRES MADRE]]," ",BDPADRES[[#This Row],[APELLIDOS MADRE]])</f>
        <v>MARGARITA VARGAS BOBARIN</v>
      </c>
      <c r="I20" s="105"/>
      <c r="J20" s="93">
        <v>69185999</v>
      </c>
    </row>
    <row r="21" spans="1:10" x14ac:dyDescent="0.3">
      <c r="A21" s="61">
        <v>15</v>
      </c>
      <c r="B21" s="79" t="s">
        <v>257</v>
      </c>
      <c r="C21" s="75" t="s">
        <v>258</v>
      </c>
      <c r="D21" s="84">
        <v>8747176</v>
      </c>
      <c r="E21" s="92" t="s">
        <v>259</v>
      </c>
      <c r="F21" s="88" t="s">
        <v>260</v>
      </c>
      <c r="G21" s="101">
        <v>7969049</v>
      </c>
      <c r="H21" s="109" t="str">
        <f>CONCATENATE(BDPADRES[[#This Row],[NOMBRES MADRE]]," ",BDPADRES[[#This Row],[APELLIDOS MADRE]])</f>
        <v>CANDELARIA ZAPATA CRESPO</v>
      </c>
      <c r="I21" s="105"/>
      <c r="J21" s="93">
        <v>67881385</v>
      </c>
    </row>
    <row r="22" spans="1:10" x14ac:dyDescent="0.3">
      <c r="A22" s="61">
        <v>16</v>
      </c>
      <c r="B22" s="79" t="s">
        <v>522</v>
      </c>
      <c r="C22" s="75" t="s">
        <v>523</v>
      </c>
      <c r="D22" s="84">
        <v>8944277</v>
      </c>
      <c r="E22" s="92" t="s">
        <v>524</v>
      </c>
      <c r="F22" s="88" t="s">
        <v>487</v>
      </c>
      <c r="G22" s="101">
        <v>6201573</v>
      </c>
      <c r="H22" s="109" t="str">
        <f>CONCATENATE(BDPADRES[[#This Row],[NOMBRES MADRE]]," ",BDPADRES[[#This Row],[APELLIDOS MADRE]])</f>
        <v>DOLORES QUENTA BARRIENTOS</v>
      </c>
      <c r="I22" s="105"/>
      <c r="J22" s="93">
        <v>68757695</v>
      </c>
    </row>
    <row r="23" spans="1:10" x14ac:dyDescent="0.3">
      <c r="A23" s="61">
        <v>17</v>
      </c>
      <c r="B23" s="79" t="s">
        <v>77</v>
      </c>
      <c r="C23" s="75" t="s">
        <v>78</v>
      </c>
      <c r="D23" s="84">
        <v>6304790</v>
      </c>
      <c r="E23" s="92" t="s">
        <v>79</v>
      </c>
      <c r="F23" s="88" t="s">
        <v>80</v>
      </c>
      <c r="G23" s="101">
        <v>8976756</v>
      </c>
      <c r="H23" s="109" t="str">
        <f>CONCATENATE(BDPADRES[[#This Row],[NOMBRES MADRE]]," ",BDPADRES[[#This Row],[APELLIDOS MADRE]])</f>
        <v>ANA MARIA CHOQUE LEITON</v>
      </c>
      <c r="I23" s="105"/>
      <c r="J23" s="93">
        <v>67768185</v>
      </c>
    </row>
    <row r="24" spans="1:10" x14ac:dyDescent="0.3">
      <c r="A24" s="61">
        <v>18</v>
      </c>
      <c r="B24" s="79" t="s">
        <v>99</v>
      </c>
      <c r="C24" s="75" t="s">
        <v>238</v>
      </c>
      <c r="D24" s="84">
        <v>7461724</v>
      </c>
      <c r="E24" s="92" t="s">
        <v>239</v>
      </c>
      <c r="F24" s="88" t="s">
        <v>240</v>
      </c>
      <c r="G24" s="101">
        <v>7838341</v>
      </c>
      <c r="H24" s="109" t="str">
        <f>CONCATENATE(BDPADRES[[#This Row],[NOMBRES MADRE]]," ",BDPADRES[[#This Row],[APELLIDOS MADRE]])</f>
        <v>YASELY RUTH MURILLO CASTRO</v>
      </c>
      <c r="I24" s="105"/>
      <c r="J24" s="93">
        <v>75605649</v>
      </c>
    </row>
    <row r="25" spans="1:10" x14ac:dyDescent="0.3">
      <c r="A25" s="61">
        <v>19</v>
      </c>
      <c r="B25" s="79" t="s">
        <v>223</v>
      </c>
      <c r="C25" s="75" t="s">
        <v>224</v>
      </c>
      <c r="D25" s="84">
        <v>4590170</v>
      </c>
      <c r="E25" s="92" t="s">
        <v>225</v>
      </c>
      <c r="F25" s="88" t="s">
        <v>226</v>
      </c>
      <c r="G25" s="101">
        <v>8982510</v>
      </c>
      <c r="H25" s="109" t="str">
        <f>CONCATENATE(BDPADRES[[#This Row],[NOMBRES MADRE]]," ",BDPADRES[[#This Row],[APELLIDOS MADRE]])</f>
        <v>LIBERATA DIAZ CASTRO</v>
      </c>
      <c r="I25" s="105"/>
      <c r="J25" s="93">
        <v>75605649</v>
      </c>
    </row>
    <row r="26" spans="1:10" x14ac:dyDescent="0.3">
      <c r="A26" s="61">
        <v>20</v>
      </c>
      <c r="B26" s="79" t="s">
        <v>316</v>
      </c>
      <c r="C26" s="75" t="s">
        <v>317</v>
      </c>
      <c r="D26" s="84">
        <v>11312390</v>
      </c>
      <c r="E26" s="92" t="s">
        <v>318</v>
      </c>
      <c r="F26" s="88" t="s">
        <v>240</v>
      </c>
      <c r="G26" s="101">
        <v>7838354</v>
      </c>
      <c r="H26" s="109" t="str">
        <f>CONCATENATE(BDPADRES[[#This Row],[NOMBRES MADRE]]," ",BDPADRES[[#This Row],[APELLIDOS MADRE]])</f>
        <v>EMY RUDY MURILLO CASTRO</v>
      </c>
      <c r="I26" s="105"/>
      <c r="J26" s="93">
        <v>70913866</v>
      </c>
    </row>
    <row r="27" spans="1:10" x14ac:dyDescent="0.3">
      <c r="A27" s="61">
        <v>21</v>
      </c>
      <c r="B27" s="79" t="s">
        <v>85</v>
      </c>
      <c r="C27" s="75" t="s">
        <v>504</v>
      </c>
      <c r="D27" s="84">
        <v>7676870</v>
      </c>
      <c r="E27" s="92" t="s">
        <v>505</v>
      </c>
      <c r="F27" s="88" t="s">
        <v>506</v>
      </c>
      <c r="G27" s="101">
        <v>7749510</v>
      </c>
      <c r="H27" s="109" t="str">
        <f>CONCATENATE(BDPADRES[[#This Row],[NOMBRES MADRE]]," ",BDPADRES[[#This Row],[APELLIDOS MADRE]])</f>
        <v>ABIGAIL LEON SEAS</v>
      </c>
      <c r="I27" s="105"/>
      <c r="J27" s="93">
        <v>76096922</v>
      </c>
    </row>
    <row r="28" spans="1:10" x14ac:dyDescent="0.3">
      <c r="A28" s="61">
        <v>22</v>
      </c>
      <c r="B28" s="79" t="s">
        <v>2998</v>
      </c>
      <c r="C28" s="75" t="s">
        <v>2996</v>
      </c>
      <c r="D28" s="84"/>
      <c r="E28" s="92" t="s">
        <v>105</v>
      </c>
      <c r="F28" s="88" t="s">
        <v>1493</v>
      </c>
      <c r="G28" s="101"/>
      <c r="H28" s="109" t="str">
        <f>CONCATENATE(BDPADRES[[#This Row],[NOMBRES MADRE]]," ",BDPADRES[[#This Row],[APELLIDOS MADRE]])</f>
        <v>SANDRA PUMA ROSAS</v>
      </c>
      <c r="I28" s="105"/>
      <c r="J28" s="93"/>
    </row>
    <row r="29" spans="1:10" x14ac:dyDescent="0.3">
      <c r="A29" s="61">
        <v>22</v>
      </c>
      <c r="B29" s="79" t="s">
        <v>103</v>
      </c>
      <c r="C29" s="75" t="s">
        <v>104</v>
      </c>
      <c r="D29" s="84">
        <v>3936398</v>
      </c>
      <c r="E29" s="92" t="s">
        <v>105</v>
      </c>
      <c r="F29" s="88" t="s">
        <v>1493</v>
      </c>
      <c r="G29" s="101">
        <v>7651753</v>
      </c>
      <c r="H29" s="109" t="str">
        <f>CONCATENATE(BDPADRES[[#This Row],[NOMBRES MADRE]]," ",BDPADRES[[#This Row],[APELLIDOS MADRE]])</f>
        <v>SANDRA PUMA ROSAS</v>
      </c>
      <c r="I29" s="105"/>
      <c r="J29" s="93">
        <v>75652766</v>
      </c>
    </row>
    <row r="30" spans="1:10" x14ac:dyDescent="0.3">
      <c r="A30" s="61">
        <v>23</v>
      </c>
      <c r="B30" s="79" t="s">
        <v>208</v>
      </c>
      <c r="C30" s="75" t="s">
        <v>2185</v>
      </c>
      <c r="D30" s="84">
        <v>8906311</v>
      </c>
      <c r="E30" s="92" t="s">
        <v>209</v>
      </c>
      <c r="F30" s="88" t="s">
        <v>210</v>
      </c>
      <c r="G30" s="101">
        <v>7514859</v>
      </c>
      <c r="H30" s="109" t="str">
        <f>CONCATENATE(BDPADRES[[#This Row],[NOMBRES MADRE]]," ",BDPADRES[[#This Row],[APELLIDOS MADRE]])</f>
        <v>VERONICA AIZA QUIROGA</v>
      </c>
      <c r="I30" s="105"/>
      <c r="J30" s="93">
        <v>67738740</v>
      </c>
    </row>
    <row r="31" spans="1:10" x14ac:dyDescent="0.3">
      <c r="A31" s="61">
        <v>24</v>
      </c>
      <c r="B31" s="79" t="s">
        <v>436</v>
      </c>
      <c r="C31" s="75" t="s">
        <v>437</v>
      </c>
      <c r="D31" s="84">
        <v>4007952</v>
      </c>
      <c r="E31" s="92" t="s">
        <v>438</v>
      </c>
      <c r="F31" s="88" t="s">
        <v>439</v>
      </c>
      <c r="G31" s="101">
        <v>7689245</v>
      </c>
      <c r="H31" s="109" t="str">
        <f>CONCATENATE(BDPADRES[[#This Row],[NOMBRES MADRE]]," ",BDPADRES[[#This Row],[APELLIDOS MADRE]])</f>
        <v>ESMERALDA MARINA BARRERA PUMA</v>
      </c>
      <c r="I31" s="105"/>
      <c r="J31" s="93">
        <v>78482284</v>
      </c>
    </row>
    <row r="32" spans="1:10" x14ac:dyDescent="0.3">
      <c r="A32" s="61">
        <v>25</v>
      </c>
      <c r="B32" s="79" t="s">
        <v>241</v>
      </c>
      <c r="C32" s="75" t="s">
        <v>242</v>
      </c>
      <c r="D32" s="84">
        <v>7794923</v>
      </c>
      <c r="E32" s="92" t="s">
        <v>243</v>
      </c>
      <c r="F32" s="88" t="s">
        <v>244</v>
      </c>
      <c r="G32" s="101">
        <v>9776721</v>
      </c>
      <c r="H32" s="109" t="str">
        <f>CONCATENATE(BDPADRES[[#This Row],[NOMBRES MADRE]]," ",BDPADRES[[#This Row],[APELLIDOS MADRE]])</f>
        <v>HEIDY PACO CASTRO</v>
      </c>
      <c r="I32" s="105"/>
      <c r="J32" s="93">
        <v>72124209</v>
      </c>
    </row>
    <row r="33" spans="1:10" x14ac:dyDescent="0.3">
      <c r="A33" s="61">
        <v>26</v>
      </c>
      <c r="B33" s="79" t="s">
        <v>253</v>
      </c>
      <c r="C33" s="75" t="s">
        <v>254</v>
      </c>
      <c r="D33" s="84"/>
      <c r="E33" s="92" t="s">
        <v>255</v>
      </c>
      <c r="F33" s="88" t="s">
        <v>256</v>
      </c>
      <c r="G33" s="101">
        <v>8877414</v>
      </c>
      <c r="H33" s="109" t="str">
        <f>CONCATENATE(BDPADRES[[#This Row],[NOMBRES MADRE]]," ",BDPADRES[[#This Row],[APELLIDOS MADRE]])</f>
        <v>PATRICIA LOPEZ CHOQUE</v>
      </c>
      <c r="I33" s="105"/>
      <c r="J33" s="93">
        <v>78482187</v>
      </c>
    </row>
    <row r="34" spans="1:10" x14ac:dyDescent="0.3">
      <c r="A34" s="61">
        <v>27</v>
      </c>
      <c r="B34" s="79" t="s">
        <v>463</v>
      </c>
      <c r="C34" s="75" t="s">
        <v>464</v>
      </c>
      <c r="D34" s="84">
        <v>7818562</v>
      </c>
      <c r="E34" s="92" t="s">
        <v>465</v>
      </c>
      <c r="F34" s="88" t="s">
        <v>466</v>
      </c>
      <c r="G34" s="101">
        <v>11341712</v>
      </c>
      <c r="H34" s="109" t="str">
        <f>CONCATENATE(BDPADRES[[#This Row],[NOMBRES MADRE]]," ",BDPADRES[[#This Row],[APELLIDOS MADRE]])</f>
        <v>BASILIA PADILLA REINA</v>
      </c>
      <c r="I34" s="105"/>
      <c r="J34" s="93">
        <v>74614541</v>
      </c>
    </row>
    <row r="35" spans="1:10" x14ac:dyDescent="0.3">
      <c r="A35" s="61">
        <v>28</v>
      </c>
      <c r="B35" s="79" t="s">
        <v>306</v>
      </c>
      <c r="C35" s="75" t="s">
        <v>307</v>
      </c>
      <c r="D35" s="84">
        <v>7950037</v>
      </c>
      <c r="E35" s="92" t="s">
        <v>308</v>
      </c>
      <c r="F35" s="88" t="s">
        <v>309</v>
      </c>
      <c r="G35" s="101">
        <v>6504896</v>
      </c>
      <c r="H35" s="109" t="str">
        <f>CONCATENATE(BDPADRES[[#This Row],[NOMBRES MADRE]]," ",BDPADRES[[#This Row],[APELLIDOS MADRE]])</f>
        <v>DALCY SILES ROSADO</v>
      </c>
      <c r="I35" s="105">
        <v>77661712</v>
      </c>
      <c r="J35" s="93"/>
    </row>
    <row r="36" spans="1:10" x14ac:dyDescent="0.3">
      <c r="A36" s="61">
        <v>29</v>
      </c>
      <c r="B36" s="79" t="s">
        <v>155</v>
      </c>
      <c r="C36" s="75" t="s">
        <v>156</v>
      </c>
      <c r="D36" s="84">
        <v>5699634</v>
      </c>
      <c r="E36" s="92" t="s">
        <v>157</v>
      </c>
      <c r="F36" s="88" t="s">
        <v>158</v>
      </c>
      <c r="G36" s="101">
        <v>6329459</v>
      </c>
      <c r="H36" s="109" t="str">
        <f>CONCATENATE(BDPADRES[[#This Row],[NOMBRES MADRE]]," ",BDPADRES[[#This Row],[APELLIDOS MADRE]])</f>
        <v>NICOLE PEREYRA CABRERA</v>
      </c>
      <c r="I36" s="105"/>
      <c r="J36" s="95">
        <v>69080486</v>
      </c>
    </row>
    <row r="37" spans="1:10" x14ac:dyDescent="0.3">
      <c r="A37" s="61">
        <v>30</v>
      </c>
      <c r="B37" s="79" t="s">
        <v>440</v>
      </c>
      <c r="C37" s="75" t="s">
        <v>441</v>
      </c>
      <c r="D37" s="84">
        <v>4710145</v>
      </c>
      <c r="E37" s="94" t="s">
        <v>3091</v>
      </c>
      <c r="F37" s="88" t="s">
        <v>442</v>
      </c>
      <c r="G37" s="101">
        <v>5657929</v>
      </c>
      <c r="H37" s="109" t="str">
        <f>CONCATENATE(BDPADRES[[#This Row],[NOMBRES MADRE]]," ",BDPADRES[[#This Row],[APELLIDOS MADRE]])</f>
        <v>TERESA  ANDREA CONDORI LOPEZ</v>
      </c>
      <c r="I37" s="105"/>
      <c r="J37" s="93">
        <v>76331712</v>
      </c>
    </row>
    <row r="38" spans="1:10" x14ac:dyDescent="0.3">
      <c r="A38" s="61">
        <v>32</v>
      </c>
      <c r="B38" s="79" t="s">
        <v>171</v>
      </c>
      <c r="C38" s="75" t="s">
        <v>172</v>
      </c>
      <c r="D38" s="84">
        <v>6355305</v>
      </c>
      <c r="E38" s="92" t="s">
        <v>173</v>
      </c>
      <c r="F38" s="88" t="s">
        <v>174</v>
      </c>
      <c r="G38" s="101">
        <v>7759210</v>
      </c>
      <c r="H38" s="109" t="str">
        <f>CONCATENATE(BDPADRES[[#This Row],[NOMBRES MADRE]]," ",BDPADRES[[#This Row],[APELLIDOS MADRE]])</f>
        <v>RODEE FLORES TITO</v>
      </c>
      <c r="I38" s="105"/>
      <c r="J38" s="93">
        <v>69188641</v>
      </c>
    </row>
    <row r="39" spans="1:10" x14ac:dyDescent="0.3">
      <c r="A39" s="61">
        <v>33</v>
      </c>
      <c r="B39" s="79" t="s">
        <v>339</v>
      </c>
      <c r="C39" s="75" t="s">
        <v>340</v>
      </c>
      <c r="D39" s="84"/>
      <c r="E39" s="92" t="s">
        <v>341</v>
      </c>
      <c r="F39" s="88" t="s">
        <v>342</v>
      </c>
      <c r="G39" s="101">
        <v>9631097</v>
      </c>
      <c r="H39" s="109" t="str">
        <f>CONCATENATE(BDPADRES[[#This Row],[NOMBRES MADRE]]," ",BDPADRES[[#This Row],[APELLIDOS MADRE]])</f>
        <v>ANA ISABEL APAZA MAMANI</v>
      </c>
      <c r="I39" s="105"/>
      <c r="J39" s="93">
        <v>65297769</v>
      </c>
    </row>
    <row r="40" spans="1:10" x14ac:dyDescent="0.3">
      <c r="A40" s="61">
        <v>34</v>
      </c>
      <c r="B40" s="79" t="s">
        <v>283</v>
      </c>
      <c r="C40" s="75" t="s">
        <v>284</v>
      </c>
      <c r="D40" s="84"/>
      <c r="E40" s="92" t="s">
        <v>285</v>
      </c>
      <c r="F40" s="88" t="s">
        <v>286</v>
      </c>
      <c r="G40" s="101">
        <v>7663462</v>
      </c>
      <c r="H40" s="109" t="str">
        <f>CONCATENATE(BDPADRES[[#This Row],[NOMBRES MADRE]]," ",BDPADRES[[#This Row],[APELLIDOS MADRE]])</f>
        <v>JUANA FERNANDEZ LOPEZ</v>
      </c>
      <c r="I40" s="105"/>
      <c r="J40" s="93">
        <v>77017750</v>
      </c>
    </row>
    <row r="41" spans="1:10" x14ac:dyDescent="0.3">
      <c r="A41" s="61">
        <v>35</v>
      </c>
      <c r="B41" s="79" t="s">
        <v>290</v>
      </c>
      <c r="C41" s="75" t="s">
        <v>291</v>
      </c>
      <c r="D41" s="84"/>
      <c r="E41" s="92" t="s">
        <v>292</v>
      </c>
      <c r="F41" s="88" t="s">
        <v>293</v>
      </c>
      <c r="G41" s="101">
        <v>6242016</v>
      </c>
      <c r="H41" s="109" t="str">
        <f>CONCATENATE(BDPADRES[[#This Row],[NOMBRES MADRE]]," ",BDPADRES[[#This Row],[APELLIDOS MADRE]])</f>
        <v>OLIVIA FLORES SERRUTO</v>
      </c>
      <c r="I41" s="105"/>
      <c r="J41" s="93">
        <v>76682553</v>
      </c>
    </row>
    <row r="42" spans="1:10" x14ac:dyDescent="0.3">
      <c r="A42" s="61">
        <v>36</v>
      </c>
      <c r="B42" s="79" t="s">
        <v>234</v>
      </c>
      <c r="C42" s="75" t="s">
        <v>419</v>
      </c>
      <c r="D42" s="84">
        <v>7685827</v>
      </c>
      <c r="E42" s="92" t="s">
        <v>420</v>
      </c>
      <c r="F42" s="88" t="s">
        <v>421</v>
      </c>
      <c r="G42" s="101">
        <v>6348901</v>
      </c>
      <c r="H42" s="109" t="str">
        <f>CONCATENATE(BDPADRES[[#This Row],[NOMBRES MADRE]]," ",BDPADRES[[#This Row],[APELLIDOS MADRE]])</f>
        <v>MARLENE   VEDIA BALLESTEROS</v>
      </c>
      <c r="I42" s="105"/>
      <c r="J42" s="93">
        <v>76081836</v>
      </c>
    </row>
    <row r="43" spans="1:10" x14ac:dyDescent="0.3">
      <c r="A43" s="61">
        <v>37</v>
      </c>
      <c r="B43" s="79" t="s">
        <v>215</v>
      </c>
      <c r="C43" s="75" t="s">
        <v>216</v>
      </c>
      <c r="D43" s="84">
        <v>5175050</v>
      </c>
      <c r="E43" s="92" t="s">
        <v>217</v>
      </c>
      <c r="F43" s="88" t="s">
        <v>218</v>
      </c>
      <c r="G43" s="101">
        <v>7685233</v>
      </c>
      <c r="H43" s="109" t="str">
        <f>CONCATENATE(BDPADRES[[#This Row],[NOMBRES MADRE]]," ",BDPADRES[[#This Row],[APELLIDOS MADRE]])</f>
        <v>SEGUNDINA PEÑARRIETA BARVOLIN</v>
      </c>
      <c r="I43" s="105"/>
      <c r="J43" s="93">
        <v>78481593</v>
      </c>
    </row>
    <row r="44" spans="1:10" x14ac:dyDescent="0.3">
      <c r="A44" s="61">
        <v>38</v>
      </c>
      <c r="B44" s="79" t="s">
        <v>335</v>
      </c>
      <c r="C44" s="75" t="s">
        <v>336</v>
      </c>
      <c r="D44" s="84">
        <v>3843519</v>
      </c>
      <c r="E44" s="92" t="s">
        <v>337</v>
      </c>
      <c r="F44" s="88" t="s">
        <v>338</v>
      </c>
      <c r="G44" s="101">
        <v>2947828</v>
      </c>
      <c r="H44" s="109" t="str">
        <f>CONCATENATE(BDPADRES[[#This Row],[NOMBRES MADRE]]," ",BDPADRES[[#This Row],[APELLIDOS MADRE]])</f>
        <v>MERY AGUADO TORREZ</v>
      </c>
      <c r="I44" s="105"/>
      <c r="J44" s="93">
        <v>69225904</v>
      </c>
    </row>
    <row r="45" spans="1:10" x14ac:dyDescent="0.3">
      <c r="A45" s="61">
        <v>39</v>
      </c>
      <c r="B45" s="79" t="s">
        <v>107</v>
      </c>
      <c r="C45" s="75" t="s">
        <v>108</v>
      </c>
      <c r="D45" s="84"/>
      <c r="E45" s="92" t="s">
        <v>109</v>
      </c>
      <c r="F45" s="88" t="s">
        <v>110</v>
      </c>
      <c r="G45" s="101">
        <v>8200294</v>
      </c>
      <c r="H45" s="109" t="str">
        <f>CONCATENATE(BDPADRES[[#This Row],[NOMBRES MADRE]]," ",BDPADRES[[#This Row],[APELLIDOS MADRE]])</f>
        <v>JOVITA GARCIA TANTUTELA</v>
      </c>
      <c r="I45" s="105"/>
      <c r="J45" s="93">
        <v>78085773</v>
      </c>
    </row>
    <row r="46" spans="1:10" x14ac:dyDescent="0.3">
      <c r="A46" s="61">
        <v>40</v>
      </c>
      <c r="B46" s="79" t="s">
        <v>422</v>
      </c>
      <c r="C46" s="75" t="s">
        <v>423</v>
      </c>
      <c r="D46" s="84">
        <v>7756132</v>
      </c>
      <c r="E46" s="92" t="s">
        <v>75</v>
      </c>
      <c r="F46" s="88" t="s">
        <v>424</v>
      </c>
      <c r="G46" s="101">
        <v>8963105</v>
      </c>
      <c r="H46" s="109" t="str">
        <f>CONCATENATE(BDPADRES[[#This Row],[NOMBRES MADRE]]," ",BDPADRES[[#This Row],[APELLIDOS MADRE]])</f>
        <v>MARINA MEJIA BEJARANO</v>
      </c>
      <c r="I46" s="105"/>
      <c r="J46" s="93">
        <v>69194300</v>
      </c>
    </row>
    <row r="47" spans="1:10" x14ac:dyDescent="0.3">
      <c r="A47" s="61">
        <v>41</v>
      </c>
      <c r="B47" s="79" t="s">
        <v>492</v>
      </c>
      <c r="C47" s="75" t="s">
        <v>493</v>
      </c>
      <c r="D47" s="84">
        <v>7716515</v>
      </c>
      <c r="E47" s="92" t="s">
        <v>494</v>
      </c>
      <c r="F47" s="88" t="s">
        <v>495</v>
      </c>
      <c r="G47" s="101">
        <v>3297764</v>
      </c>
      <c r="H47" s="109" t="str">
        <f>CONCATENATE(BDPADRES[[#This Row],[NOMBRES MADRE]]," ",BDPADRES[[#This Row],[APELLIDOS MADRE]])</f>
        <v>ELSA TITO CABRERA</v>
      </c>
      <c r="I47" s="105"/>
      <c r="J47" s="93">
        <v>72683053</v>
      </c>
    </row>
    <row r="48" spans="1:10" x14ac:dyDescent="0.3">
      <c r="A48" s="61">
        <v>42</v>
      </c>
      <c r="B48" s="79" t="s">
        <v>273</v>
      </c>
      <c r="C48" s="75" t="s">
        <v>274</v>
      </c>
      <c r="D48" s="84">
        <v>6233645</v>
      </c>
      <c r="E48" s="92" t="s">
        <v>275</v>
      </c>
      <c r="F48" s="88" t="s">
        <v>276</v>
      </c>
      <c r="G48" s="101">
        <v>7757869</v>
      </c>
      <c r="H48" s="109" t="str">
        <f>CONCATENATE(BDPADRES[[#This Row],[NOMBRES MADRE]]," ",BDPADRES[[#This Row],[APELLIDOS MADRE]])</f>
        <v>MARINA  SANTOS PADILLA</v>
      </c>
      <c r="I48" s="105"/>
      <c r="J48" s="93">
        <v>74931129</v>
      </c>
    </row>
    <row r="49" spans="1:10" x14ac:dyDescent="0.3">
      <c r="A49" s="61">
        <v>43</v>
      </c>
      <c r="B49" s="79" t="s">
        <v>179</v>
      </c>
      <c r="C49" s="75" t="s">
        <v>180</v>
      </c>
      <c r="D49" s="84">
        <v>3722146</v>
      </c>
      <c r="E49" s="92" t="s">
        <v>181</v>
      </c>
      <c r="F49" s="88" t="s">
        <v>182</v>
      </c>
      <c r="G49" s="101">
        <v>4649166</v>
      </c>
      <c r="H49" s="109" t="str">
        <f>CONCATENATE(BDPADRES[[#This Row],[NOMBRES MADRE]]," ",BDPADRES[[#This Row],[APELLIDOS MADRE]])</f>
        <v>YOLANDA TORREZ ROJAS</v>
      </c>
      <c r="I49" s="105"/>
      <c r="J49" s="93">
        <v>77097175</v>
      </c>
    </row>
    <row r="50" spans="1:10" x14ac:dyDescent="0.3">
      <c r="A50" s="61">
        <v>44</v>
      </c>
      <c r="B50" s="79" t="s">
        <v>319</v>
      </c>
      <c r="C50" s="75" t="s">
        <v>320</v>
      </c>
      <c r="D50" s="84">
        <v>7703324</v>
      </c>
      <c r="E50" s="92" t="s">
        <v>321</v>
      </c>
      <c r="F50" s="88" t="s">
        <v>322</v>
      </c>
      <c r="G50" s="101">
        <v>6359660</v>
      </c>
      <c r="H50" s="109" t="str">
        <f>CONCATENATE(BDPADRES[[#This Row],[NOMBRES MADRE]]," ",BDPADRES[[#This Row],[APELLIDOS MADRE]])</f>
        <v>MARIA DEISY TERRAZAS GUTIERREZ</v>
      </c>
      <c r="I50" s="105"/>
      <c r="J50" s="93">
        <v>75346398</v>
      </c>
    </row>
    <row r="51" spans="1:10" x14ac:dyDescent="0.3">
      <c r="A51" s="61">
        <v>45</v>
      </c>
      <c r="B51" s="79" t="s">
        <v>294</v>
      </c>
      <c r="C51" s="75" t="s">
        <v>295</v>
      </c>
      <c r="D51" s="84">
        <v>1984581</v>
      </c>
      <c r="E51" s="92" t="s">
        <v>296</v>
      </c>
      <c r="F51" s="88" t="s">
        <v>297</v>
      </c>
      <c r="G51" s="101">
        <v>5834079</v>
      </c>
      <c r="H51" s="109" t="str">
        <f>CONCATENATE(BDPADRES[[#This Row],[NOMBRES MADRE]]," ",BDPADRES[[#This Row],[APELLIDOS MADRE]])</f>
        <v>LIDIA ALVAREZ MONTAÑO</v>
      </c>
      <c r="I51" s="105">
        <v>75559244</v>
      </c>
      <c r="J51" s="93"/>
    </row>
    <row r="52" spans="1:10" x14ac:dyDescent="0.3">
      <c r="A52" s="61">
        <v>46</v>
      </c>
      <c r="B52" s="79" t="s">
        <v>144</v>
      </c>
      <c r="C52" s="75" t="s">
        <v>145</v>
      </c>
      <c r="D52" s="84"/>
      <c r="E52" s="92" t="s">
        <v>146</v>
      </c>
      <c r="F52" s="88" t="s">
        <v>147</v>
      </c>
      <c r="G52" s="101">
        <v>7817889</v>
      </c>
      <c r="H52" s="109" t="str">
        <f>CONCATENATE(BDPADRES[[#This Row],[NOMBRES MADRE]]," ",BDPADRES[[#This Row],[APELLIDOS MADRE]])</f>
        <v>YESSICA AGUILAR ALVAREZ</v>
      </c>
      <c r="I52" s="105"/>
      <c r="J52" s="93">
        <v>62291839</v>
      </c>
    </row>
    <row r="53" spans="1:10" x14ac:dyDescent="0.3">
      <c r="A53" s="61">
        <v>47</v>
      </c>
      <c r="B53" s="79" t="s">
        <v>219</v>
      </c>
      <c r="C53" s="75" t="s">
        <v>220</v>
      </c>
      <c r="D53" s="84">
        <v>6242019</v>
      </c>
      <c r="E53" s="92" t="s">
        <v>221</v>
      </c>
      <c r="F53" s="88" t="s">
        <v>222</v>
      </c>
      <c r="G53" s="101">
        <v>8186243</v>
      </c>
      <c r="H53" s="109" t="str">
        <f>CONCATENATE(BDPADRES[[#This Row],[NOMBRES MADRE]]," ",BDPADRES[[#This Row],[APELLIDOS MADRE]])</f>
        <v>EUNICE CARTAGENA RUIZ</v>
      </c>
      <c r="I53" s="105"/>
      <c r="J53" s="93">
        <v>77667755</v>
      </c>
    </row>
    <row r="54" spans="1:10" x14ac:dyDescent="0.3">
      <c r="A54" s="61">
        <v>48</v>
      </c>
      <c r="B54" s="79" t="s">
        <v>265</v>
      </c>
      <c r="C54" s="75" t="s">
        <v>266</v>
      </c>
      <c r="D54" s="84"/>
      <c r="E54" s="92" t="s">
        <v>267</v>
      </c>
      <c r="F54" s="88" t="s">
        <v>268</v>
      </c>
      <c r="G54" s="101">
        <v>6255387</v>
      </c>
      <c r="H54" s="109" t="str">
        <f>CONCATENATE(BDPADRES[[#This Row],[NOMBRES MADRE]]," ",BDPADRES[[#This Row],[APELLIDOS MADRE]])</f>
        <v>SHEILA VANESSA VARGAS TITO</v>
      </c>
      <c r="I54" s="105"/>
      <c r="J54" s="93">
        <v>75072123</v>
      </c>
    </row>
    <row r="55" spans="1:10" x14ac:dyDescent="0.3">
      <c r="A55" s="61">
        <v>49</v>
      </c>
      <c r="B55" s="79" t="s">
        <v>230</v>
      </c>
      <c r="C55" s="75" t="s">
        <v>231</v>
      </c>
      <c r="D55" s="84">
        <v>8200288</v>
      </c>
      <c r="E55" s="92" t="s">
        <v>232</v>
      </c>
      <c r="F55" s="88" t="s">
        <v>233</v>
      </c>
      <c r="G55" s="101">
        <v>8887984</v>
      </c>
      <c r="H55" s="109" t="str">
        <f>CONCATENATE(BDPADRES[[#This Row],[NOMBRES MADRE]]," ",BDPADRES[[#This Row],[APELLIDOS MADRE]])</f>
        <v>REINA MAMANI IPORRE</v>
      </c>
      <c r="I55" s="105"/>
      <c r="J55" s="93">
        <v>68830849</v>
      </c>
    </row>
    <row r="56" spans="1:10" x14ac:dyDescent="0.3">
      <c r="A56" s="61">
        <v>50</v>
      </c>
      <c r="B56" s="79" t="s">
        <v>411</v>
      </c>
      <c r="C56" s="75" t="s">
        <v>412</v>
      </c>
      <c r="D56" s="84">
        <v>5643868</v>
      </c>
      <c r="E56" s="92" t="s">
        <v>413</v>
      </c>
      <c r="F56" s="88" t="s">
        <v>414</v>
      </c>
      <c r="G56" s="101">
        <v>3657104</v>
      </c>
      <c r="H56" s="109" t="str">
        <f>CONCATENATE(BDPADRES[[#This Row],[NOMBRES MADRE]]," ",BDPADRES[[#This Row],[APELLIDOS MADRE]])</f>
        <v>MARLENE TERESA GOMEZ CHOQUE</v>
      </c>
      <c r="I56" s="105">
        <v>67796843</v>
      </c>
      <c r="J56" s="93">
        <v>67796843</v>
      </c>
    </row>
    <row r="57" spans="1:10" x14ac:dyDescent="0.3">
      <c r="A57" s="61">
        <v>51</v>
      </c>
      <c r="B57" s="79" t="s">
        <v>455</v>
      </c>
      <c r="C57" s="75" t="s">
        <v>456</v>
      </c>
      <c r="D57" s="84">
        <v>7698461</v>
      </c>
      <c r="E57" s="92" t="s">
        <v>457</v>
      </c>
      <c r="F57" s="88" t="s">
        <v>458</v>
      </c>
      <c r="G57" s="101">
        <v>8241219</v>
      </c>
      <c r="H57" s="109" t="str">
        <f>CONCATENATE(BDPADRES[[#This Row],[NOMBRES MADRE]]," ",BDPADRES[[#This Row],[APELLIDOS MADRE]])</f>
        <v>ELVA LLENES SALAZAR</v>
      </c>
      <c r="I57" s="105"/>
      <c r="J57" s="93">
        <v>78586906</v>
      </c>
    </row>
    <row r="58" spans="1:10" x14ac:dyDescent="0.3">
      <c r="A58" s="61">
        <v>52</v>
      </c>
      <c r="B58" s="79" t="s">
        <v>310</v>
      </c>
      <c r="C58" s="75" t="s">
        <v>311</v>
      </c>
      <c r="D58" s="84">
        <v>3494257</v>
      </c>
      <c r="E58" s="92" t="s">
        <v>312</v>
      </c>
      <c r="F58" s="88" t="s">
        <v>313</v>
      </c>
      <c r="G58" s="101">
        <v>9039094</v>
      </c>
      <c r="H58" s="109" t="str">
        <f>CONCATENATE(BDPADRES[[#This Row],[NOMBRES MADRE]]," ",BDPADRES[[#This Row],[APELLIDOS MADRE]])</f>
        <v>MARTHA URQUIZU SALINAS</v>
      </c>
      <c r="I58" s="105"/>
      <c r="J58" s="93">
        <v>76062679</v>
      </c>
    </row>
    <row r="59" spans="1:10" x14ac:dyDescent="0.3">
      <c r="A59" s="61">
        <v>53</v>
      </c>
      <c r="B59" s="79" t="s">
        <v>415</v>
      </c>
      <c r="C59" s="75" t="s">
        <v>416</v>
      </c>
      <c r="D59" s="84"/>
      <c r="E59" s="92" t="s">
        <v>417</v>
      </c>
      <c r="F59" s="88" t="s">
        <v>418</v>
      </c>
      <c r="G59" s="101">
        <v>5421518</v>
      </c>
      <c r="H59" s="109" t="str">
        <f>CONCATENATE(BDPADRES[[#This Row],[NOMBRES MADRE]]," ",BDPADRES[[#This Row],[APELLIDOS MADRE]])</f>
        <v>MARGOT ZEGARRA NUÑEZ</v>
      </c>
      <c r="I59" s="105"/>
      <c r="J59" s="93">
        <v>63620345</v>
      </c>
    </row>
    <row r="60" spans="1:10" x14ac:dyDescent="0.3">
      <c r="A60" s="61">
        <v>54</v>
      </c>
      <c r="B60" s="79" t="s">
        <v>510</v>
      </c>
      <c r="C60" s="75" t="s">
        <v>511</v>
      </c>
      <c r="D60" s="84">
        <v>4637907</v>
      </c>
      <c r="E60" s="92" t="s">
        <v>512</v>
      </c>
      <c r="F60" s="88" t="s">
        <v>513</v>
      </c>
      <c r="G60" s="101">
        <v>12823611</v>
      </c>
      <c r="H60" s="109" t="str">
        <f>CONCATENATE(BDPADRES[[#This Row],[NOMBRES MADRE]]," ",BDPADRES[[#This Row],[APELLIDOS MADRE]])</f>
        <v>CECILIA CASTRO PINTO</v>
      </c>
      <c r="I60" s="105">
        <v>71774439</v>
      </c>
      <c r="J60" s="93"/>
    </row>
    <row r="61" spans="1:10" x14ac:dyDescent="0.3">
      <c r="A61" s="61">
        <v>55</v>
      </c>
      <c r="B61" s="79" t="s">
        <v>319</v>
      </c>
      <c r="C61" s="75" t="s">
        <v>687</v>
      </c>
      <c r="D61" s="84">
        <v>9604564</v>
      </c>
      <c r="E61" s="92" t="s">
        <v>688</v>
      </c>
      <c r="F61" s="88" t="s">
        <v>57</v>
      </c>
      <c r="G61" s="101">
        <v>6310621</v>
      </c>
      <c r="H61" s="109" t="str">
        <f>CONCATENATE(BDPADRES[[#This Row],[NOMBRES MADRE]]," ",BDPADRES[[#This Row],[APELLIDOS MADRE]])</f>
        <v>ROSSE MARY BALDELOMAR VEIZAGA</v>
      </c>
      <c r="I61" s="105"/>
      <c r="J61" s="93">
        <v>78081535</v>
      </c>
    </row>
    <row r="62" spans="1:10" x14ac:dyDescent="0.3">
      <c r="A62" s="61">
        <v>56</v>
      </c>
      <c r="B62" s="79" t="s">
        <v>167</v>
      </c>
      <c r="C62" s="75" t="s">
        <v>168</v>
      </c>
      <c r="D62" s="84"/>
      <c r="E62" s="92" t="s">
        <v>169</v>
      </c>
      <c r="F62" s="88" t="s">
        <v>170</v>
      </c>
      <c r="G62" s="101">
        <v>7966397</v>
      </c>
      <c r="H62" s="109" t="str">
        <f>CONCATENATE(BDPADRES[[#This Row],[NOMBRES MADRE]]," ",BDPADRES[[#This Row],[APELLIDOS MADRE]])</f>
        <v>CLAUDINA SANTOS</v>
      </c>
      <c r="I62" s="105"/>
      <c r="J62" s="93">
        <v>71751497</v>
      </c>
    </row>
    <row r="63" spans="1:10" x14ac:dyDescent="0.3">
      <c r="A63" s="61">
        <v>58</v>
      </c>
      <c r="B63" s="79" t="s">
        <v>720</v>
      </c>
      <c r="C63" s="75" t="s">
        <v>721</v>
      </c>
      <c r="D63" s="84">
        <v>3283341</v>
      </c>
      <c r="E63" s="92" t="s">
        <v>79</v>
      </c>
      <c r="F63" s="88" t="s">
        <v>642</v>
      </c>
      <c r="G63" s="101"/>
      <c r="H63" s="109" t="str">
        <f>CONCATENATE(BDPADRES[[#This Row],[NOMBRES MADRE]]," ",BDPADRES[[#This Row],[APELLIDOS MADRE]])</f>
        <v>ANA MARIA ROMERO AVILA</v>
      </c>
      <c r="I63" s="105">
        <v>72621931</v>
      </c>
      <c r="J63" s="93"/>
    </row>
    <row r="64" spans="1:10" x14ac:dyDescent="0.3">
      <c r="A64" s="61">
        <v>59</v>
      </c>
      <c r="B64" s="79" t="s">
        <v>1174</v>
      </c>
      <c r="C64" s="75" t="s">
        <v>1175</v>
      </c>
      <c r="D64" s="84">
        <v>6354678</v>
      </c>
      <c r="E64" s="92" t="s">
        <v>87</v>
      </c>
      <c r="F64" s="88" t="s">
        <v>1176</v>
      </c>
      <c r="G64" s="101">
        <v>6354678</v>
      </c>
      <c r="H64" s="109" t="str">
        <f>CONCATENATE(BDPADRES[[#This Row],[NOMBRES MADRE]]," ",BDPADRES[[#This Row],[APELLIDOS MADRE]])</f>
        <v>MARGARITA AVARIPA CRUZ</v>
      </c>
      <c r="I64" s="105"/>
      <c r="J64" s="93">
        <v>69151054</v>
      </c>
    </row>
    <row r="65" spans="1:10" x14ac:dyDescent="0.3">
      <c r="A65" s="61">
        <v>60</v>
      </c>
      <c r="B65" s="79" t="s">
        <v>806</v>
      </c>
      <c r="C65" s="75" t="s">
        <v>807</v>
      </c>
      <c r="D65" s="84">
        <v>6348926</v>
      </c>
      <c r="E65" s="92" t="s">
        <v>808</v>
      </c>
      <c r="F65" s="88" t="s">
        <v>528</v>
      </c>
      <c r="G65" s="101">
        <v>9800146</v>
      </c>
      <c r="H65" s="109" t="str">
        <f>CONCATENATE(BDPADRES[[#This Row],[NOMBRES MADRE]]," ",BDPADRES[[#This Row],[APELLIDOS MADRE]])</f>
        <v>ANAHI LIJERON RAMIREZ</v>
      </c>
      <c r="I65" s="105"/>
      <c r="J65" s="95">
        <v>60904473</v>
      </c>
    </row>
    <row r="66" spans="1:10" x14ac:dyDescent="0.3">
      <c r="A66" s="61">
        <v>60</v>
      </c>
      <c r="B66" s="79" t="s">
        <v>525</v>
      </c>
      <c r="C66" s="75" t="s">
        <v>526</v>
      </c>
      <c r="D66" s="84">
        <v>6325170</v>
      </c>
      <c r="E66" s="92" t="s">
        <v>527</v>
      </c>
      <c r="F66" s="88" t="s">
        <v>528</v>
      </c>
      <c r="G66" s="101">
        <v>8924878</v>
      </c>
      <c r="H66" s="109" t="str">
        <f>CONCATENATE(BDPADRES[[#This Row],[NOMBRES MADRE]]," ",BDPADRES[[#This Row],[APELLIDOS MADRE]])</f>
        <v>PAOLA LIJERON RAMIREZ</v>
      </c>
      <c r="I66" s="105"/>
      <c r="J66" s="93">
        <v>60904473</v>
      </c>
    </row>
    <row r="67" spans="1:10" x14ac:dyDescent="0.3">
      <c r="A67" s="61">
        <v>61</v>
      </c>
      <c r="B67" s="79" t="s">
        <v>742</v>
      </c>
      <c r="C67" s="75" t="s">
        <v>743</v>
      </c>
      <c r="D67" s="84">
        <v>7750453</v>
      </c>
      <c r="E67" s="92" t="s">
        <v>744</v>
      </c>
      <c r="F67" s="88" t="s">
        <v>534</v>
      </c>
      <c r="G67" s="101">
        <v>8891220</v>
      </c>
      <c r="H67" s="109" t="str">
        <f>CONCATENATE(BDPADRES[[#This Row],[NOMBRES MADRE]]," ",BDPADRES[[#This Row],[APELLIDOS MADRE]])</f>
        <v>NILDA HUAYHUA ARENAS</v>
      </c>
      <c r="I67" s="105"/>
      <c r="J67" s="93">
        <v>72606551</v>
      </c>
    </row>
    <row r="68" spans="1:10" x14ac:dyDescent="0.3">
      <c r="A68" s="61">
        <v>61</v>
      </c>
      <c r="B68" s="79" t="s">
        <v>245</v>
      </c>
      <c r="C68" s="75" t="s">
        <v>533</v>
      </c>
      <c r="D68" s="84">
        <v>7695347</v>
      </c>
      <c r="E68" s="92" t="s">
        <v>71</v>
      </c>
      <c r="F68" s="88" t="s">
        <v>534</v>
      </c>
      <c r="G68" s="101">
        <v>7827534</v>
      </c>
      <c r="H68" s="109" t="str">
        <f>CONCATENATE(BDPADRES[[#This Row],[NOMBRES MADRE]]," ",BDPADRES[[#This Row],[APELLIDOS MADRE]])</f>
        <v>MARIBEL  HUAYHUA ARENAS</v>
      </c>
      <c r="I68" s="105"/>
      <c r="J68" s="95">
        <v>75587093</v>
      </c>
    </row>
    <row r="69" spans="1:10" x14ac:dyDescent="0.3">
      <c r="A69" s="61">
        <v>62</v>
      </c>
      <c r="B69" s="79" t="s">
        <v>81</v>
      </c>
      <c r="C69" s="75" t="s">
        <v>82</v>
      </c>
      <c r="D69" s="84"/>
      <c r="E69" s="92" t="s">
        <v>83</v>
      </c>
      <c r="F69" s="88" t="s">
        <v>84</v>
      </c>
      <c r="G69" s="101">
        <v>8875140</v>
      </c>
      <c r="H69" s="109" t="str">
        <f>CONCATENATE(BDPADRES[[#This Row],[NOMBRES MADRE]]," ",BDPADRES[[#This Row],[APELLIDOS MADRE]])</f>
        <v>EDITH  ESCOBAR CESPEDES</v>
      </c>
      <c r="I69" s="105"/>
      <c r="J69" s="95">
        <v>67604293</v>
      </c>
    </row>
    <row r="70" spans="1:10" x14ac:dyDescent="0.3">
      <c r="A70" s="61">
        <v>63</v>
      </c>
      <c r="B70" s="79" t="s">
        <v>500</v>
      </c>
      <c r="C70" s="75" t="s">
        <v>501</v>
      </c>
      <c r="D70" s="84">
        <v>4582617</v>
      </c>
      <c r="E70" s="92" t="s">
        <v>502</v>
      </c>
      <c r="F70" s="88" t="s">
        <v>503</v>
      </c>
      <c r="G70" s="101">
        <v>4674885</v>
      </c>
      <c r="H70" s="109" t="str">
        <f>CONCATENATE(BDPADRES[[#This Row],[NOMBRES MADRE]]," ",BDPADRES[[#This Row],[APELLIDOS MADRE]])</f>
        <v>SIMONA ARIAS RENGIPO</v>
      </c>
      <c r="I70" s="105"/>
      <c r="J70" s="95">
        <v>67738714</v>
      </c>
    </row>
    <row r="71" spans="1:10" x14ac:dyDescent="0.3">
      <c r="A71" s="61">
        <v>64</v>
      </c>
      <c r="B71" s="79" t="s">
        <v>159</v>
      </c>
      <c r="C71" s="75" t="s">
        <v>314</v>
      </c>
      <c r="D71" s="84">
        <v>4615298</v>
      </c>
      <c r="E71" s="92" t="s">
        <v>285</v>
      </c>
      <c r="F71" s="88" t="s">
        <v>315</v>
      </c>
      <c r="G71" s="101">
        <v>6265771</v>
      </c>
      <c r="H71" s="109" t="str">
        <f>CONCATENATE(BDPADRES[[#This Row],[NOMBRES MADRE]]," ",BDPADRES[[#This Row],[APELLIDOS MADRE]])</f>
        <v>JUANA MARTINEZ FERNANDEZ</v>
      </c>
      <c r="I71" s="105"/>
      <c r="J71" s="93">
        <v>76077411</v>
      </c>
    </row>
    <row r="72" spans="1:10" x14ac:dyDescent="0.3">
      <c r="A72" s="61">
        <v>65</v>
      </c>
      <c r="B72" s="79" t="s">
        <v>97</v>
      </c>
      <c r="C72" s="75" t="s">
        <v>55</v>
      </c>
      <c r="D72" s="84"/>
      <c r="E72" s="92" t="s">
        <v>87</v>
      </c>
      <c r="F72" s="88" t="s">
        <v>98</v>
      </c>
      <c r="G72" s="101">
        <v>6376865</v>
      </c>
      <c r="H72" s="109" t="str">
        <f>CONCATENATE(BDPADRES[[#This Row],[NOMBRES MADRE]]," ",BDPADRES[[#This Row],[APELLIDOS MADRE]])</f>
        <v>MARGARITA DAZA VEDIA</v>
      </c>
      <c r="I72" s="105"/>
      <c r="J72" s="93">
        <v>78067530</v>
      </c>
    </row>
    <row r="73" spans="1:10" x14ac:dyDescent="0.3">
      <c r="A73" s="61">
        <v>66</v>
      </c>
      <c r="B73" s="79" t="s">
        <v>261</v>
      </c>
      <c r="C73" s="75" t="s">
        <v>262</v>
      </c>
      <c r="D73" s="84">
        <v>8066524</v>
      </c>
      <c r="E73" s="92" t="s">
        <v>263</v>
      </c>
      <c r="F73" s="88" t="s">
        <v>264</v>
      </c>
      <c r="G73" s="101">
        <v>9056003</v>
      </c>
      <c r="H73" s="109" t="str">
        <f>CONCATENATE(BDPADRES[[#This Row],[NOMBRES MADRE]]," ",BDPADRES[[#This Row],[APELLIDOS MADRE]])</f>
        <v>JAHEL  ACHO RODRIGUEZ</v>
      </c>
      <c r="I73" s="105"/>
      <c r="J73" s="93">
        <v>77669109</v>
      </c>
    </row>
    <row r="74" spans="1:10" x14ac:dyDescent="0.3">
      <c r="A74" s="61">
        <v>67</v>
      </c>
      <c r="B74" s="79" t="s">
        <v>541</v>
      </c>
      <c r="C74" s="75" t="s">
        <v>1703</v>
      </c>
      <c r="D74" s="84"/>
      <c r="E74" s="92" t="s">
        <v>541</v>
      </c>
      <c r="F74" s="88" t="s">
        <v>1704</v>
      </c>
      <c r="G74" s="101" t="s">
        <v>540</v>
      </c>
      <c r="H74" s="109" t="str">
        <f>CONCATENATE(BDPADRES[[#This Row],[NOMBRES MADRE]]," ",BDPADRES[[#This Row],[APELLIDOS MADRE]])</f>
        <v>SIN NOMBRE PACO</v>
      </c>
      <c r="I74" s="105"/>
      <c r="J74" s="93"/>
    </row>
    <row r="75" spans="1:10" x14ac:dyDescent="0.3">
      <c r="A75" s="61">
        <v>68</v>
      </c>
      <c r="B75" s="79" t="s">
        <v>245</v>
      </c>
      <c r="C75" s="75" t="s">
        <v>246</v>
      </c>
      <c r="D75" s="84">
        <v>5405838</v>
      </c>
      <c r="E75" s="92" t="s">
        <v>247</v>
      </c>
      <c r="F75" s="88" t="s">
        <v>248</v>
      </c>
      <c r="G75" s="101">
        <v>7921154</v>
      </c>
      <c r="H75" s="109" t="str">
        <f>CONCATENATE(BDPADRES[[#This Row],[NOMBRES MADRE]]," ",BDPADRES[[#This Row],[APELLIDOS MADRE]])</f>
        <v>LISBETH ALCOBA CESPEDES</v>
      </c>
      <c r="I75" s="105"/>
      <c r="J75" s="93">
        <v>71038984</v>
      </c>
    </row>
    <row r="76" spans="1:10" x14ac:dyDescent="0.3">
      <c r="A76" s="61">
        <v>69</v>
      </c>
      <c r="B76" s="79" t="s">
        <v>115</v>
      </c>
      <c r="C76" s="75" t="s">
        <v>116</v>
      </c>
      <c r="D76" s="84">
        <v>10782431</v>
      </c>
      <c r="E76" s="92" t="s">
        <v>117</v>
      </c>
      <c r="F76" s="88" t="s">
        <v>118</v>
      </c>
      <c r="G76" s="101">
        <v>4144053</v>
      </c>
      <c r="H76" s="109" t="str">
        <f>CONCATENATE(BDPADRES[[#This Row],[NOMBRES MADRE]]," ",BDPADRES[[#This Row],[APELLIDOS MADRE]])</f>
        <v>MARIA MERCEDES PUMACAYO PERALTA</v>
      </c>
      <c r="I76" s="105"/>
      <c r="J76" s="93">
        <v>62181252</v>
      </c>
    </row>
    <row r="77" spans="1:10" x14ac:dyDescent="0.3">
      <c r="A77" s="61">
        <v>69</v>
      </c>
      <c r="B77" s="79" t="s">
        <v>2150</v>
      </c>
      <c r="C77" s="75" t="s">
        <v>3011</v>
      </c>
      <c r="D77" s="84"/>
      <c r="E77" s="92" t="s">
        <v>2150</v>
      </c>
      <c r="F77" s="88" t="s">
        <v>3012</v>
      </c>
      <c r="G77" s="101"/>
      <c r="H77" s="109" t="str">
        <f>CONCATENATE(BDPADRES[[#This Row],[NOMBRES MADRE]]," ",BDPADRES[[#This Row],[APELLIDOS MADRE]])</f>
        <v>N/R CARVALHO</v>
      </c>
      <c r="I77" s="105"/>
      <c r="J77" s="93"/>
    </row>
    <row r="78" spans="1:10" x14ac:dyDescent="0.3">
      <c r="A78" s="61">
        <v>70</v>
      </c>
      <c r="B78" s="79" t="s">
        <v>563</v>
      </c>
      <c r="C78" s="75" t="s">
        <v>564</v>
      </c>
      <c r="D78" s="84">
        <v>5696472</v>
      </c>
      <c r="E78" s="92" t="s">
        <v>565</v>
      </c>
      <c r="F78" s="88" t="s">
        <v>566</v>
      </c>
      <c r="G78" s="101">
        <v>10359045</v>
      </c>
      <c r="H78" s="109" t="str">
        <f>CONCATENATE(BDPADRES[[#This Row],[NOMBRES MADRE]]," ",BDPADRES[[#This Row],[APELLIDOS MADRE]])</f>
        <v>CRECENCIA AVALOS GARNICA</v>
      </c>
      <c r="I78" s="105"/>
      <c r="J78" s="93">
        <v>74649918</v>
      </c>
    </row>
    <row r="79" spans="1:10" x14ac:dyDescent="0.3">
      <c r="A79" s="61">
        <v>71</v>
      </c>
      <c r="B79" s="79" t="s">
        <v>447</v>
      </c>
      <c r="C79" s="75" t="s">
        <v>448</v>
      </c>
      <c r="D79" s="84">
        <v>4673861</v>
      </c>
      <c r="E79" s="92" t="s">
        <v>449</v>
      </c>
      <c r="F79" s="88" t="s">
        <v>450</v>
      </c>
      <c r="G79" s="101">
        <v>8221300</v>
      </c>
      <c r="H79" s="109" t="str">
        <f>CONCATENATE(BDPADRES[[#This Row],[NOMBRES MADRE]]," ",BDPADRES[[#This Row],[APELLIDOS MADRE]])</f>
        <v>TEOLINDA HUAILLA LOPEZ</v>
      </c>
      <c r="I79" s="105"/>
      <c r="J79" s="93">
        <v>74693356</v>
      </c>
    </row>
    <row r="80" spans="1:10" x14ac:dyDescent="0.3">
      <c r="A80" s="61">
        <v>72</v>
      </c>
      <c r="B80" s="79" t="s">
        <v>541</v>
      </c>
      <c r="C80" s="75" t="s">
        <v>542</v>
      </c>
      <c r="D80" s="84"/>
      <c r="E80" s="92" t="s">
        <v>543</v>
      </c>
      <c r="F80" s="88" t="s">
        <v>544</v>
      </c>
      <c r="G80" s="101" t="s">
        <v>540</v>
      </c>
      <c r="H80" s="109" t="str">
        <f>CONCATENATE(BDPADRES[[#This Row],[NOMBRES MADRE]]," ",BDPADRES[[#This Row],[APELLIDOS MADRE]])</f>
        <v xml:space="preserve">SIN NOMBRE  PUMACAYO  </v>
      </c>
      <c r="I80" s="105"/>
      <c r="J80" s="93"/>
    </row>
    <row r="81" spans="1:10" x14ac:dyDescent="0.3">
      <c r="A81" s="61">
        <v>73</v>
      </c>
      <c r="B81" s="79" t="s">
        <v>1303</v>
      </c>
      <c r="C81" s="75" t="s">
        <v>1362</v>
      </c>
      <c r="D81" s="84">
        <v>4548341</v>
      </c>
      <c r="E81" s="92" t="s">
        <v>1363</v>
      </c>
      <c r="F81" s="88" t="s">
        <v>1364</v>
      </c>
      <c r="G81" s="101">
        <v>7842509</v>
      </c>
      <c r="H81" s="109" t="str">
        <f>CONCATENATE(BDPADRES[[#This Row],[NOMBRES MADRE]]," ",BDPADRES[[#This Row],[APELLIDOS MADRE]])</f>
        <v>SIDELA RAMIREZ FLORES</v>
      </c>
      <c r="I81" s="105"/>
      <c r="J81" s="93">
        <v>76671794</v>
      </c>
    </row>
    <row r="82" spans="1:10" x14ac:dyDescent="0.3">
      <c r="A82" s="61">
        <v>74</v>
      </c>
      <c r="B82" s="80" t="s">
        <v>3108</v>
      </c>
      <c r="C82" s="75" t="s">
        <v>287</v>
      </c>
      <c r="D82" s="84">
        <v>47433795</v>
      </c>
      <c r="E82" s="92" t="s">
        <v>288</v>
      </c>
      <c r="F82" s="88" t="s">
        <v>289</v>
      </c>
      <c r="G82" s="101">
        <v>11321584</v>
      </c>
      <c r="H82" s="109" t="str">
        <f>CONCATENATE(BDPADRES[[#This Row],[NOMBRES MADRE]]," ",BDPADRES[[#This Row],[APELLIDOS MADRE]])</f>
        <v>ELIZABETH RODRIGUEZ RODRIGUEZ</v>
      </c>
      <c r="I82" s="105"/>
      <c r="J82" s="93">
        <v>77374475</v>
      </c>
    </row>
    <row r="83" spans="1:10" x14ac:dyDescent="0.3">
      <c r="A83" s="61">
        <v>75</v>
      </c>
      <c r="B83" s="79" t="s">
        <v>695</v>
      </c>
      <c r="C83" s="75" t="s">
        <v>696</v>
      </c>
      <c r="D83" s="84"/>
      <c r="E83" s="92" t="s">
        <v>697</v>
      </c>
      <c r="F83" s="88" t="s">
        <v>698</v>
      </c>
      <c r="G83" s="101">
        <v>5840437</v>
      </c>
      <c r="H83" s="109" t="str">
        <f>CONCATENATE(BDPADRES[[#This Row],[NOMBRES MADRE]]," ",BDPADRES[[#This Row],[APELLIDOS MADRE]])</f>
        <v>MARGARITA ISABEL RIBERA TERCEROS</v>
      </c>
      <c r="I83" s="105"/>
      <c r="J83" s="93">
        <v>75366509</v>
      </c>
    </row>
    <row r="84" spans="1:10" x14ac:dyDescent="0.3">
      <c r="A84" s="61">
        <v>76</v>
      </c>
      <c r="B84" s="79" t="s">
        <v>1554</v>
      </c>
      <c r="C84" s="75" t="s">
        <v>1555</v>
      </c>
      <c r="D84" s="84"/>
      <c r="E84" s="92" t="s">
        <v>1556</v>
      </c>
      <c r="F84" s="88" t="s">
        <v>1557</v>
      </c>
      <c r="G84" s="101">
        <v>8132061</v>
      </c>
      <c r="H84" s="109" t="str">
        <f>CONCATENATE(BDPADRES[[#This Row],[NOMBRES MADRE]]," ",BDPADRES[[#This Row],[APELLIDOS MADRE]])</f>
        <v>YSABEL CEREZO RIVAS</v>
      </c>
      <c r="I84" s="105"/>
      <c r="J84" s="93">
        <v>71075067</v>
      </c>
    </row>
    <row r="85" spans="1:10" x14ac:dyDescent="0.3">
      <c r="A85" s="61">
        <v>77</v>
      </c>
      <c r="B85" s="79" t="s">
        <v>573</v>
      </c>
      <c r="C85" s="75" t="s">
        <v>670</v>
      </c>
      <c r="D85" s="84">
        <v>9620216</v>
      </c>
      <c r="E85" s="92" t="s">
        <v>296</v>
      </c>
      <c r="F85" s="88" t="s">
        <v>800</v>
      </c>
      <c r="G85" s="101">
        <v>8876366</v>
      </c>
      <c r="H85" s="109" t="str">
        <f>CONCATENATE(BDPADRES[[#This Row],[NOMBRES MADRE]]," ",BDPADRES[[#This Row],[APELLIDOS MADRE]])</f>
        <v>LIDIA MEDINA NOVA</v>
      </c>
      <c r="I85" s="105"/>
      <c r="J85" s="93">
        <v>73668568</v>
      </c>
    </row>
    <row r="86" spans="1:10" x14ac:dyDescent="0.3">
      <c r="A86" s="61">
        <v>78</v>
      </c>
      <c r="B86" s="79" t="s">
        <v>1367</v>
      </c>
      <c r="C86" s="75" t="s">
        <v>1368</v>
      </c>
      <c r="D86" s="84">
        <v>3889774</v>
      </c>
      <c r="E86" s="92" t="s">
        <v>1369</v>
      </c>
      <c r="F86" s="88" t="s">
        <v>1370</v>
      </c>
      <c r="G86" s="101">
        <v>4697603</v>
      </c>
      <c r="H86" s="109" t="str">
        <f>CONCATENATE(BDPADRES[[#This Row],[NOMBRES MADRE]]," ",BDPADRES[[#This Row],[APELLIDOS MADRE]])</f>
        <v>ROXANA PINTO FLORES</v>
      </c>
      <c r="I86" s="105">
        <v>71074644</v>
      </c>
      <c r="J86" s="93"/>
    </row>
    <row r="87" spans="1:10" x14ac:dyDescent="0.3">
      <c r="A87" s="61">
        <v>79</v>
      </c>
      <c r="B87" s="79" t="s">
        <v>425</v>
      </c>
      <c r="C87" s="75" t="s">
        <v>426</v>
      </c>
      <c r="D87" s="84"/>
      <c r="E87" s="92" t="s">
        <v>427</v>
      </c>
      <c r="F87" s="88" t="s">
        <v>428</v>
      </c>
      <c r="G87" s="101">
        <v>10405443</v>
      </c>
      <c r="H87" s="109" t="str">
        <f>CONCATENATE(BDPADRES[[#This Row],[NOMBRES MADRE]]," ",BDPADRES[[#This Row],[APELLIDOS MADRE]])</f>
        <v>AGUSTINA MARTINEZ MILLARES</v>
      </c>
      <c r="I87" s="105"/>
      <c r="J87" s="93">
        <v>63584852</v>
      </c>
    </row>
    <row r="88" spans="1:10" x14ac:dyDescent="0.3">
      <c r="A88" s="61">
        <v>80</v>
      </c>
      <c r="B88" s="79" t="s">
        <v>159</v>
      </c>
      <c r="C88" s="75" t="s">
        <v>160</v>
      </c>
      <c r="D88" s="84">
        <v>4129162</v>
      </c>
      <c r="E88" s="92" t="s">
        <v>161</v>
      </c>
      <c r="F88" s="88" t="s">
        <v>162</v>
      </c>
      <c r="G88" s="101">
        <v>7166513</v>
      </c>
      <c r="H88" s="109" t="str">
        <f>CONCATENATE(BDPADRES[[#This Row],[NOMBRES MADRE]]," ",BDPADRES[[#This Row],[APELLIDOS MADRE]])</f>
        <v>MIGUELINA GUERRERO RODA</v>
      </c>
      <c r="I88" s="105"/>
      <c r="J88" s="93">
        <v>77361158</v>
      </c>
    </row>
    <row r="89" spans="1:10" x14ac:dyDescent="0.3">
      <c r="A89" s="61">
        <v>81</v>
      </c>
      <c r="B89" s="79" t="s">
        <v>1100</v>
      </c>
      <c r="C89" s="75" t="s">
        <v>1101</v>
      </c>
      <c r="D89" s="84">
        <v>3961330</v>
      </c>
      <c r="E89" s="92" t="s">
        <v>1102</v>
      </c>
      <c r="F89" s="88" t="s">
        <v>756</v>
      </c>
      <c r="G89" s="101">
        <v>3901191</v>
      </c>
      <c r="H89" s="109" t="str">
        <f>CONCATENATE(BDPADRES[[#This Row],[NOMBRES MADRE]]," ",BDPADRES[[#This Row],[APELLIDOS MADRE]])</f>
        <v>CATALINA MAMANI OCHOA</v>
      </c>
      <c r="I89" s="105"/>
      <c r="J89" s="93">
        <v>76673477</v>
      </c>
    </row>
    <row r="90" spans="1:10" x14ac:dyDescent="0.3">
      <c r="A90" s="61">
        <v>82</v>
      </c>
      <c r="B90" s="79" t="s">
        <v>1137</v>
      </c>
      <c r="C90" s="75" t="s">
        <v>1138</v>
      </c>
      <c r="D90" s="84">
        <v>6276629</v>
      </c>
      <c r="E90" s="92" t="s">
        <v>312</v>
      </c>
      <c r="F90" s="88" t="s">
        <v>1139</v>
      </c>
      <c r="G90" s="101">
        <v>8166561</v>
      </c>
      <c r="H90" s="109" t="str">
        <f>CONCATENATE(BDPADRES[[#This Row],[NOMBRES MADRE]]," ",BDPADRES[[#This Row],[APELLIDOS MADRE]])</f>
        <v>MARTHA FIGUEROA GUZMAN</v>
      </c>
      <c r="I90" s="105"/>
      <c r="J90" s="93">
        <v>77193873</v>
      </c>
    </row>
    <row r="91" spans="1:10" x14ac:dyDescent="0.3">
      <c r="A91" s="61">
        <v>83</v>
      </c>
      <c r="B91" s="79" t="s">
        <v>459</v>
      </c>
      <c r="C91" s="75" t="s">
        <v>661</v>
      </c>
      <c r="D91" s="84">
        <v>8911001</v>
      </c>
      <c r="E91" s="92" t="s">
        <v>139</v>
      </c>
      <c r="F91" s="88" t="s">
        <v>662</v>
      </c>
      <c r="G91" s="101">
        <v>9786877</v>
      </c>
      <c r="H91" s="109" t="str">
        <f>CONCATENATE(BDPADRES[[#This Row],[NOMBRES MADRE]]," ",BDPADRES[[#This Row],[APELLIDOS MADRE]])</f>
        <v>ROSMERY CAMARGO CARBALLO</v>
      </c>
      <c r="I91" s="105"/>
      <c r="J91" s="93">
        <v>74405548</v>
      </c>
    </row>
    <row r="92" spans="1:10" x14ac:dyDescent="0.3">
      <c r="A92" s="65">
        <v>84</v>
      </c>
      <c r="B92" s="79" t="s">
        <v>1496</v>
      </c>
      <c r="C92" s="75" t="s">
        <v>1497</v>
      </c>
      <c r="D92" s="85">
        <v>4684660</v>
      </c>
      <c r="E92" s="92" t="s">
        <v>288</v>
      </c>
      <c r="F92" s="88" t="s">
        <v>1498</v>
      </c>
      <c r="G92" s="101">
        <v>11321133</v>
      </c>
      <c r="H92" s="109" t="str">
        <f>CONCATENATE(BDPADRES[[#This Row],[NOMBRES MADRE]]," ",BDPADRES[[#This Row],[APELLIDOS MADRE]])</f>
        <v>ELIZABETH MERCADO LOPEZ</v>
      </c>
      <c r="I92" s="105">
        <v>72193550</v>
      </c>
      <c r="J92" s="93"/>
    </row>
    <row r="93" spans="1:10" x14ac:dyDescent="0.3">
      <c r="A93" s="61">
        <v>85</v>
      </c>
      <c r="B93" s="79" t="s">
        <v>1113</v>
      </c>
      <c r="C93" s="75" t="s">
        <v>220</v>
      </c>
      <c r="D93" s="84">
        <v>5103986</v>
      </c>
      <c r="E93" s="92" t="s">
        <v>1114</v>
      </c>
      <c r="F93" s="88" t="s">
        <v>1115</v>
      </c>
      <c r="G93" s="101">
        <v>9042811</v>
      </c>
      <c r="H93" s="109" t="str">
        <f>CONCATENATE(BDPADRES[[#This Row],[NOMBRES MADRE]]," ",BDPADRES[[#This Row],[APELLIDOS MADRE]])</f>
        <v>ARACELI LIMON AVALOS</v>
      </c>
      <c r="I93" s="105">
        <v>67788719</v>
      </c>
      <c r="J93" s="93"/>
    </row>
    <row r="94" spans="1:10" x14ac:dyDescent="0.3">
      <c r="A94" s="61">
        <v>86</v>
      </c>
      <c r="B94" s="79" t="s">
        <v>674</v>
      </c>
      <c r="C94" s="75" t="s">
        <v>675</v>
      </c>
      <c r="D94" s="84">
        <v>5690494</v>
      </c>
      <c r="E94" s="92" t="s">
        <v>676</v>
      </c>
      <c r="F94" s="88" t="s">
        <v>677</v>
      </c>
      <c r="G94" s="101">
        <v>12427761</v>
      </c>
      <c r="H94" s="109" t="str">
        <f>CONCATENATE(BDPADRES[[#This Row],[NOMBRES MADRE]]," ",BDPADRES[[#This Row],[APELLIDOS MADRE]])</f>
        <v>VICENTA MOSCOSO ROMERO</v>
      </c>
      <c r="I94" s="105"/>
      <c r="J94" s="93">
        <v>78142961</v>
      </c>
    </row>
    <row r="95" spans="1:10" x14ac:dyDescent="0.3">
      <c r="A95" s="61">
        <v>87</v>
      </c>
      <c r="B95" s="79" t="s">
        <v>1013</v>
      </c>
      <c r="C95" s="75" t="s">
        <v>1014</v>
      </c>
      <c r="D95" s="84">
        <v>4603324</v>
      </c>
      <c r="E95" s="92" t="s">
        <v>1015</v>
      </c>
      <c r="F95" s="88" t="s">
        <v>1016</v>
      </c>
      <c r="G95" s="101">
        <v>6248105</v>
      </c>
      <c r="H95" s="109" t="str">
        <f>CONCATENATE(BDPADRES[[#This Row],[NOMBRES MADRE]]," ",BDPADRES[[#This Row],[APELLIDOS MADRE]])</f>
        <v>FLOR MARIA MOJICA GARCIA</v>
      </c>
      <c r="I95" s="105"/>
      <c r="J95" s="93">
        <v>76686400</v>
      </c>
    </row>
    <row r="96" spans="1:10" x14ac:dyDescent="0.3">
      <c r="A96" s="61">
        <v>88</v>
      </c>
      <c r="B96" s="79" t="s">
        <v>1093</v>
      </c>
      <c r="C96" s="75" t="s">
        <v>1094</v>
      </c>
      <c r="D96" s="84">
        <v>7579327</v>
      </c>
      <c r="E96" s="92" t="s">
        <v>1095</v>
      </c>
      <c r="F96" s="88" t="s">
        <v>102</v>
      </c>
      <c r="G96" s="101">
        <v>12427503</v>
      </c>
      <c r="H96" s="109" t="str">
        <f>CONCATENATE(BDPADRES[[#This Row],[NOMBRES MADRE]]," ",BDPADRES[[#This Row],[APELLIDOS MADRE]])</f>
        <v>ROSXANA MOJIANO MOSCOSO</v>
      </c>
      <c r="I96" s="105"/>
      <c r="J96" s="93">
        <v>77010697</v>
      </c>
    </row>
    <row r="97" spans="1:10" x14ac:dyDescent="0.3">
      <c r="A97" s="61">
        <v>89</v>
      </c>
      <c r="B97" s="79" t="s">
        <v>559</v>
      </c>
      <c r="C97" s="75" t="s">
        <v>560</v>
      </c>
      <c r="D97" s="84">
        <v>7693719</v>
      </c>
      <c r="E97" s="92" t="s">
        <v>561</v>
      </c>
      <c r="F97" s="88" t="s">
        <v>562</v>
      </c>
      <c r="G97" s="101">
        <v>7690637</v>
      </c>
      <c r="H97" s="109" t="str">
        <f>CONCATENATE(BDPADRES[[#This Row],[NOMBRES MADRE]]," ",BDPADRES[[#This Row],[APELLIDOS MADRE]])</f>
        <v>YENNY ROJAS CLAURE</v>
      </c>
      <c r="I97" s="105"/>
      <c r="J97" s="93">
        <v>73182203</v>
      </c>
    </row>
    <row r="98" spans="1:10" x14ac:dyDescent="0.3">
      <c r="A98" s="61">
        <v>90</v>
      </c>
      <c r="B98" s="79" t="s">
        <v>1225</v>
      </c>
      <c r="C98" s="75" t="s">
        <v>1226</v>
      </c>
      <c r="D98" s="84"/>
      <c r="E98" s="92" t="s">
        <v>1227</v>
      </c>
      <c r="F98" s="88" t="s">
        <v>1228</v>
      </c>
      <c r="G98" s="101">
        <v>5386305</v>
      </c>
      <c r="H98" s="109" t="str">
        <f>CONCATENATE(BDPADRES[[#This Row],[NOMBRES MADRE]]," ",BDPADRES[[#This Row],[APELLIDOS MADRE]])</f>
        <v>SILVIA CARI CARI COLQUE</v>
      </c>
      <c r="I98" s="105"/>
      <c r="J98" s="93">
        <v>78175097</v>
      </c>
    </row>
    <row r="99" spans="1:10" x14ac:dyDescent="0.3">
      <c r="A99" s="61">
        <v>91</v>
      </c>
      <c r="B99" s="79" t="s">
        <v>806</v>
      </c>
      <c r="C99" s="75" t="s">
        <v>1152</v>
      </c>
      <c r="D99" s="84">
        <v>9002284</v>
      </c>
      <c r="E99" s="92" t="s">
        <v>1574</v>
      </c>
      <c r="F99" s="88" t="s">
        <v>1575</v>
      </c>
      <c r="G99" s="101">
        <v>9702061</v>
      </c>
      <c r="H99" s="109" t="str">
        <f>CONCATENATE(BDPADRES[[#This Row],[NOMBRES MADRE]]," ",BDPADRES[[#This Row],[APELLIDOS MADRE]])</f>
        <v>VERENICE DORADO MONTENEGRO</v>
      </c>
      <c r="I99" s="105"/>
      <c r="J99" s="93">
        <v>78090833</v>
      </c>
    </row>
    <row r="100" spans="1:10" x14ac:dyDescent="0.3">
      <c r="A100" s="61">
        <v>92</v>
      </c>
      <c r="B100" s="79" t="s">
        <v>1090</v>
      </c>
      <c r="C100" s="75" t="s">
        <v>825</v>
      </c>
      <c r="D100" s="84">
        <v>4575064</v>
      </c>
      <c r="E100" s="92" t="s">
        <v>95</v>
      </c>
      <c r="F100" s="88" t="s">
        <v>1091</v>
      </c>
      <c r="G100" s="101">
        <v>8061970</v>
      </c>
      <c r="H100" s="109" t="str">
        <f>CONCATENATE(BDPADRES[[#This Row],[NOMBRES MADRE]]," ",BDPADRES[[#This Row],[APELLIDOS MADRE]])</f>
        <v>DANIELA APAZA MIRANDA</v>
      </c>
      <c r="I100" s="105"/>
      <c r="J100" s="93">
        <v>75056850</v>
      </c>
    </row>
    <row r="101" spans="1:10" x14ac:dyDescent="0.3">
      <c r="A101" s="61">
        <v>93</v>
      </c>
      <c r="B101" s="79" t="s">
        <v>1027</v>
      </c>
      <c r="C101" s="75" t="s">
        <v>1028</v>
      </c>
      <c r="D101" s="84">
        <v>6300707</v>
      </c>
      <c r="E101" s="92" t="s">
        <v>1029</v>
      </c>
      <c r="F101" s="88" t="s">
        <v>1030</v>
      </c>
      <c r="G101" s="101">
        <v>9819048</v>
      </c>
      <c r="H101" s="109" t="str">
        <f>CONCATENATE(BDPADRES[[#This Row],[NOMBRES MADRE]]," ",BDPADRES[[#This Row],[APELLIDOS MADRE]])</f>
        <v>DORA TERAN NOMTENEGRO</v>
      </c>
      <c r="I101" s="105"/>
      <c r="J101" s="93">
        <v>77014775</v>
      </c>
    </row>
    <row r="102" spans="1:10" x14ac:dyDescent="0.3">
      <c r="A102" s="61">
        <v>95</v>
      </c>
      <c r="B102" s="79" t="s">
        <v>123</v>
      </c>
      <c r="C102" s="75" t="s">
        <v>124</v>
      </c>
      <c r="D102" s="84">
        <v>5387385</v>
      </c>
      <c r="E102" s="92" t="s">
        <v>87</v>
      </c>
      <c r="F102" s="88" t="s">
        <v>125</v>
      </c>
      <c r="G102" s="101">
        <v>7744273</v>
      </c>
      <c r="H102" s="109" t="str">
        <f>CONCATENATE(BDPADRES[[#This Row],[NOMBRES MADRE]]," ",BDPADRES[[#This Row],[APELLIDOS MADRE]])</f>
        <v>MARGARITA CHUMBE LOPEZ</v>
      </c>
      <c r="I102" s="105"/>
      <c r="J102" s="93">
        <v>77816125</v>
      </c>
    </row>
    <row r="103" spans="1:10" x14ac:dyDescent="0.3">
      <c r="A103" s="61">
        <v>96</v>
      </c>
      <c r="B103" s="79" t="s">
        <v>1559</v>
      </c>
      <c r="C103" s="75" t="s">
        <v>1560</v>
      </c>
      <c r="D103" s="84">
        <v>6264106</v>
      </c>
      <c r="E103" s="92" t="s">
        <v>1391</v>
      </c>
      <c r="F103" s="88" t="s">
        <v>1561</v>
      </c>
      <c r="G103" s="101">
        <v>4712056</v>
      </c>
      <c r="H103" s="109" t="str">
        <f>CONCATENATE(BDPADRES[[#This Row],[NOMBRES MADRE]]," ",BDPADRES[[#This Row],[APELLIDOS MADRE]])</f>
        <v>AURORA URIONA VELASQUEZ</v>
      </c>
      <c r="I103" s="105"/>
      <c r="J103" s="93">
        <v>77161594</v>
      </c>
    </row>
    <row r="104" spans="1:10" x14ac:dyDescent="0.3">
      <c r="A104" s="61">
        <v>97</v>
      </c>
      <c r="B104" s="79" t="s">
        <v>470</v>
      </c>
      <c r="C104" s="75" t="s">
        <v>471</v>
      </c>
      <c r="D104" s="84">
        <v>9850212</v>
      </c>
      <c r="E104" s="92" t="s">
        <v>472</v>
      </c>
      <c r="F104" s="88" t="s">
        <v>473</v>
      </c>
      <c r="G104" s="101">
        <v>7791433</v>
      </c>
      <c r="H104" s="109" t="str">
        <f>CONCATENATE(BDPADRES[[#This Row],[NOMBRES MADRE]]," ",BDPADRES[[#This Row],[APELLIDOS MADRE]])</f>
        <v>CELESTINA ARIMOZA CARBALLO</v>
      </c>
      <c r="I104" s="105"/>
      <c r="J104" s="93">
        <v>68929405</v>
      </c>
    </row>
    <row r="105" spans="1:10" x14ac:dyDescent="0.3">
      <c r="A105" s="61">
        <v>98</v>
      </c>
      <c r="B105" s="79" t="s">
        <v>1638</v>
      </c>
      <c r="C105" s="75" t="s">
        <v>1639</v>
      </c>
      <c r="D105" s="84"/>
      <c r="E105" s="92" t="s">
        <v>1640</v>
      </c>
      <c r="F105" s="88" t="s">
        <v>1641</v>
      </c>
      <c r="G105" s="101">
        <v>7831496</v>
      </c>
      <c r="H105" s="109" t="str">
        <f>CONCATENATE(BDPADRES[[#This Row],[NOMBRES MADRE]]," ",BDPADRES[[#This Row],[APELLIDOS MADRE]])</f>
        <v>CARMEN GALARZA GALVIS</v>
      </c>
      <c r="I105" s="105"/>
      <c r="J105" s="93">
        <v>64441882</v>
      </c>
    </row>
    <row r="106" spans="1:10" x14ac:dyDescent="0.3">
      <c r="A106" s="61">
        <v>99</v>
      </c>
      <c r="B106" s="79" t="s">
        <v>656</v>
      </c>
      <c r="C106" s="75" t="s">
        <v>657</v>
      </c>
      <c r="D106" s="84">
        <v>7758100</v>
      </c>
      <c r="E106" s="92" t="s">
        <v>658</v>
      </c>
      <c r="F106" s="88" t="s">
        <v>659</v>
      </c>
      <c r="G106" s="101">
        <v>5877105</v>
      </c>
      <c r="H106" s="109" t="str">
        <f>CONCATENATE(BDPADRES[[#This Row],[NOMBRES MADRE]]," ",BDPADRES[[#This Row],[APELLIDOS MADRE]])</f>
        <v>MARIA ELSA GARCIA CUCHALLO</v>
      </c>
      <c r="I106" s="105"/>
      <c r="J106" s="93">
        <v>75390378</v>
      </c>
    </row>
    <row r="107" spans="1:10" x14ac:dyDescent="0.3">
      <c r="A107" s="61">
        <v>100</v>
      </c>
      <c r="B107" s="79" t="s">
        <v>728</v>
      </c>
      <c r="C107" s="75" t="s">
        <v>729</v>
      </c>
      <c r="D107" s="84"/>
      <c r="E107" s="92" t="s">
        <v>730</v>
      </c>
      <c r="F107" s="88" t="s">
        <v>731</v>
      </c>
      <c r="G107" s="101">
        <v>5885753</v>
      </c>
      <c r="H107" s="109" t="str">
        <f>CONCATENATE(BDPADRES[[#This Row],[NOMBRES MADRE]]," ",BDPADRES[[#This Row],[APELLIDOS MADRE]])</f>
        <v>LOURDES BALDERAS VEDIA</v>
      </c>
      <c r="I107" s="105"/>
      <c r="J107" s="93">
        <v>73135419</v>
      </c>
    </row>
    <row r="108" spans="1:10" x14ac:dyDescent="0.3">
      <c r="A108" s="61">
        <v>101</v>
      </c>
      <c r="B108" s="79" t="s">
        <v>29</v>
      </c>
      <c r="C108" s="75" t="s">
        <v>738</v>
      </c>
      <c r="D108" s="84"/>
      <c r="E108" s="92" t="s">
        <v>1581</v>
      </c>
      <c r="F108" s="88" t="s">
        <v>1582</v>
      </c>
      <c r="G108" s="101">
        <v>6266767</v>
      </c>
      <c r="H108" s="109" t="str">
        <f>CONCATENATE(BDPADRES[[#This Row],[NOMBRES MADRE]]," ",BDPADRES[[#This Row],[APELLIDOS MADRE]])</f>
        <v>CLEOFE AZURDUY REVOLLO</v>
      </c>
      <c r="I108" s="105"/>
      <c r="J108" s="93">
        <v>69077649</v>
      </c>
    </row>
    <row r="109" spans="1:10" x14ac:dyDescent="0.3">
      <c r="A109" s="61">
        <v>102</v>
      </c>
      <c r="B109" s="79" t="s">
        <v>644</v>
      </c>
      <c r="C109" s="75" t="s">
        <v>645</v>
      </c>
      <c r="D109" s="84"/>
      <c r="E109" s="92" t="s">
        <v>646</v>
      </c>
      <c r="F109" s="88" t="s">
        <v>647</v>
      </c>
      <c r="G109" s="101">
        <v>8163909</v>
      </c>
      <c r="H109" s="109" t="str">
        <f>CONCATENATE(BDPADRES[[#This Row],[NOMBRES MADRE]]," ",BDPADRES[[#This Row],[APELLIDOS MADRE]])</f>
        <v>LAURA CORCHADO BEJARANO</v>
      </c>
      <c r="I109" s="105"/>
      <c r="J109" s="93">
        <v>77837184</v>
      </c>
    </row>
    <row r="110" spans="1:10" x14ac:dyDescent="0.3">
      <c r="A110" s="61">
        <v>103</v>
      </c>
      <c r="B110" s="79" t="s">
        <v>1341</v>
      </c>
      <c r="C110" s="75" t="s">
        <v>1342</v>
      </c>
      <c r="D110" s="84">
        <v>7831461</v>
      </c>
      <c r="E110" s="92" t="s">
        <v>209</v>
      </c>
      <c r="F110" s="88" t="s">
        <v>1343</v>
      </c>
      <c r="G110" s="101">
        <v>8881596</v>
      </c>
      <c r="H110" s="109" t="str">
        <f>CONCATENATE(BDPADRES[[#This Row],[NOMBRES MADRE]]," ",BDPADRES[[#This Row],[APELLIDOS MADRE]])</f>
        <v>VERONICA CHAMBI PACO</v>
      </c>
      <c r="I110" s="105"/>
      <c r="J110" s="93">
        <v>67772024</v>
      </c>
    </row>
    <row r="111" spans="1:10" x14ac:dyDescent="0.3">
      <c r="A111" s="61">
        <v>104</v>
      </c>
      <c r="B111" s="79" t="s">
        <v>639</v>
      </c>
      <c r="C111" s="75" t="s">
        <v>640</v>
      </c>
      <c r="D111" s="84">
        <v>7672239</v>
      </c>
      <c r="E111" s="92" t="s">
        <v>641</v>
      </c>
      <c r="F111" s="88" t="s">
        <v>642</v>
      </c>
      <c r="G111" s="101">
        <v>7678351</v>
      </c>
      <c r="H111" s="109" t="str">
        <f>CONCATENATE(BDPADRES[[#This Row],[NOMBRES MADRE]]," ",BDPADRES[[#This Row],[APELLIDOS MADRE]])</f>
        <v>LUCI ROCIO ROMERO AVILA</v>
      </c>
      <c r="I111" s="105"/>
      <c r="J111" s="93">
        <v>69239458</v>
      </c>
    </row>
    <row r="112" spans="1:10" x14ac:dyDescent="0.3">
      <c r="A112" s="61">
        <v>105</v>
      </c>
      <c r="B112" s="79" t="s">
        <v>700</v>
      </c>
      <c r="C112" s="75" t="s">
        <v>701</v>
      </c>
      <c r="D112" s="84">
        <v>4220547</v>
      </c>
      <c r="E112" s="92" t="s">
        <v>702</v>
      </c>
      <c r="F112" s="88" t="s">
        <v>703</v>
      </c>
      <c r="G112" s="101">
        <v>5408834</v>
      </c>
      <c r="H112" s="109" t="str">
        <f>CONCATENATE(BDPADRES[[#This Row],[NOMBRES MADRE]]," ",BDPADRES[[#This Row],[APELLIDOS MADRE]])</f>
        <v>MARIBEL ROSARIO HERRERA REBOLLO</v>
      </c>
      <c r="I112" s="105"/>
      <c r="J112" s="93">
        <v>73171245</v>
      </c>
    </row>
    <row r="113" spans="1:10" x14ac:dyDescent="0.3">
      <c r="A113" s="61">
        <v>106</v>
      </c>
      <c r="B113" s="79" t="s">
        <v>770</v>
      </c>
      <c r="C113" s="75" t="s">
        <v>771</v>
      </c>
      <c r="D113" s="84"/>
      <c r="E113" s="92" t="s">
        <v>772</v>
      </c>
      <c r="F113" s="88" t="s">
        <v>773</v>
      </c>
      <c r="G113" s="101">
        <v>9686198</v>
      </c>
      <c r="H113" s="109" t="str">
        <f>CONCATENATE(BDPADRES[[#This Row],[NOMBRES MADRE]]," ",BDPADRES[[#This Row],[APELLIDOS MADRE]])</f>
        <v>ANABEL RUTH CHIRINO FLORES</v>
      </c>
      <c r="I113" s="105"/>
      <c r="J113" s="93">
        <v>61331913</v>
      </c>
    </row>
    <row r="114" spans="1:10" x14ac:dyDescent="0.3">
      <c r="A114" s="61">
        <v>107</v>
      </c>
      <c r="B114" s="79" t="s">
        <v>85</v>
      </c>
      <c r="C114" s="75" t="s">
        <v>1059</v>
      </c>
      <c r="D114" s="84">
        <v>6271031</v>
      </c>
      <c r="E114" s="92" t="s">
        <v>1060</v>
      </c>
      <c r="F114" s="88" t="s">
        <v>1061</v>
      </c>
      <c r="G114" s="101">
        <v>6201784</v>
      </c>
      <c r="H114" s="109" t="str">
        <f>CONCATENATE(BDPADRES[[#This Row],[NOMBRES MADRE]]," ",BDPADRES[[#This Row],[APELLIDOS MADRE]])</f>
        <v>ELVIRA JUDITHY LUCANO UÑO</v>
      </c>
      <c r="I114" s="105"/>
      <c r="J114" s="93">
        <v>61665954</v>
      </c>
    </row>
    <row r="115" spans="1:10" x14ac:dyDescent="0.3">
      <c r="A115" s="61">
        <v>108</v>
      </c>
      <c r="B115" s="79" t="s">
        <v>824</v>
      </c>
      <c r="C115" s="75" t="s">
        <v>825</v>
      </c>
      <c r="D115" s="84">
        <v>5841040</v>
      </c>
      <c r="E115" s="92" t="s">
        <v>826</v>
      </c>
      <c r="F115" s="88" t="s">
        <v>827</v>
      </c>
      <c r="G115" s="101">
        <v>7781952</v>
      </c>
      <c r="H115" s="109" t="str">
        <f>CONCATENATE(BDPADRES[[#This Row],[NOMBRES MADRE]]," ",BDPADRES[[#This Row],[APELLIDOS MADRE]])</f>
        <v>CLAUDIA VERONICA FLORES TASEO</v>
      </c>
      <c r="I115" s="105"/>
      <c r="J115" s="93">
        <v>71300120</v>
      </c>
    </row>
    <row r="116" spans="1:10" x14ac:dyDescent="0.3">
      <c r="A116" s="61">
        <v>109</v>
      </c>
      <c r="B116" s="79" t="s">
        <v>1416</v>
      </c>
      <c r="C116" s="75" t="s">
        <v>1417</v>
      </c>
      <c r="D116" s="84">
        <v>4625789</v>
      </c>
      <c r="E116" s="92" t="s">
        <v>778</v>
      </c>
      <c r="F116" s="88" t="s">
        <v>1408</v>
      </c>
      <c r="G116" s="101">
        <v>5841999</v>
      </c>
      <c r="H116" s="109" t="str">
        <f>CONCATENATE(BDPADRES[[#This Row],[NOMBRES MADRE]]," ",BDPADRES[[#This Row],[APELLIDOS MADRE]])</f>
        <v>ELVIRA MAMANI ANCASI</v>
      </c>
      <c r="I116" s="105">
        <v>69042821</v>
      </c>
      <c r="J116" s="93"/>
    </row>
    <row r="117" spans="1:10" x14ac:dyDescent="0.3">
      <c r="A117" s="61">
        <v>110</v>
      </c>
      <c r="B117" s="79" t="s">
        <v>1056</v>
      </c>
      <c r="C117" s="75" t="s">
        <v>785</v>
      </c>
      <c r="D117" s="84">
        <v>6270078</v>
      </c>
      <c r="E117" s="94" t="s">
        <v>3093</v>
      </c>
      <c r="F117" s="88" t="s">
        <v>1057</v>
      </c>
      <c r="G117" s="101">
        <v>7715702</v>
      </c>
      <c r="H117" s="109" t="str">
        <f>CONCATENATE(BDPADRES[[#This Row],[NOMBRES MADRE]]," ",BDPADRES[[#This Row],[APELLIDOS MADRE]])</f>
        <v>JOSSELIN ROSARIO CLAURE</v>
      </c>
      <c r="I117" s="105">
        <v>65075644</v>
      </c>
      <c r="J117" s="93"/>
    </row>
    <row r="118" spans="1:10" x14ac:dyDescent="0.3">
      <c r="A118" s="61">
        <v>111</v>
      </c>
      <c r="B118" s="79" t="s">
        <v>257</v>
      </c>
      <c r="C118" s="75" t="s">
        <v>1457</v>
      </c>
      <c r="D118" s="84">
        <v>4575920</v>
      </c>
      <c r="E118" s="92" t="s">
        <v>589</v>
      </c>
      <c r="F118" s="88" t="s">
        <v>1458</v>
      </c>
      <c r="G118" s="101"/>
      <c r="H118" s="109" t="str">
        <f>CONCATENATE(BDPADRES[[#This Row],[NOMBRES MADRE]]," ",BDPADRES[[#This Row],[APELLIDOS MADRE]])</f>
        <v>MONICA PEÑA COPA</v>
      </c>
      <c r="I118" s="105">
        <v>74643467</v>
      </c>
      <c r="J118" s="93"/>
    </row>
    <row r="119" spans="1:10" x14ac:dyDescent="0.3">
      <c r="A119" s="61">
        <v>112</v>
      </c>
      <c r="B119" s="79" t="s">
        <v>1004</v>
      </c>
      <c r="C119" s="75" t="s">
        <v>1005</v>
      </c>
      <c r="D119" s="84">
        <v>5416988</v>
      </c>
      <c r="E119" s="92" t="s">
        <v>1006</v>
      </c>
      <c r="F119" s="88" t="s">
        <v>1007</v>
      </c>
      <c r="G119" s="101">
        <v>6219606</v>
      </c>
      <c r="H119" s="109" t="str">
        <f>CONCATENATE(BDPADRES[[#This Row],[NOMBRES MADRE]]," ",BDPADRES[[#This Row],[APELLIDOS MADRE]])</f>
        <v>ESTELA OSINAGA CASTRO</v>
      </c>
      <c r="I119" s="105">
        <v>69090450</v>
      </c>
      <c r="J119" s="93">
        <v>78051955</v>
      </c>
    </row>
    <row r="120" spans="1:10" x14ac:dyDescent="0.3">
      <c r="A120" s="61">
        <v>113</v>
      </c>
      <c r="B120" s="79" t="s">
        <v>335</v>
      </c>
      <c r="C120" s="75" t="s">
        <v>1617</v>
      </c>
      <c r="D120" s="84"/>
      <c r="E120" s="92" t="s">
        <v>1549</v>
      </c>
      <c r="F120" s="88" t="s">
        <v>1618</v>
      </c>
      <c r="G120" s="101">
        <v>4045651</v>
      </c>
      <c r="H120" s="109" t="str">
        <f>CONCATENATE(BDPADRES[[#This Row],[NOMBRES MADRE]]," ",BDPADRES[[#This Row],[APELLIDOS MADRE]])</f>
        <v>FELIPA ACHACOLLO COLQUE</v>
      </c>
      <c r="I120" s="105"/>
      <c r="J120" s="93">
        <v>63699688</v>
      </c>
    </row>
    <row r="121" spans="1:10" x14ac:dyDescent="0.3">
      <c r="A121" s="61">
        <v>114</v>
      </c>
      <c r="B121" s="79" t="s">
        <v>737</v>
      </c>
      <c r="C121" s="75" t="s">
        <v>738</v>
      </c>
      <c r="D121" s="84"/>
      <c r="E121" s="92" t="s">
        <v>739</v>
      </c>
      <c r="F121" s="88" t="s">
        <v>740</v>
      </c>
      <c r="G121" s="101">
        <v>4564236</v>
      </c>
      <c r="H121" s="109" t="str">
        <f>CONCATENATE(BDPADRES[[#This Row],[NOMBRES MADRE]]," ",BDPADRES[[#This Row],[APELLIDOS MADRE]])</f>
        <v>GUADALUPE MENECES URIONA</v>
      </c>
      <c r="I121" s="105"/>
      <c r="J121" s="93">
        <v>78175546</v>
      </c>
    </row>
    <row r="122" spans="1:10" x14ac:dyDescent="0.3">
      <c r="A122" s="61">
        <v>115</v>
      </c>
      <c r="B122" s="79" t="s">
        <v>144</v>
      </c>
      <c r="C122" s="75" t="s">
        <v>847</v>
      </c>
      <c r="D122" s="84">
        <v>6338019</v>
      </c>
      <c r="E122" s="92" t="s">
        <v>848</v>
      </c>
      <c r="F122" s="88" t="s">
        <v>849</v>
      </c>
      <c r="G122" s="101">
        <v>7723976</v>
      </c>
      <c r="H122" s="109" t="str">
        <f>CONCATENATE(BDPADRES[[#This Row],[NOMBRES MADRE]]," ",BDPADRES[[#This Row],[APELLIDOS MADRE]])</f>
        <v>SIRLE YAQUELIN VARGAS RODRIGUEZ</v>
      </c>
      <c r="I122" s="105"/>
      <c r="J122" s="93">
        <v>75670121</v>
      </c>
    </row>
    <row r="123" spans="1:10" x14ac:dyDescent="0.3">
      <c r="A123" s="61">
        <v>116</v>
      </c>
      <c r="B123" s="79" t="s">
        <v>1283</v>
      </c>
      <c r="C123" s="75" t="s">
        <v>84</v>
      </c>
      <c r="D123" s="84"/>
      <c r="E123" s="92" t="s">
        <v>1284</v>
      </c>
      <c r="F123" s="88" t="s">
        <v>1285</v>
      </c>
      <c r="G123" s="101">
        <v>6257755</v>
      </c>
      <c r="H123" s="109" t="str">
        <f>CONCATENATE(BDPADRES[[#This Row],[NOMBRES MADRE]]," ",BDPADRES[[#This Row],[APELLIDOS MADRE]])</f>
        <v>JUSTINA CUELLAR AVILA</v>
      </c>
      <c r="I123" s="105"/>
      <c r="J123" s="93">
        <v>67839881</v>
      </c>
    </row>
    <row r="124" spans="1:10" x14ac:dyDescent="0.3">
      <c r="A124" s="61">
        <v>117</v>
      </c>
      <c r="B124" s="79" t="s">
        <v>1348</v>
      </c>
      <c r="C124" s="75" t="s">
        <v>1349</v>
      </c>
      <c r="D124" s="84"/>
      <c r="E124" s="92" t="s">
        <v>1350</v>
      </c>
      <c r="F124" s="88" t="s">
        <v>1351</v>
      </c>
      <c r="G124" s="101">
        <v>7708513</v>
      </c>
      <c r="H124" s="109" t="str">
        <f>CONCATENATE(BDPADRES[[#This Row],[NOMBRES MADRE]]," ",BDPADRES[[#This Row],[APELLIDOS MADRE]])</f>
        <v>ANGELICA MARQUEZ ACHO</v>
      </c>
      <c r="I124" s="105"/>
      <c r="J124" s="93">
        <v>78110841</v>
      </c>
    </row>
    <row r="125" spans="1:10" x14ac:dyDescent="0.3">
      <c r="A125" s="61">
        <v>118</v>
      </c>
      <c r="B125" s="79" t="s">
        <v>690</v>
      </c>
      <c r="C125" s="75" t="s">
        <v>691</v>
      </c>
      <c r="D125" s="84">
        <v>7722977</v>
      </c>
      <c r="E125" s="92" t="s">
        <v>692</v>
      </c>
      <c r="F125" s="88" t="s">
        <v>693</v>
      </c>
      <c r="G125" s="101">
        <v>8987622</v>
      </c>
      <c r="H125" s="109" t="str">
        <f>CONCATENATE(BDPADRES[[#This Row],[NOMBRES MADRE]]," ",BDPADRES[[#This Row],[APELLIDOS MADRE]])</f>
        <v>MERCEDES ROCHA SANGUINO</v>
      </c>
      <c r="I125" s="105"/>
      <c r="J125" s="93">
        <v>73156605</v>
      </c>
    </row>
    <row r="126" spans="1:10" x14ac:dyDescent="0.3">
      <c r="A126" s="61">
        <v>119</v>
      </c>
      <c r="B126" s="79" t="s">
        <v>547</v>
      </c>
      <c r="C126" s="75" t="s">
        <v>1589</v>
      </c>
      <c r="D126" s="84">
        <v>5669002</v>
      </c>
      <c r="E126" s="92" t="s">
        <v>296</v>
      </c>
      <c r="F126" s="88" t="s">
        <v>1590</v>
      </c>
      <c r="G126" s="101">
        <v>8241018</v>
      </c>
      <c r="H126" s="109" t="str">
        <f>CONCATENATE(BDPADRES[[#This Row],[NOMBRES MADRE]]," ",BDPADRES[[#This Row],[APELLIDOS MADRE]])</f>
        <v>LIDIA GARCIA</v>
      </c>
      <c r="I126" s="105"/>
      <c r="J126" s="93">
        <v>78146529</v>
      </c>
    </row>
    <row r="127" spans="1:10" x14ac:dyDescent="0.3">
      <c r="A127" s="61">
        <v>120</v>
      </c>
      <c r="B127" s="79" t="s">
        <v>679</v>
      </c>
      <c r="C127" s="75" t="s">
        <v>680</v>
      </c>
      <c r="D127" s="84">
        <v>7992667</v>
      </c>
      <c r="E127" s="92" t="s">
        <v>457</v>
      </c>
      <c r="F127" s="88" t="s">
        <v>681</v>
      </c>
      <c r="G127" s="101">
        <v>9507378</v>
      </c>
      <c r="H127" s="109" t="str">
        <f>CONCATENATE(BDPADRES[[#This Row],[NOMBRES MADRE]]," ",BDPADRES[[#This Row],[APELLIDOS MADRE]])</f>
        <v>ELVA CLAROS ORELLANA</v>
      </c>
      <c r="I127" s="105"/>
      <c r="J127" s="93">
        <v>67742354</v>
      </c>
    </row>
    <row r="128" spans="1:10" x14ac:dyDescent="0.3">
      <c r="A128" s="61">
        <v>121</v>
      </c>
      <c r="B128" s="79" t="s">
        <v>1161</v>
      </c>
      <c r="C128" s="75" t="s">
        <v>1162</v>
      </c>
      <c r="D128" s="84"/>
      <c r="E128" s="92" t="s">
        <v>1164</v>
      </c>
      <c r="F128" s="88" t="s">
        <v>1163</v>
      </c>
      <c r="G128" s="101">
        <v>5853979</v>
      </c>
      <c r="H128" s="109" t="str">
        <f>CONCATENATE(BDPADRES[[#This Row],[NOMBRES MADRE]]," ",BDPADRES[[#This Row],[APELLIDOS MADRE]])</f>
        <v>MARIA JESUS BAIGORIA HURTADO</v>
      </c>
      <c r="I128" s="105"/>
      <c r="J128" s="93">
        <v>70244353</v>
      </c>
    </row>
    <row r="129" spans="1:10" x14ac:dyDescent="0.3">
      <c r="A129" s="61">
        <v>122</v>
      </c>
      <c r="B129" s="79" t="s">
        <v>518</v>
      </c>
      <c r="C129" s="75" t="s">
        <v>1647</v>
      </c>
      <c r="D129" s="84">
        <v>5829369</v>
      </c>
      <c r="E129" s="92" t="s">
        <v>1648</v>
      </c>
      <c r="F129" s="88" t="s">
        <v>1649</v>
      </c>
      <c r="G129" s="101">
        <v>5853924</v>
      </c>
      <c r="H129" s="109" t="str">
        <f>CONCATENATE(BDPADRES[[#This Row],[NOMBRES MADRE]]," ",BDPADRES[[#This Row],[APELLIDOS MADRE]])</f>
        <v>ILDA PIZARRO COPA</v>
      </c>
      <c r="I129" s="105"/>
      <c r="J129" s="93">
        <v>78197533</v>
      </c>
    </row>
    <row r="130" spans="1:10" x14ac:dyDescent="0.3">
      <c r="A130" s="61">
        <v>123</v>
      </c>
      <c r="B130" s="79" t="s">
        <v>60</v>
      </c>
      <c r="C130" s="75" t="s">
        <v>61</v>
      </c>
      <c r="D130" s="84">
        <v>5496704</v>
      </c>
      <c r="E130" s="92" t="s">
        <v>62</v>
      </c>
      <c r="F130" s="88" t="s">
        <v>63</v>
      </c>
      <c r="G130" s="101">
        <v>5496732</v>
      </c>
      <c r="H130" s="109" t="str">
        <f>CONCATENATE(BDPADRES[[#This Row],[NOMBRES MADRE]]," ",BDPADRES[[#This Row],[APELLIDOS MADRE]])</f>
        <v>NERIA  CUBA ROMERO</v>
      </c>
      <c r="I130" s="105"/>
      <c r="J130" s="93">
        <v>74401350</v>
      </c>
    </row>
    <row r="131" spans="1:10" x14ac:dyDescent="0.3">
      <c r="A131" s="61">
        <v>124</v>
      </c>
      <c r="B131" s="79" t="s">
        <v>245</v>
      </c>
      <c r="C131" s="75" t="s">
        <v>605</v>
      </c>
      <c r="D131" s="84">
        <v>7817995</v>
      </c>
      <c r="E131" s="92" t="s">
        <v>555</v>
      </c>
      <c r="F131" s="88" t="s">
        <v>606</v>
      </c>
      <c r="G131" s="101">
        <v>8240932</v>
      </c>
      <c r="H131" s="109" t="str">
        <f>CONCATENATE(BDPADRES[[#This Row],[NOMBRES MADRE]]," ",BDPADRES[[#This Row],[APELLIDOS MADRE]])</f>
        <v>MARIA ISABEL CARABALLO FLORES</v>
      </c>
      <c r="I131" s="105">
        <v>69247368</v>
      </c>
      <c r="J131" s="93"/>
    </row>
    <row r="132" spans="1:10" x14ac:dyDescent="0.3">
      <c r="A132" s="61">
        <v>125</v>
      </c>
      <c r="B132" s="79" t="s">
        <v>2065</v>
      </c>
      <c r="C132" s="75" t="s">
        <v>289</v>
      </c>
      <c r="D132" s="84">
        <v>5380220</v>
      </c>
      <c r="E132" s="92" t="s">
        <v>2066</v>
      </c>
      <c r="F132" s="88" t="s">
        <v>610</v>
      </c>
      <c r="G132" s="101"/>
      <c r="H132" s="109" t="str">
        <f>CONCATENATE(BDPADRES[[#This Row],[NOMBRES MADRE]]," ",BDPADRES[[#This Row],[APELLIDOS MADRE]])</f>
        <v>JACQUELIN LILIAN FIGUEROA SARDINAS</v>
      </c>
      <c r="I132" s="105">
        <v>61351302</v>
      </c>
      <c r="J132" s="93"/>
    </row>
    <row r="133" spans="1:10" x14ac:dyDescent="0.3">
      <c r="A133" s="61">
        <v>126</v>
      </c>
      <c r="B133" s="79" t="s">
        <v>991</v>
      </c>
      <c r="C133" s="75" t="s">
        <v>992</v>
      </c>
      <c r="D133" s="84">
        <v>8068571</v>
      </c>
      <c r="E133" s="92" t="s">
        <v>811</v>
      </c>
      <c r="F133" s="88" t="s">
        <v>993</v>
      </c>
      <c r="G133" s="101">
        <v>6379100</v>
      </c>
      <c r="H133" s="109" t="str">
        <f>CONCATENATE(BDPADRES[[#This Row],[NOMBRES MADRE]]," ",BDPADRES[[#This Row],[APELLIDOS MADRE]])</f>
        <v>MARICELA FLORES GALVEZ</v>
      </c>
      <c r="I133" s="105"/>
      <c r="J133" s="93">
        <v>75696543</v>
      </c>
    </row>
    <row r="134" spans="1:10" x14ac:dyDescent="0.3">
      <c r="A134" s="61">
        <v>127</v>
      </c>
      <c r="B134" s="79" t="s">
        <v>1279</v>
      </c>
      <c r="C134" s="75" t="s">
        <v>1280</v>
      </c>
      <c r="D134" s="84">
        <v>7777981</v>
      </c>
      <c r="E134" s="94" t="s">
        <v>3094</v>
      </c>
      <c r="F134" s="88" t="s">
        <v>1281</v>
      </c>
      <c r="G134" s="101">
        <v>6359114</v>
      </c>
      <c r="H134" s="109" t="str">
        <f>CONCATENATE(BDPADRES[[#This Row],[NOMBRES MADRE]]," ",BDPADRES[[#This Row],[APELLIDOS MADRE]])</f>
        <v>YESSICA  PAOLA SILVESTRE CHOQUE</v>
      </c>
      <c r="I134" s="105"/>
      <c r="J134" s="93">
        <v>70929170</v>
      </c>
    </row>
    <row r="135" spans="1:10" x14ac:dyDescent="0.3">
      <c r="A135" s="61">
        <v>128</v>
      </c>
      <c r="B135" s="79" t="s">
        <v>1380</v>
      </c>
      <c r="C135" s="75" t="s">
        <v>1381</v>
      </c>
      <c r="D135" s="84">
        <v>6531754</v>
      </c>
      <c r="E135" s="92" t="s">
        <v>1350</v>
      </c>
      <c r="F135" s="88" t="s">
        <v>1382</v>
      </c>
      <c r="G135" s="101">
        <v>6441422</v>
      </c>
      <c r="H135" s="109" t="str">
        <f>CONCATENATE(BDPADRES[[#This Row],[NOMBRES MADRE]]," ",BDPADRES[[#This Row],[APELLIDOS MADRE]])</f>
        <v>ANGELICA CABRERA VEIZAGA</v>
      </c>
      <c r="I135" s="105"/>
      <c r="J135" s="93">
        <v>78440491</v>
      </c>
    </row>
    <row r="136" spans="1:10" x14ac:dyDescent="0.3">
      <c r="A136" s="61">
        <v>129</v>
      </c>
      <c r="B136" s="79" t="s">
        <v>1516</v>
      </c>
      <c r="C136" s="75" t="s">
        <v>1517</v>
      </c>
      <c r="D136" s="84"/>
      <c r="E136" s="92" t="s">
        <v>1518</v>
      </c>
      <c r="F136" s="88" t="s">
        <v>1519</v>
      </c>
      <c r="G136" s="101">
        <v>7665168</v>
      </c>
      <c r="H136" s="109" t="str">
        <f>CONCATENATE(BDPADRES[[#This Row],[NOMBRES MADRE]]," ",BDPADRES[[#This Row],[APELLIDOS MADRE]])</f>
        <v>MIREYA MARTINEZ VARGAS</v>
      </c>
      <c r="I136" s="105"/>
      <c r="J136" s="93">
        <v>78158601</v>
      </c>
    </row>
    <row r="137" spans="1:10" x14ac:dyDescent="0.3">
      <c r="A137" s="61">
        <v>130</v>
      </c>
      <c r="B137" s="79" t="s">
        <v>155</v>
      </c>
      <c r="C137" s="75" t="s">
        <v>454</v>
      </c>
      <c r="D137" s="84">
        <v>6313211</v>
      </c>
      <c r="E137" s="92" t="s">
        <v>613</v>
      </c>
      <c r="F137" s="88" t="s">
        <v>969</v>
      </c>
      <c r="G137" s="101">
        <v>6304812</v>
      </c>
      <c r="H137" s="109" t="str">
        <f>CONCATENATE(BDPADRES[[#This Row],[NOMBRES MADRE]]," ",BDPADRES[[#This Row],[APELLIDOS MADRE]])</f>
        <v>REYNA ESPINOZA LLANOS</v>
      </c>
      <c r="I137" s="105"/>
      <c r="J137" s="93">
        <v>68919964</v>
      </c>
    </row>
    <row r="138" spans="1:10" x14ac:dyDescent="0.3">
      <c r="A138" s="61">
        <v>131</v>
      </c>
      <c r="B138" s="79" t="s">
        <v>93</v>
      </c>
      <c r="C138" s="75" t="s">
        <v>974</v>
      </c>
      <c r="D138" s="84"/>
      <c r="E138" s="92" t="s">
        <v>975</v>
      </c>
      <c r="F138" s="88" t="s">
        <v>976</v>
      </c>
      <c r="G138" s="101">
        <v>5419293</v>
      </c>
      <c r="H138" s="109" t="str">
        <f>CONCATENATE(BDPADRES[[#This Row],[NOMBRES MADRE]]," ",BDPADRES[[#This Row],[APELLIDOS MADRE]])</f>
        <v>SANTUSA LLANOS VELASQUEZ</v>
      </c>
      <c r="I138" s="105"/>
      <c r="J138" s="93">
        <v>67886200</v>
      </c>
    </row>
    <row r="139" spans="1:10" x14ac:dyDescent="0.3">
      <c r="A139" s="61">
        <v>132</v>
      </c>
      <c r="B139" s="79" t="s">
        <v>802</v>
      </c>
      <c r="C139" s="75" t="s">
        <v>1070</v>
      </c>
      <c r="D139" s="84"/>
      <c r="E139" s="92" t="s">
        <v>1071</v>
      </c>
      <c r="F139" s="88" t="s">
        <v>1072</v>
      </c>
      <c r="G139" s="101">
        <v>7765494</v>
      </c>
      <c r="H139" s="109" t="str">
        <f>CONCATENATE(BDPADRES[[#This Row],[NOMBRES MADRE]]," ",BDPADRES[[#This Row],[APELLIDOS MADRE]])</f>
        <v>LISETH  VEQUI MAMANI</v>
      </c>
      <c r="I139" s="105"/>
      <c r="J139" s="93">
        <v>70447274</v>
      </c>
    </row>
    <row r="140" spans="1:10" x14ac:dyDescent="0.3">
      <c r="A140" s="61">
        <v>133</v>
      </c>
      <c r="B140" s="79" t="s">
        <v>663</v>
      </c>
      <c r="C140" s="75" t="s">
        <v>664</v>
      </c>
      <c r="D140" s="84"/>
      <c r="E140" s="92" t="s">
        <v>665</v>
      </c>
      <c r="F140" s="88" t="s">
        <v>666</v>
      </c>
      <c r="G140" s="101">
        <v>4687052</v>
      </c>
      <c r="H140" s="109" t="str">
        <f>CONCATENATE(BDPADRES[[#This Row],[NOMBRES MADRE]]," ",BDPADRES[[#This Row],[APELLIDOS MADRE]])</f>
        <v>HELEN JAEL MONTAÑO CUELLAR</v>
      </c>
      <c r="I140" s="105"/>
      <c r="J140" s="95">
        <v>69156209</v>
      </c>
    </row>
    <row r="141" spans="1:10" x14ac:dyDescent="0.3">
      <c r="A141" s="61">
        <v>134</v>
      </c>
      <c r="B141" s="79" t="s">
        <v>2296</v>
      </c>
      <c r="C141" s="75" t="s">
        <v>2297</v>
      </c>
      <c r="D141" s="84">
        <v>4621791</v>
      </c>
      <c r="E141" s="92" t="s">
        <v>1180</v>
      </c>
      <c r="F141" s="88" t="s">
        <v>612</v>
      </c>
      <c r="G141" s="101">
        <v>4724393</v>
      </c>
      <c r="H141" s="109" t="str">
        <f>CONCATENATE(BDPADRES[[#This Row],[NOMBRES MADRE]]," ",BDPADRES[[#This Row],[APELLIDOS MADRE]])</f>
        <v>ESTHER MAMANI GIRA</v>
      </c>
      <c r="I141" s="105"/>
      <c r="J141" s="93">
        <v>69079563</v>
      </c>
    </row>
    <row r="142" spans="1:10" x14ac:dyDescent="0.3">
      <c r="A142" s="61">
        <v>135</v>
      </c>
      <c r="B142" s="79" t="s">
        <v>766</v>
      </c>
      <c r="C142" s="75" t="s">
        <v>767</v>
      </c>
      <c r="D142" s="84">
        <v>4714502</v>
      </c>
      <c r="E142" s="92" t="s">
        <v>768</v>
      </c>
      <c r="F142" s="88" t="s">
        <v>769</v>
      </c>
      <c r="G142" s="101">
        <v>6339910</v>
      </c>
      <c r="H142" s="109" t="str">
        <f>CONCATENATE(BDPADRES[[#This Row],[NOMBRES MADRE]]," ",BDPADRES[[#This Row],[APELLIDOS MADRE]])</f>
        <v>MARIBEL AGUADO ROJAS</v>
      </c>
      <c r="I142" s="105"/>
      <c r="J142" s="93">
        <v>70825733</v>
      </c>
    </row>
    <row r="143" spans="1:10" x14ac:dyDescent="0.3">
      <c r="A143" s="61">
        <v>136</v>
      </c>
      <c r="B143" s="79" t="s">
        <v>111</v>
      </c>
      <c r="C143" s="75" t="s">
        <v>112</v>
      </c>
      <c r="D143" s="84">
        <v>7711794</v>
      </c>
      <c r="E143" s="92" t="s">
        <v>113</v>
      </c>
      <c r="F143" s="88" t="s">
        <v>114</v>
      </c>
      <c r="G143" s="101">
        <v>8167708</v>
      </c>
      <c r="H143" s="109" t="str">
        <f>CONCATENATE(BDPADRES[[#This Row],[NOMBRES MADRE]]," ",BDPADRES[[#This Row],[APELLIDOS MADRE]])</f>
        <v>YINA YILCANA CASTRO BANEGAS</v>
      </c>
      <c r="I143" s="105"/>
      <c r="J143" s="95">
        <v>76307822</v>
      </c>
    </row>
    <row r="144" spans="1:10" x14ac:dyDescent="0.3">
      <c r="A144" s="61">
        <v>137</v>
      </c>
      <c r="B144" s="79" t="s">
        <v>557</v>
      </c>
      <c r="C144" s="75" t="s">
        <v>558</v>
      </c>
      <c r="D144" s="84">
        <v>7844057</v>
      </c>
      <c r="E144" s="92" t="s">
        <v>555</v>
      </c>
      <c r="F144" s="88" t="s">
        <v>556</v>
      </c>
      <c r="G144" s="101">
        <v>7670348</v>
      </c>
      <c r="H144" s="109" t="str">
        <f>CONCATENATE(BDPADRES[[#This Row],[NOMBRES MADRE]]," ",BDPADRES[[#This Row],[APELLIDOS MADRE]])</f>
        <v>MARIA ISABEL VELASQUEZ MORALES</v>
      </c>
      <c r="I144" s="105"/>
      <c r="J144" s="93">
        <v>76613230</v>
      </c>
    </row>
    <row r="145" spans="1:10" x14ac:dyDescent="0.3">
      <c r="A145" s="61">
        <v>138</v>
      </c>
      <c r="B145" s="79" t="s">
        <v>1261</v>
      </c>
      <c r="C145" s="75" t="s">
        <v>1262</v>
      </c>
      <c r="D145" s="84">
        <v>5825146</v>
      </c>
      <c r="E145" s="92" t="s">
        <v>508</v>
      </c>
      <c r="F145" s="88" t="s">
        <v>1263</v>
      </c>
      <c r="G145" s="101">
        <v>9748250</v>
      </c>
      <c r="H145" s="109" t="str">
        <f>CONCATENATE(BDPADRES[[#This Row],[NOMBRES MADRE]]," ",BDPADRES[[#This Row],[APELLIDOS MADRE]])</f>
        <v>MARY LUZ LEIVA MARTINEZ</v>
      </c>
      <c r="I145" s="105">
        <v>77391628</v>
      </c>
      <c r="J145" s="93"/>
    </row>
    <row r="146" spans="1:10" x14ac:dyDescent="0.3">
      <c r="A146" s="61">
        <v>139</v>
      </c>
      <c r="B146" s="79" t="s">
        <v>1538</v>
      </c>
      <c r="C146" s="75" t="s">
        <v>432</v>
      </c>
      <c r="D146" s="84">
        <v>6322336</v>
      </c>
      <c r="E146" s="92" t="s">
        <v>285</v>
      </c>
      <c r="F146" s="88" t="s">
        <v>1539</v>
      </c>
      <c r="G146" s="101">
        <v>8994309</v>
      </c>
      <c r="H146" s="109" t="str">
        <f>CONCATENATE(BDPADRES[[#This Row],[NOMBRES MADRE]]," ",BDPADRES[[#This Row],[APELLIDOS MADRE]])</f>
        <v>JUANA CONDORI PATZI</v>
      </c>
      <c r="I146" s="105"/>
      <c r="J146" s="93">
        <v>72638940</v>
      </c>
    </row>
    <row r="147" spans="1:10" x14ac:dyDescent="0.3">
      <c r="A147" s="61">
        <v>140</v>
      </c>
      <c r="B147" s="79" t="s">
        <v>634</v>
      </c>
      <c r="C147" s="75" t="s">
        <v>635</v>
      </c>
      <c r="D147" s="84">
        <v>1090393</v>
      </c>
      <c r="E147" s="92" t="s">
        <v>636</v>
      </c>
      <c r="F147" s="88" t="s">
        <v>637</v>
      </c>
      <c r="G147" s="101"/>
      <c r="H147" s="109" t="str">
        <f>CONCATENATE(BDPADRES[[#This Row],[NOMBRES MADRE]]," ",BDPADRES[[#This Row],[APELLIDOS MADRE]])</f>
        <v>FIORELA PADILLA MONTAÑO</v>
      </c>
      <c r="I147" s="105">
        <v>67857034</v>
      </c>
      <c r="J147" s="93"/>
    </row>
    <row r="148" spans="1:10" x14ac:dyDescent="0.3">
      <c r="A148" s="61">
        <v>141</v>
      </c>
      <c r="B148" s="79" t="s">
        <v>843</v>
      </c>
      <c r="C148" s="75" t="s">
        <v>1329</v>
      </c>
      <c r="D148" s="84">
        <v>5871490</v>
      </c>
      <c r="E148" s="92" t="s">
        <v>1330</v>
      </c>
      <c r="F148" s="88" t="s">
        <v>432</v>
      </c>
      <c r="G148" s="101">
        <v>11339632</v>
      </c>
      <c r="H148" s="109" t="str">
        <f>CONCATENATE(BDPADRES[[#This Row],[NOMBRES MADRE]]," ",BDPADRES[[#This Row],[APELLIDOS MADRE]])</f>
        <v>MIRTA JACINTA ASILLO MAMANI</v>
      </c>
      <c r="I148" s="105"/>
      <c r="J148" s="93">
        <v>71034020</v>
      </c>
    </row>
    <row r="149" spans="1:10" x14ac:dyDescent="0.3">
      <c r="A149" s="61">
        <v>142</v>
      </c>
      <c r="B149" s="79" t="s">
        <v>319</v>
      </c>
      <c r="C149" s="75" t="s">
        <v>750</v>
      </c>
      <c r="D149" s="84">
        <v>8913728</v>
      </c>
      <c r="E149" s="94" t="s">
        <v>3109</v>
      </c>
      <c r="F149" s="88" t="s">
        <v>751</v>
      </c>
      <c r="G149" s="101">
        <v>9794198</v>
      </c>
      <c r="H149" s="109" t="str">
        <f>CONCATENATE(BDPADRES[[#This Row],[NOMBRES MADRE]]," ",BDPADRES[[#This Row],[APELLIDOS MADRE]])</f>
        <v>MARIA ESTEFANI QUIROZ GONZALES</v>
      </c>
      <c r="I149" s="105"/>
      <c r="J149" s="93">
        <v>76690460</v>
      </c>
    </row>
    <row r="150" spans="1:10" x14ac:dyDescent="0.3">
      <c r="A150" s="61">
        <v>143</v>
      </c>
      <c r="B150" s="79" t="s">
        <v>1117</v>
      </c>
      <c r="C150" s="75" t="s">
        <v>1118</v>
      </c>
      <c r="D150" s="84"/>
      <c r="E150" s="92" t="s">
        <v>1119</v>
      </c>
      <c r="F150" s="88" t="s">
        <v>1120</v>
      </c>
      <c r="G150" s="101">
        <v>3913233</v>
      </c>
      <c r="H150" s="109" t="str">
        <f>CONCATENATE(BDPADRES[[#This Row],[NOMBRES MADRE]]," ",BDPADRES[[#This Row],[APELLIDOS MADRE]])</f>
        <v>FAUSTA CONDORI YARHUI</v>
      </c>
      <c r="I150" s="105"/>
      <c r="J150" s="95">
        <v>67779255</v>
      </c>
    </row>
    <row r="151" spans="1:10" x14ac:dyDescent="0.3">
      <c r="A151" s="61">
        <v>143</v>
      </c>
      <c r="B151" s="79" t="s">
        <v>1291</v>
      </c>
      <c r="C151" s="75" t="s">
        <v>1292</v>
      </c>
      <c r="D151" s="84"/>
      <c r="E151" s="92" t="s">
        <v>671</v>
      </c>
      <c r="F151" s="88" t="s">
        <v>1293</v>
      </c>
      <c r="G151" s="101">
        <v>9003708</v>
      </c>
      <c r="H151" s="109" t="str">
        <f>CONCATENATE(BDPADRES[[#This Row],[NOMBRES MADRE]]," ",BDPADRES[[#This Row],[APELLIDOS MADRE]])</f>
        <v>JULIA  MARCANI CONDORI</v>
      </c>
      <c r="I151" s="105"/>
      <c r="J151" s="93">
        <v>75560036</v>
      </c>
    </row>
    <row r="152" spans="1:10" x14ac:dyDescent="0.3">
      <c r="A152" s="61">
        <v>144</v>
      </c>
      <c r="B152" s="79" t="s">
        <v>1410</v>
      </c>
      <c r="C152" s="75" t="s">
        <v>424</v>
      </c>
      <c r="D152" s="84">
        <v>7712898</v>
      </c>
      <c r="E152" s="92" t="s">
        <v>1411</v>
      </c>
      <c r="F152" s="88" t="s">
        <v>1412</v>
      </c>
      <c r="G152" s="101">
        <v>7712942</v>
      </c>
      <c r="H152" s="109" t="str">
        <f>CONCATENATE(BDPADRES[[#This Row],[NOMBRES MADRE]]," ",BDPADRES[[#This Row],[APELLIDOS MADRE]])</f>
        <v>SENAIDA MARTINEZ CHOQUE</v>
      </c>
      <c r="I152" s="105"/>
      <c r="J152" s="93">
        <v>67264622</v>
      </c>
    </row>
    <row r="153" spans="1:10" x14ac:dyDescent="0.3">
      <c r="A153" s="61">
        <v>145</v>
      </c>
      <c r="B153" s="79" t="s">
        <v>1178</v>
      </c>
      <c r="C153" s="75" t="s">
        <v>1179</v>
      </c>
      <c r="D153" s="84">
        <v>7682163</v>
      </c>
      <c r="E153" s="92" t="s">
        <v>1180</v>
      </c>
      <c r="F153" s="88" t="s">
        <v>1181</v>
      </c>
      <c r="G153" s="101">
        <v>7670975</v>
      </c>
      <c r="H153" s="109" t="str">
        <f>CONCATENATE(BDPADRES[[#This Row],[NOMBRES MADRE]]," ",BDPADRES[[#This Row],[APELLIDOS MADRE]])</f>
        <v>ESTHER MORON YEPEZ</v>
      </c>
      <c r="I153" s="105"/>
      <c r="J153" s="93">
        <v>77057385</v>
      </c>
    </row>
    <row r="154" spans="1:10" x14ac:dyDescent="0.3">
      <c r="A154" s="61">
        <v>146</v>
      </c>
      <c r="B154" s="79" t="s">
        <v>179</v>
      </c>
      <c r="C154" s="75" t="s">
        <v>1053</v>
      </c>
      <c r="D154" s="84"/>
      <c r="E154" s="92" t="s">
        <v>646</v>
      </c>
      <c r="F154" s="88" t="s">
        <v>1054</v>
      </c>
      <c r="G154" s="101">
        <v>5697499</v>
      </c>
      <c r="H154" s="109" t="str">
        <f>CONCATENATE(BDPADRES[[#This Row],[NOMBRES MADRE]]," ",BDPADRES[[#This Row],[APELLIDOS MADRE]])</f>
        <v>LAURA OLLISCO SALAZAR</v>
      </c>
      <c r="I154" s="105"/>
      <c r="J154" s="93">
        <v>73123550</v>
      </c>
    </row>
    <row r="155" spans="1:10" x14ac:dyDescent="0.3">
      <c r="A155" s="61">
        <v>147</v>
      </c>
      <c r="B155" s="79" t="s">
        <v>1082</v>
      </c>
      <c r="C155" s="75" t="s">
        <v>1083</v>
      </c>
      <c r="D155" s="84">
        <v>7726755</v>
      </c>
      <c r="E155" s="92" t="s">
        <v>1084</v>
      </c>
      <c r="F155" s="88" t="s">
        <v>1085</v>
      </c>
      <c r="G155" s="101">
        <v>7826340</v>
      </c>
      <c r="H155" s="109" t="str">
        <f>CONCATENATE(BDPADRES[[#This Row],[NOMBRES MADRE]]," ",BDPADRES[[#This Row],[APELLIDOS MADRE]])</f>
        <v>RAQUEL FERNANDEZ CESPEDES</v>
      </c>
      <c r="I155" s="105">
        <v>71352358</v>
      </c>
      <c r="J155" s="93">
        <v>62033079</v>
      </c>
    </row>
    <row r="156" spans="1:10" x14ac:dyDescent="0.3">
      <c r="A156" s="61">
        <v>148</v>
      </c>
      <c r="B156" s="79" t="s">
        <v>1050</v>
      </c>
      <c r="C156" s="75" t="s">
        <v>1051</v>
      </c>
      <c r="D156" s="84"/>
      <c r="E156" s="92" t="s">
        <v>87</v>
      </c>
      <c r="F156" s="88" t="s">
        <v>1011</v>
      </c>
      <c r="G156" s="101">
        <v>11341790</v>
      </c>
      <c r="H156" s="109" t="str">
        <f>CONCATENATE(BDPADRES[[#This Row],[NOMBRES MADRE]]," ",BDPADRES[[#This Row],[APELLIDOS MADRE]])</f>
        <v>MARGARITA SARDAN ROMERO</v>
      </c>
      <c r="I156" s="105"/>
      <c r="J156" s="93">
        <v>71398814</v>
      </c>
    </row>
    <row r="157" spans="1:10" x14ac:dyDescent="0.3">
      <c r="A157" s="61">
        <v>149</v>
      </c>
      <c r="B157" s="79" t="s">
        <v>619</v>
      </c>
      <c r="C157" s="75" t="s">
        <v>620</v>
      </c>
      <c r="D157" s="84"/>
      <c r="E157" s="92" t="s">
        <v>621</v>
      </c>
      <c r="F157" s="88" t="s">
        <v>622</v>
      </c>
      <c r="G157" s="101">
        <v>6242251</v>
      </c>
      <c r="H157" s="109" t="str">
        <f>CONCATENATE(BDPADRES[[#This Row],[NOMBRES MADRE]]," ",BDPADRES[[#This Row],[APELLIDOS MADRE]])</f>
        <v>KATHERINE TERCEROS LINO</v>
      </c>
      <c r="I157" s="105">
        <v>6242251</v>
      </c>
      <c r="J157" s="93">
        <v>75056082</v>
      </c>
    </row>
    <row r="158" spans="1:10" x14ac:dyDescent="0.3">
      <c r="A158" s="61">
        <v>150</v>
      </c>
      <c r="B158" s="79" t="s">
        <v>1313</v>
      </c>
      <c r="C158" s="75" t="s">
        <v>1541</v>
      </c>
      <c r="D158" s="84"/>
      <c r="E158" s="92" t="s">
        <v>1542</v>
      </c>
      <c r="F158" s="88" t="s">
        <v>1543</v>
      </c>
      <c r="G158" s="101">
        <v>8040351</v>
      </c>
      <c r="H158" s="109" t="str">
        <f>CONCATENATE(BDPADRES[[#This Row],[NOMBRES MADRE]]," ",BDPADRES[[#This Row],[APELLIDOS MADRE]])</f>
        <v>NELVY QUISPE LOPEZ</v>
      </c>
      <c r="I158" s="105"/>
      <c r="J158" s="93">
        <v>78583197</v>
      </c>
    </row>
    <row r="159" spans="1:10" x14ac:dyDescent="0.3">
      <c r="A159" s="61">
        <v>151</v>
      </c>
      <c r="B159" s="80" t="s">
        <v>3095</v>
      </c>
      <c r="C159" s="75" t="s">
        <v>963</v>
      </c>
      <c r="D159" s="84">
        <v>6274541</v>
      </c>
      <c r="E159" s="92" t="s">
        <v>964</v>
      </c>
      <c r="F159" s="88" t="s">
        <v>965</v>
      </c>
      <c r="G159" s="101">
        <v>6370755</v>
      </c>
      <c r="H159" s="109" t="str">
        <f>CONCATENATE(BDPADRES[[#This Row],[NOMBRES MADRE]]," ",BDPADRES[[#This Row],[APELLIDOS MADRE]])</f>
        <v>SAIDA MENDOZA FLORES</v>
      </c>
      <c r="I159" s="105"/>
      <c r="J159" s="93">
        <v>60019430</v>
      </c>
    </row>
    <row r="160" spans="1:10" x14ac:dyDescent="0.3">
      <c r="A160" s="61">
        <v>152</v>
      </c>
      <c r="B160" s="79" t="s">
        <v>85</v>
      </c>
      <c r="C160" s="75" t="s">
        <v>683</v>
      </c>
      <c r="D160" s="84">
        <v>7579966</v>
      </c>
      <c r="E160" s="92" t="s">
        <v>684</v>
      </c>
      <c r="F160" s="88" t="s">
        <v>685</v>
      </c>
      <c r="G160" s="101">
        <v>10377824</v>
      </c>
      <c r="H160" s="109" t="str">
        <f>CONCATENATE(BDPADRES[[#This Row],[NOMBRES MADRE]]," ",BDPADRES[[#This Row],[APELLIDOS MADRE]])</f>
        <v>MARTINA BARJA CACERES</v>
      </c>
      <c r="I160" s="105"/>
      <c r="J160" s="93">
        <v>62173041</v>
      </c>
    </row>
    <row r="161" spans="1:10" x14ac:dyDescent="0.3">
      <c r="A161" s="61">
        <v>153</v>
      </c>
      <c r="B161" s="79" t="s">
        <v>1037</v>
      </c>
      <c r="C161" s="75" t="s">
        <v>1038</v>
      </c>
      <c r="D161" s="84">
        <v>5397405</v>
      </c>
      <c r="E161" s="92" t="s">
        <v>1039</v>
      </c>
      <c r="F161" s="88" t="s">
        <v>338</v>
      </c>
      <c r="G161" s="101">
        <v>6273515</v>
      </c>
      <c r="H161" s="109" t="str">
        <f>CONCATENATE(BDPADRES[[#This Row],[NOMBRES MADRE]]," ",BDPADRES[[#This Row],[APELLIDOS MADRE]])</f>
        <v>ELENA JUDITH AGUADO TORREZ</v>
      </c>
      <c r="I161" s="105"/>
      <c r="J161" s="93">
        <v>72605644</v>
      </c>
    </row>
    <row r="162" spans="1:10" x14ac:dyDescent="0.3">
      <c r="A162" s="61">
        <v>154</v>
      </c>
      <c r="B162" s="79" t="s">
        <v>705</v>
      </c>
      <c r="C162" s="75" t="s">
        <v>706</v>
      </c>
      <c r="D162" s="84">
        <v>5837613</v>
      </c>
      <c r="E162" s="92" t="s">
        <v>707</v>
      </c>
      <c r="F162" s="88" t="s">
        <v>708</v>
      </c>
      <c r="G162" s="101">
        <v>6290888</v>
      </c>
      <c r="H162" s="109" t="str">
        <f>CONCATENATE(BDPADRES[[#This Row],[NOMBRES MADRE]]," ",BDPADRES[[#This Row],[APELLIDOS MADRE]])</f>
        <v>SEVERA RIVADENEIRA CRUZ</v>
      </c>
      <c r="I162" s="105"/>
      <c r="J162" s="93">
        <v>71065401</v>
      </c>
    </row>
    <row r="163" spans="1:10" x14ac:dyDescent="0.3">
      <c r="A163" s="61">
        <v>155</v>
      </c>
      <c r="B163" s="79" t="s">
        <v>816</v>
      </c>
      <c r="C163" s="75" t="s">
        <v>817</v>
      </c>
      <c r="D163" s="84">
        <v>5417783</v>
      </c>
      <c r="E163" s="92" t="s">
        <v>505</v>
      </c>
      <c r="F163" s="88" t="s">
        <v>818</v>
      </c>
      <c r="G163" s="101">
        <v>7817929</v>
      </c>
      <c r="H163" s="109" t="str">
        <f>CONCATENATE(BDPADRES[[#This Row],[NOMBRES MADRE]]," ",BDPADRES[[#This Row],[APELLIDOS MADRE]])</f>
        <v>ABIGAIL DURAN FLORES</v>
      </c>
      <c r="I163" s="105"/>
      <c r="J163" s="93">
        <v>76060432</v>
      </c>
    </row>
    <row r="164" spans="1:10" x14ac:dyDescent="0.3">
      <c r="A164" s="61">
        <v>156</v>
      </c>
      <c r="B164" s="79" t="s">
        <v>1602</v>
      </c>
      <c r="C164" s="75" t="s">
        <v>1603</v>
      </c>
      <c r="D164" s="84">
        <v>7831017</v>
      </c>
      <c r="E164" s="92" t="s">
        <v>1604</v>
      </c>
      <c r="F164" s="88" t="s">
        <v>1605</v>
      </c>
      <c r="G164" s="101">
        <v>8989181</v>
      </c>
      <c r="H164" s="109" t="str">
        <f>CONCATENATE(BDPADRES[[#This Row],[NOMBRES MADRE]]," ",BDPADRES[[#This Row],[APELLIDOS MADRE]])</f>
        <v>GRACIELA ORELLANA RISUEÑO</v>
      </c>
      <c r="I164" s="105"/>
      <c r="J164" s="93">
        <v>69042251</v>
      </c>
    </row>
    <row r="165" spans="1:10" x14ac:dyDescent="0.3">
      <c r="A165" s="61">
        <v>157</v>
      </c>
      <c r="B165" s="79" t="s">
        <v>1132</v>
      </c>
      <c r="C165" s="75" t="s">
        <v>1133</v>
      </c>
      <c r="D165" s="84">
        <v>7663003</v>
      </c>
      <c r="E165" s="92" t="s">
        <v>1134</v>
      </c>
      <c r="F165" s="88" t="s">
        <v>1135</v>
      </c>
      <c r="G165" s="101">
        <v>7826169</v>
      </c>
      <c r="H165" s="109" t="str">
        <f>CONCATENATE(BDPADRES[[#This Row],[NOMBRES MADRE]]," ",BDPADRES[[#This Row],[APELLIDOS MADRE]])</f>
        <v>ELBA ROJAS MORALES</v>
      </c>
      <c r="I165" s="105"/>
      <c r="J165" s="95">
        <v>75572025</v>
      </c>
    </row>
    <row r="166" spans="1:10" x14ac:dyDescent="0.3">
      <c r="A166" s="61">
        <v>159</v>
      </c>
      <c r="B166" s="79" t="s">
        <v>1433</v>
      </c>
      <c r="C166" s="75" t="s">
        <v>1434</v>
      </c>
      <c r="D166" s="84"/>
      <c r="E166" s="92" t="s">
        <v>1435</v>
      </c>
      <c r="F166" s="88" t="s">
        <v>1436</v>
      </c>
      <c r="G166" s="101">
        <v>5848489</v>
      </c>
      <c r="H166" s="109" t="str">
        <f>CONCATENATE(BDPADRES[[#This Row],[NOMBRES MADRE]]," ",BDPADRES[[#This Row],[APELLIDOS MADRE]])</f>
        <v>CLARITA SLEN ALVAREZ ROJAS</v>
      </c>
      <c r="I166" s="105"/>
      <c r="J166" s="93">
        <v>76384330</v>
      </c>
    </row>
    <row r="167" spans="1:10" x14ac:dyDescent="0.3">
      <c r="A167" s="61">
        <v>160</v>
      </c>
      <c r="B167" s="79" t="s">
        <v>115</v>
      </c>
      <c r="C167" s="75" t="s">
        <v>1510</v>
      </c>
      <c r="D167" s="84">
        <v>4631212</v>
      </c>
      <c r="E167" s="92" t="s">
        <v>1511</v>
      </c>
      <c r="F167" s="88" t="s">
        <v>1512</v>
      </c>
      <c r="G167" s="101">
        <v>7681140</v>
      </c>
      <c r="H167" s="109" t="str">
        <f>CONCATENATE(BDPADRES[[#This Row],[NOMBRES MADRE]]," ",BDPADRES[[#This Row],[APELLIDOS MADRE]])</f>
        <v>ANA EVELIN ESPINOZA FARREL</v>
      </c>
      <c r="I167" s="105"/>
      <c r="J167" s="93">
        <v>70202887</v>
      </c>
    </row>
    <row r="168" spans="1:10" x14ac:dyDescent="0.3">
      <c r="A168" s="61">
        <v>161</v>
      </c>
      <c r="B168" s="79" t="s">
        <v>1295</v>
      </c>
      <c r="C168" s="75" t="s">
        <v>1296</v>
      </c>
      <c r="D168" s="84"/>
      <c r="E168" s="92" t="s">
        <v>1297</v>
      </c>
      <c r="F168" s="88" t="s">
        <v>1298</v>
      </c>
      <c r="G168" s="101">
        <v>8198240</v>
      </c>
      <c r="H168" s="109" t="str">
        <f>CONCATENATE(BDPADRES[[#This Row],[NOMBRES MADRE]]," ",BDPADRES[[#This Row],[APELLIDOS MADRE]])</f>
        <v>LUANA WILMA ZAMBRANA ARANHA</v>
      </c>
      <c r="I168" s="105"/>
      <c r="J168" s="93">
        <v>73131049</v>
      </c>
    </row>
    <row r="169" spans="1:10" x14ac:dyDescent="0.3">
      <c r="A169" s="61">
        <v>162</v>
      </c>
      <c r="B169" s="79" t="s">
        <v>1419</v>
      </c>
      <c r="C169" s="75" t="s">
        <v>1420</v>
      </c>
      <c r="D169" s="84">
        <v>6343854</v>
      </c>
      <c r="E169" s="92" t="s">
        <v>1421</v>
      </c>
      <c r="F169" s="88" t="s">
        <v>1422</v>
      </c>
      <c r="G169" s="101">
        <v>8067578</v>
      </c>
      <c r="H169" s="109" t="str">
        <f>CONCATENATE(BDPADRES[[#This Row],[NOMBRES MADRE]]," ",BDPADRES[[#This Row],[APELLIDOS MADRE]])</f>
        <v>MIRIAM  CUETO SORUCO</v>
      </c>
      <c r="I169" s="105"/>
      <c r="J169" s="93">
        <v>78087697</v>
      </c>
    </row>
    <row r="170" spans="1:10" x14ac:dyDescent="0.3">
      <c r="A170" s="61">
        <v>163</v>
      </c>
      <c r="B170" s="79" t="s">
        <v>1000</v>
      </c>
      <c r="C170" s="75" t="s">
        <v>137</v>
      </c>
      <c r="D170" s="84">
        <v>7817965</v>
      </c>
      <c r="E170" s="92" t="s">
        <v>1001</v>
      </c>
      <c r="F170" s="88" t="s">
        <v>1002</v>
      </c>
      <c r="G170" s="101">
        <v>9029049</v>
      </c>
      <c r="H170" s="109" t="str">
        <f>CONCATENATE(BDPADRES[[#This Row],[NOMBRES MADRE]]," ",BDPADRES[[#This Row],[APELLIDOS MADRE]])</f>
        <v>ROSA LENNY ZAPATA RODRIGUEZ</v>
      </c>
      <c r="I170" s="105"/>
      <c r="J170" s="93">
        <v>76681072</v>
      </c>
    </row>
    <row r="171" spans="1:10" x14ac:dyDescent="0.3">
      <c r="A171" s="61">
        <v>164</v>
      </c>
      <c r="B171" s="79" t="s">
        <v>1074</v>
      </c>
      <c r="C171" s="75" t="s">
        <v>2127</v>
      </c>
      <c r="D171" s="84">
        <v>9608922</v>
      </c>
      <c r="E171" s="92" t="s">
        <v>2128</v>
      </c>
      <c r="F171" s="88" t="s">
        <v>158</v>
      </c>
      <c r="G171" s="101">
        <v>76889668</v>
      </c>
      <c r="H171" s="109" t="str">
        <f>CONCATENATE(BDPADRES[[#This Row],[NOMBRES MADRE]]," ",BDPADRES[[#This Row],[APELLIDOS MADRE]])</f>
        <v>MARITZA PEREYRA CABRERA</v>
      </c>
      <c r="I171" s="105"/>
      <c r="J171" s="93">
        <v>78432718</v>
      </c>
    </row>
    <row r="172" spans="1:10" x14ac:dyDescent="0.3">
      <c r="A172" s="61">
        <v>165</v>
      </c>
      <c r="B172" s="79" t="s">
        <v>1074</v>
      </c>
      <c r="C172" s="75" t="s">
        <v>1075</v>
      </c>
      <c r="D172" s="84"/>
      <c r="E172" s="92" t="s">
        <v>1076</v>
      </c>
      <c r="F172" s="88" t="s">
        <v>326</v>
      </c>
      <c r="G172" s="101">
        <v>8205001</v>
      </c>
      <c r="H172" s="109" t="str">
        <f>CONCATENATE(BDPADRES[[#This Row],[NOMBRES MADRE]]," ",BDPADRES[[#This Row],[APELLIDOS MADRE]])</f>
        <v>NOHEMI GUZMAN GUZMAN</v>
      </c>
      <c r="I172" s="105"/>
      <c r="J172" s="95">
        <v>78418576</v>
      </c>
    </row>
    <row r="173" spans="1:10" x14ac:dyDescent="0.3">
      <c r="A173" s="61">
        <v>166</v>
      </c>
      <c r="B173" s="79" t="s">
        <v>208</v>
      </c>
      <c r="C173" s="75" t="s">
        <v>1502</v>
      </c>
      <c r="D173" s="84">
        <v>5689122</v>
      </c>
      <c r="E173" s="92" t="s">
        <v>1503</v>
      </c>
      <c r="F173" s="88" t="s">
        <v>1504</v>
      </c>
      <c r="G173" s="101">
        <v>5671563</v>
      </c>
      <c r="H173" s="109" t="str">
        <f>CONCATENATE(BDPADRES[[#This Row],[NOMBRES MADRE]]," ",BDPADRES[[#This Row],[APELLIDOS MADRE]])</f>
        <v>PAULINA SANDOVAL GONZALES</v>
      </c>
      <c r="I173" s="106">
        <v>67886799</v>
      </c>
      <c r="J173" s="93"/>
    </row>
    <row r="174" spans="1:10" x14ac:dyDescent="0.3">
      <c r="A174" s="61">
        <v>167</v>
      </c>
      <c r="B174" s="79" t="s">
        <v>995</v>
      </c>
      <c r="C174" s="75" t="s">
        <v>996</v>
      </c>
      <c r="D174" s="84">
        <v>4589088</v>
      </c>
      <c r="E174" s="92" t="s">
        <v>997</v>
      </c>
      <c r="F174" s="88" t="s">
        <v>998</v>
      </c>
      <c r="G174" s="101">
        <v>5824742</v>
      </c>
      <c r="H174" s="109" t="str">
        <f>CONCATENATE(BDPADRES[[#This Row],[NOMBRES MADRE]]," ",BDPADRES[[#This Row],[APELLIDOS MADRE]])</f>
        <v>FRANCISCA  CRUZ ARAUZ</v>
      </c>
      <c r="I174" s="105">
        <v>74943909</v>
      </c>
      <c r="J174" s="93"/>
    </row>
    <row r="175" spans="1:10" x14ac:dyDescent="0.3">
      <c r="A175" s="61">
        <v>168</v>
      </c>
      <c r="B175" s="79" t="s">
        <v>265</v>
      </c>
      <c r="C175" s="75" t="s">
        <v>762</v>
      </c>
      <c r="D175" s="84">
        <v>6287658</v>
      </c>
      <c r="E175" s="92" t="s">
        <v>763</v>
      </c>
      <c r="F175" s="88" t="s">
        <v>764</v>
      </c>
      <c r="G175" s="101">
        <v>7772601</v>
      </c>
      <c r="H175" s="109" t="str">
        <f>CONCATENATE(BDPADRES[[#This Row],[NOMBRES MADRE]]," ",BDPADRES[[#This Row],[APELLIDOS MADRE]])</f>
        <v>LEANDRA JOSE ROJAS</v>
      </c>
      <c r="I175" s="105"/>
      <c r="J175" s="93">
        <v>76699232</v>
      </c>
    </row>
    <row r="176" spans="1:10" x14ac:dyDescent="0.3">
      <c r="A176" s="61">
        <v>169</v>
      </c>
      <c r="B176" s="79" t="s">
        <v>547</v>
      </c>
      <c r="C176" s="75" t="s">
        <v>1473</v>
      </c>
      <c r="D176" s="84"/>
      <c r="E176" s="92" t="s">
        <v>1474</v>
      </c>
      <c r="F176" s="88" t="s">
        <v>1475</v>
      </c>
      <c r="G176" s="101">
        <v>6245595</v>
      </c>
      <c r="H176" s="109" t="str">
        <f>CONCATENATE(BDPADRES[[#This Row],[NOMBRES MADRE]]," ",BDPADRES[[#This Row],[APELLIDOS MADRE]])</f>
        <v>DIANA RAPU NOZA</v>
      </c>
      <c r="I176" s="105"/>
      <c r="J176" s="93">
        <v>77648853</v>
      </c>
    </row>
    <row r="177" spans="1:10" x14ac:dyDescent="0.3">
      <c r="A177" s="61">
        <v>170</v>
      </c>
      <c r="B177" s="79" t="s">
        <v>1399</v>
      </c>
      <c r="C177" s="75" t="s">
        <v>1186</v>
      </c>
      <c r="D177" s="84">
        <v>4733918</v>
      </c>
      <c r="E177" s="92" t="s">
        <v>165</v>
      </c>
      <c r="F177" s="88" t="s">
        <v>1400</v>
      </c>
      <c r="G177" s="101">
        <v>6289952</v>
      </c>
      <c r="H177" s="109" t="str">
        <f>CONCATENATE(BDPADRES[[#This Row],[NOMBRES MADRE]]," ",BDPADRES[[#This Row],[APELLIDOS MADRE]])</f>
        <v>BENITA TECO MORON</v>
      </c>
      <c r="I177" s="105"/>
      <c r="J177" s="93">
        <v>75694353</v>
      </c>
    </row>
    <row r="178" spans="1:10" x14ac:dyDescent="0.3">
      <c r="A178" s="61">
        <v>171</v>
      </c>
      <c r="B178" s="79" t="s">
        <v>152</v>
      </c>
      <c r="C178" s="75" t="s">
        <v>153</v>
      </c>
      <c r="D178" s="84">
        <v>9735650</v>
      </c>
      <c r="E178" s="92" t="s">
        <v>132</v>
      </c>
      <c r="F178" s="88" t="s">
        <v>154</v>
      </c>
      <c r="G178" s="101">
        <v>8944716</v>
      </c>
      <c r="H178" s="109" t="str">
        <f>CONCATENATE(BDPADRES[[#This Row],[NOMBRES MADRE]]," ",BDPADRES[[#This Row],[APELLIDOS MADRE]])</f>
        <v>MARIELA PEREZ MANCILLA</v>
      </c>
      <c r="I178" s="105"/>
      <c r="J178" s="93">
        <v>67827702</v>
      </c>
    </row>
    <row r="179" spans="1:10" x14ac:dyDescent="0.3">
      <c r="A179" s="61">
        <v>172</v>
      </c>
      <c r="B179" s="79" t="s">
        <v>573</v>
      </c>
      <c r="C179" s="75" t="s">
        <v>305</v>
      </c>
      <c r="D179" s="84"/>
      <c r="E179" s="92" t="s">
        <v>574</v>
      </c>
      <c r="F179" s="88" t="s">
        <v>575</v>
      </c>
      <c r="G179" s="101">
        <v>7826188</v>
      </c>
      <c r="H179" s="109" t="str">
        <f>CONCATENATE(BDPADRES[[#This Row],[NOMBRES MADRE]]," ",BDPADRES[[#This Row],[APELLIDOS MADRE]])</f>
        <v>VICTORIA FLORES MENDOZA</v>
      </c>
      <c r="I179" s="105"/>
      <c r="J179" s="93">
        <v>766135278</v>
      </c>
    </row>
    <row r="180" spans="1:10" x14ac:dyDescent="0.3">
      <c r="A180" s="61">
        <v>173</v>
      </c>
      <c r="B180" s="79" t="s">
        <v>155</v>
      </c>
      <c r="C180" s="75" t="s">
        <v>1251</v>
      </c>
      <c r="D180" s="84">
        <v>8066522</v>
      </c>
      <c r="E180" s="92" t="s">
        <v>1252</v>
      </c>
      <c r="F180" s="88" t="s">
        <v>1219</v>
      </c>
      <c r="G180" s="101">
        <v>9630716</v>
      </c>
      <c r="H180" s="109" t="str">
        <f>CONCATENATE(BDPADRES[[#This Row],[NOMBRES MADRE]]," ",BDPADRES[[#This Row],[APELLIDOS MADRE]])</f>
        <v>CLAUDIA JHANET CARRISALES GUTIERRES</v>
      </c>
      <c r="I180" s="105">
        <v>67733601</v>
      </c>
      <c r="J180" s="93"/>
    </row>
    <row r="181" spans="1:10" x14ac:dyDescent="0.3">
      <c r="A181" s="61">
        <v>174</v>
      </c>
      <c r="B181" s="79" t="s">
        <v>547</v>
      </c>
      <c r="C181" s="75" t="s">
        <v>1275</v>
      </c>
      <c r="D181" s="84"/>
      <c r="E181" s="92" t="s">
        <v>1276</v>
      </c>
      <c r="F181" s="88" t="s">
        <v>1277</v>
      </c>
      <c r="G181" s="101">
        <v>9652099</v>
      </c>
      <c r="H181" s="109" t="str">
        <f>CONCATENATE(BDPADRES[[#This Row],[NOMBRES MADRE]]," ",BDPADRES[[#This Row],[APELLIDOS MADRE]])</f>
        <v>YOSELIN MERCADO GONZALES</v>
      </c>
      <c r="I181" s="105"/>
      <c r="J181" s="93">
        <v>78030368</v>
      </c>
    </row>
    <row r="182" spans="1:10" x14ac:dyDescent="0.3">
      <c r="A182" s="61">
        <v>175</v>
      </c>
      <c r="B182" s="79" t="s">
        <v>1405</v>
      </c>
      <c r="C182" s="75" t="s">
        <v>1406</v>
      </c>
      <c r="D182" s="84">
        <v>3872736</v>
      </c>
      <c r="E182" s="92" t="s">
        <v>1407</v>
      </c>
      <c r="F182" s="88" t="s">
        <v>1408</v>
      </c>
      <c r="G182" s="101">
        <v>5842009</v>
      </c>
      <c r="H182" s="109" t="str">
        <f>CONCATENATE(BDPADRES[[#This Row],[NOMBRES MADRE]]," ",BDPADRES[[#This Row],[APELLIDOS MADRE]])</f>
        <v>ELISABED MAMANI ANCASI</v>
      </c>
      <c r="I182" s="105">
        <v>76367014</v>
      </c>
      <c r="J182" s="93"/>
    </row>
    <row r="183" spans="1:10" x14ac:dyDescent="0.3">
      <c r="A183" s="61">
        <v>176</v>
      </c>
      <c r="B183" s="79" t="s">
        <v>482</v>
      </c>
      <c r="C183" s="75" t="s">
        <v>1627</v>
      </c>
      <c r="D183" s="84">
        <v>7780729</v>
      </c>
      <c r="E183" s="92" t="s">
        <v>288</v>
      </c>
      <c r="F183" s="88" t="s">
        <v>1628</v>
      </c>
      <c r="G183" s="101">
        <v>5841248</v>
      </c>
      <c r="H183" s="109" t="str">
        <f>CONCATENATE(BDPADRES[[#This Row],[NOMBRES MADRE]]," ",BDPADRES[[#This Row],[APELLIDOS MADRE]])</f>
        <v>ELIZABETH AVILA ORTUÑO</v>
      </c>
      <c r="I183" s="105"/>
      <c r="J183" s="93">
        <v>77313246</v>
      </c>
    </row>
    <row r="184" spans="1:10" x14ac:dyDescent="0.3">
      <c r="A184" s="61">
        <v>177</v>
      </c>
      <c r="B184" s="79" t="s">
        <v>496</v>
      </c>
      <c r="C184" s="75" t="s">
        <v>497</v>
      </c>
      <c r="D184" s="84">
        <v>7805776</v>
      </c>
      <c r="E184" s="92" t="s">
        <v>498</v>
      </c>
      <c r="F184" s="88" t="s">
        <v>499</v>
      </c>
      <c r="G184" s="101">
        <v>8897149</v>
      </c>
      <c r="H184" s="109" t="str">
        <f>CONCATENATE(BDPADRES[[#This Row],[NOMBRES MADRE]]," ",BDPADRES[[#This Row],[APELLIDOS MADRE]])</f>
        <v>CARLA PATRICIA LLANOS ESCOBAR</v>
      </c>
      <c r="I184" s="105"/>
      <c r="J184" s="95">
        <v>76304213</v>
      </c>
    </row>
    <row r="185" spans="1:10" x14ac:dyDescent="0.3">
      <c r="A185" s="61">
        <v>178</v>
      </c>
      <c r="B185" s="79" t="s">
        <v>1198</v>
      </c>
      <c r="C185" s="75" t="s">
        <v>629</v>
      </c>
      <c r="D185" s="84">
        <v>4717042</v>
      </c>
      <c r="E185" s="92" t="s">
        <v>1199</v>
      </c>
      <c r="F185" s="88" t="s">
        <v>1200</v>
      </c>
      <c r="G185" s="101">
        <v>4609635</v>
      </c>
      <c r="H185" s="109" t="str">
        <f>CONCATENATE(BDPADRES[[#This Row],[NOMBRES MADRE]]," ",BDPADRES[[#This Row],[APELLIDOS MADRE]])</f>
        <v>JULIETA MOLLO CONDORI</v>
      </c>
      <c r="I185" s="105">
        <v>77398656</v>
      </c>
      <c r="J185" s="93">
        <v>7639606</v>
      </c>
    </row>
    <row r="186" spans="1:10" x14ac:dyDescent="0.3">
      <c r="A186" s="61">
        <v>179</v>
      </c>
      <c r="B186" s="79" t="s">
        <v>2270</v>
      </c>
      <c r="C186" s="75" t="s">
        <v>2271</v>
      </c>
      <c r="D186" s="84">
        <v>5827961</v>
      </c>
      <c r="E186" s="92" t="s">
        <v>2272</v>
      </c>
      <c r="F186" s="88" t="s">
        <v>2273</v>
      </c>
      <c r="G186" s="101">
        <v>6242981</v>
      </c>
      <c r="H186" s="109" t="str">
        <f>CONCATENATE(BDPADRES[[#This Row],[NOMBRES MADRE]]," ",BDPADRES[[#This Row],[APELLIDOS MADRE]])</f>
        <v>ELEONORA MAMANI RODRIGUEZ</v>
      </c>
      <c r="I186" s="105"/>
      <c r="J186" s="93">
        <v>71611934</v>
      </c>
    </row>
    <row r="187" spans="1:10" x14ac:dyDescent="0.3">
      <c r="A187" s="61">
        <v>180</v>
      </c>
      <c r="B187" s="79" t="s">
        <v>1202</v>
      </c>
      <c r="C187" s="75" t="s">
        <v>1203</v>
      </c>
      <c r="D187" s="84"/>
      <c r="E187" s="92" t="s">
        <v>1034</v>
      </c>
      <c r="F187" s="88" t="s">
        <v>1204</v>
      </c>
      <c r="G187" s="101">
        <v>8096104</v>
      </c>
      <c r="H187" s="109" t="str">
        <f>CONCATENATE(BDPADRES[[#This Row],[NOMBRES MADRE]]," ",BDPADRES[[#This Row],[APELLIDOS MADRE]])</f>
        <v>FILOMENA RODRIGUEZ MORALES</v>
      </c>
      <c r="I187" s="105"/>
      <c r="J187" s="93">
        <v>76638752</v>
      </c>
    </row>
    <row r="188" spans="1:10" x14ac:dyDescent="0.3">
      <c r="A188" s="61">
        <v>181</v>
      </c>
      <c r="B188" s="79" t="s">
        <v>64</v>
      </c>
      <c r="C188" s="75" t="s">
        <v>65</v>
      </c>
      <c r="D188" s="84"/>
      <c r="E188" s="92" t="s">
        <v>67</v>
      </c>
      <c r="F188" s="88" t="s">
        <v>68</v>
      </c>
      <c r="G188" s="101">
        <v>7961480</v>
      </c>
      <c r="H188" s="109" t="str">
        <f>CONCATENATE(BDPADRES[[#This Row],[NOMBRES MADRE]]," ",BDPADRES[[#This Row],[APELLIDOS MADRE]])</f>
        <v>YAQUELIN CHAVEZ AYAVIRI</v>
      </c>
      <c r="I188" s="105"/>
      <c r="J188" s="93">
        <v>71676902</v>
      </c>
    </row>
    <row r="189" spans="1:10" x14ac:dyDescent="0.3">
      <c r="A189" s="61">
        <v>182</v>
      </c>
      <c r="B189" s="79" t="s">
        <v>1584</v>
      </c>
      <c r="C189" s="75" t="s">
        <v>1585</v>
      </c>
      <c r="D189" s="84">
        <v>4987022</v>
      </c>
      <c r="E189" s="92" t="s">
        <v>997</v>
      </c>
      <c r="F189" s="88" t="s">
        <v>1586</v>
      </c>
      <c r="G189" s="101"/>
      <c r="H189" s="109" t="str">
        <f>CONCATENATE(BDPADRES[[#This Row],[NOMBRES MADRE]]," ",BDPADRES[[#This Row],[APELLIDOS MADRE]])</f>
        <v>FRANCISCA  HERRERA ANDRADE</v>
      </c>
      <c r="I189" s="105">
        <v>73848974</v>
      </c>
      <c r="J189" s="93"/>
    </row>
    <row r="190" spans="1:10" x14ac:dyDescent="0.3">
      <c r="A190" s="61">
        <v>183</v>
      </c>
      <c r="B190" s="79" t="s">
        <v>669</v>
      </c>
      <c r="C190" s="75" t="s">
        <v>670</v>
      </c>
      <c r="D190" s="84"/>
      <c r="E190" s="92" t="s">
        <v>671</v>
      </c>
      <c r="F190" s="88" t="s">
        <v>672</v>
      </c>
      <c r="G190" s="101">
        <v>6252464</v>
      </c>
      <c r="H190" s="109" t="str">
        <f>CONCATENATE(BDPADRES[[#This Row],[NOMBRES MADRE]]," ",BDPADRES[[#This Row],[APELLIDOS MADRE]])</f>
        <v>JULIA  ACARAPI PORCEL</v>
      </c>
      <c r="I190" s="105"/>
      <c r="J190" s="93">
        <v>67785696</v>
      </c>
    </row>
    <row r="191" spans="1:10" x14ac:dyDescent="0.3">
      <c r="A191" s="61">
        <v>184</v>
      </c>
      <c r="B191" s="79" t="s">
        <v>979</v>
      </c>
      <c r="C191" s="75" t="s">
        <v>980</v>
      </c>
      <c r="D191" s="84"/>
      <c r="E191" s="92" t="s">
        <v>613</v>
      </c>
      <c r="F191" s="88" t="s">
        <v>981</v>
      </c>
      <c r="G191" s="101">
        <v>7739312</v>
      </c>
      <c r="H191" s="109" t="str">
        <f>CONCATENATE(BDPADRES[[#This Row],[NOMBRES MADRE]]," ",BDPADRES[[#This Row],[APELLIDOS MADRE]])</f>
        <v>REYNA CARRIAZO BALLESTEROS</v>
      </c>
      <c r="I191" s="105"/>
      <c r="J191" s="93">
        <v>71002728</v>
      </c>
    </row>
    <row r="192" spans="1:10" x14ac:dyDescent="0.3">
      <c r="A192" s="61">
        <v>185</v>
      </c>
      <c r="B192" s="79" t="s">
        <v>1353</v>
      </c>
      <c r="C192" s="75" t="s">
        <v>981</v>
      </c>
      <c r="D192" s="84">
        <v>6355923</v>
      </c>
      <c r="E192" s="92" t="s">
        <v>1354</v>
      </c>
      <c r="F192" s="88" t="s">
        <v>1355</v>
      </c>
      <c r="G192" s="101">
        <v>8184036</v>
      </c>
      <c r="H192" s="109" t="str">
        <f>CONCATENATE(BDPADRES[[#This Row],[NOMBRES MADRE]]," ",BDPADRES[[#This Row],[APELLIDOS MADRE]])</f>
        <v>MIRTHA RUEDA LOPEZ</v>
      </c>
      <c r="I192" s="105"/>
      <c r="J192" s="93">
        <v>75680864</v>
      </c>
    </row>
    <row r="193" spans="1:10" x14ac:dyDescent="0.3">
      <c r="A193" s="61">
        <v>186</v>
      </c>
      <c r="B193" s="79" t="s">
        <v>1595</v>
      </c>
      <c r="C193" s="75" t="s">
        <v>779</v>
      </c>
      <c r="D193" s="84">
        <v>7701901</v>
      </c>
      <c r="E193" s="92" t="s">
        <v>312</v>
      </c>
      <c r="F193" s="88" t="s">
        <v>1596</v>
      </c>
      <c r="G193" s="101">
        <v>12824031</v>
      </c>
      <c r="H193" s="109" t="str">
        <f>CONCATENATE(BDPADRES[[#This Row],[NOMBRES MADRE]]," ",BDPADRES[[#This Row],[APELLIDOS MADRE]])</f>
        <v>MARTHA RODRIGUEZ SILES</v>
      </c>
      <c r="I193" s="105">
        <v>75517773</v>
      </c>
      <c r="J193" s="93"/>
    </row>
    <row r="194" spans="1:10" x14ac:dyDescent="0.3">
      <c r="A194" s="61">
        <v>187</v>
      </c>
      <c r="B194" s="79" t="s">
        <v>1389</v>
      </c>
      <c r="C194" s="75" t="s">
        <v>1390</v>
      </c>
      <c r="D194" s="84">
        <v>6266633</v>
      </c>
      <c r="E194" s="92" t="s">
        <v>1391</v>
      </c>
      <c r="F194" s="88" t="s">
        <v>1392</v>
      </c>
      <c r="G194" s="101">
        <v>5337635</v>
      </c>
      <c r="H194" s="109" t="str">
        <f>CONCATENATE(BDPADRES[[#This Row],[NOMBRES MADRE]]," ",BDPADRES[[#This Row],[APELLIDOS MADRE]])</f>
        <v>AURORA SOLIZ QUIROZ</v>
      </c>
      <c r="I194" s="105">
        <v>78069031</v>
      </c>
      <c r="J194" s="93"/>
    </row>
    <row r="195" spans="1:10" x14ac:dyDescent="0.3">
      <c r="A195" s="61">
        <v>188</v>
      </c>
      <c r="B195" s="79" t="s">
        <v>1194</v>
      </c>
      <c r="C195" s="75" t="s">
        <v>491</v>
      </c>
      <c r="D195" s="84">
        <v>5835869</v>
      </c>
      <c r="E195" s="92" t="s">
        <v>1195</v>
      </c>
      <c r="F195" s="88" t="s">
        <v>1196</v>
      </c>
      <c r="G195" s="101">
        <v>5860711</v>
      </c>
      <c r="H195" s="109" t="str">
        <f>CONCATENATE(BDPADRES[[#This Row],[NOMBRES MADRE]]," ",BDPADRES[[#This Row],[APELLIDOS MADRE]])</f>
        <v>DEYSI YPURANI CARICARI</v>
      </c>
      <c r="I195" s="105">
        <v>71069301</v>
      </c>
      <c r="J195" s="93"/>
    </row>
    <row r="196" spans="1:10" x14ac:dyDescent="0.3">
      <c r="A196" s="61">
        <v>189</v>
      </c>
      <c r="B196" s="79" t="s">
        <v>208</v>
      </c>
      <c r="C196" s="75" t="s">
        <v>490</v>
      </c>
      <c r="D196" s="84">
        <v>9798096</v>
      </c>
      <c r="E196" s="92" t="s">
        <v>228</v>
      </c>
      <c r="F196" s="88" t="s">
        <v>491</v>
      </c>
      <c r="G196" s="101">
        <v>9789649</v>
      </c>
      <c r="H196" s="109" t="str">
        <f>CONCATENATE(BDPADRES[[#This Row],[NOMBRES MADRE]]," ",BDPADRES[[#This Row],[APELLIDOS MADRE]])</f>
        <v>ERLINDA PACO DURAN</v>
      </c>
      <c r="I196" s="105"/>
      <c r="J196" s="93">
        <v>75615685</v>
      </c>
    </row>
    <row r="197" spans="1:10" x14ac:dyDescent="0.3">
      <c r="A197" s="61">
        <v>190</v>
      </c>
      <c r="B197" s="79" t="s">
        <v>592</v>
      </c>
      <c r="C197" s="75" t="s">
        <v>593</v>
      </c>
      <c r="D197" s="84"/>
      <c r="E197" s="92" t="s">
        <v>594</v>
      </c>
      <c r="F197" s="88" t="s">
        <v>595</v>
      </c>
      <c r="G197" s="101">
        <v>7817876</v>
      </c>
      <c r="H197" s="109" t="str">
        <f>CONCATENATE(BDPADRES[[#This Row],[NOMBRES MADRE]]," ",BDPADRES[[#This Row],[APELLIDOS MADRE]])</f>
        <v>YOBANA GUTIERREZ VACA</v>
      </c>
      <c r="I197" s="105"/>
      <c r="J197" s="93">
        <v>68946862</v>
      </c>
    </row>
    <row r="198" spans="1:10" x14ac:dyDescent="0.3">
      <c r="A198" s="61">
        <v>191</v>
      </c>
      <c r="B198" s="79" t="s">
        <v>1009</v>
      </c>
      <c r="C198" s="75" t="s">
        <v>568</v>
      </c>
      <c r="D198" s="84">
        <v>8258091</v>
      </c>
      <c r="E198" s="92" t="s">
        <v>209</v>
      </c>
      <c r="F198" s="88" t="s">
        <v>2994</v>
      </c>
      <c r="G198" s="101">
        <v>7713316</v>
      </c>
      <c r="H198" s="109" t="str">
        <f>CONCATENATE(BDPADRES[[#This Row],[NOMBRES MADRE]]," ",BDPADRES[[#This Row],[APELLIDOS MADRE]])</f>
        <v>VERONICA CHOQUE LLANOS</v>
      </c>
      <c r="I198" s="105"/>
      <c r="J198" s="93">
        <v>76300272</v>
      </c>
    </row>
    <row r="199" spans="1:10" x14ac:dyDescent="0.3">
      <c r="A199" s="61">
        <v>192</v>
      </c>
      <c r="B199" s="79" t="s">
        <v>715</v>
      </c>
      <c r="C199" s="75" t="s">
        <v>568</v>
      </c>
      <c r="D199" s="84">
        <v>5644441</v>
      </c>
      <c r="E199" s="92" t="s">
        <v>716</v>
      </c>
      <c r="F199" s="88" t="s">
        <v>717</v>
      </c>
      <c r="G199" s="101">
        <v>3654814</v>
      </c>
      <c r="H199" s="109" t="str">
        <f>CONCATENATE(BDPADRES[[#This Row],[NOMBRES MADRE]]," ",BDPADRES[[#This Row],[APELLIDOS MADRE]])</f>
        <v>SONIA CUEBAS VILLAGOMES</v>
      </c>
      <c r="I199" s="105"/>
      <c r="J199" s="93">
        <v>78414466</v>
      </c>
    </row>
    <row r="200" spans="1:10" x14ac:dyDescent="0.3">
      <c r="A200" s="61">
        <v>193</v>
      </c>
      <c r="B200" s="79" t="s">
        <v>1428</v>
      </c>
      <c r="C200" s="75" t="s">
        <v>1429</v>
      </c>
      <c r="D200" s="84">
        <v>6366035</v>
      </c>
      <c r="E200" s="92" t="s">
        <v>1430</v>
      </c>
      <c r="F200" s="88" t="s">
        <v>1431</v>
      </c>
      <c r="G200" s="101">
        <v>5357928</v>
      </c>
      <c r="H200" s="109" t="str">
        <f>CONCATENATE(BDPADRES[[#This Row],[NOMBRES MADRE]]," ",BDPADRES[[#This Row],[APELLIDOS MADRE]])</f>
        <v>YUELY FERNANDEZ OSINAGA</v>
      </c>
      <c r="I200" s="105"/>
      <c r="J200" s="93">
        <v>77633754</v>
      </c>
    </row>
    <row r="201" spans="1:10" x14ac:dyDescent="0.3">
      <c r="A201" s="61">
        <v>194</v>
      </c>
      <c r="B201" s="79" t="s">
        <v>422</v>
      </c>
      <c r="C201" s="75" t="s">
        <v>1529</v>
      </c>
      <c r="D201" s="84"/>
      <c r="E201" s="92" t="s">
        <v>1530</v>
      </c>
      <c r="F201" s="88" t="s">
        <v>142</v>
      </c>
      <c r="G201" s="101">
        <v>8240996</v>
      </c>
      <c r="H201" s="109" t="str">
        <f>CONCATENATE(BDPADRES[[#This Row],[NOMBRES MADRE]]," ",BDPADRES[[#This Row],[APELLIDOS MADRE]])</f>
        <v>JACINTA RAMOS REINA</v>
      </c>
      <c r="I201" s="105"/>
      <c r="J201" s="93">
        <v>78130798</v>
      </c>
    </row>
    <row r="202" spans="1:10" x14ac:dyDescent="0.3">
      <c r="A202" s="61">
        <v>195</v>
      </c>
      <c r="B202" s="79" t="s">
        <v>170</v>
      </c>
      <c r="C202" s="75" t="s">
        <v>1525</v>
      </c>
      <c r="D202" s="84"/>
      <c r="E202" s="92" t="s">
        <v>1526</v>
      </c>
      <c r="F202" s="88" t="s">
        <v>1527</v>
      </c>
      <c r="G202" s="101">
        <v>5336345</v>
      </c>
      <c r="H202" s="109" t="str">
        <f>CONCATENATE(BDPADRES[[#This Row],[NOMBRES MADRE]]," ",BDPADRES[[#This Row],[APELLIDOS MADRE]])</f>
        <v>JUANA EDITH SALAZAR</v>
      </c>
      <c r="I202" s="105"/>
      <c r="J202" s="93">
        <v>75055404</v>
      </c>
    </row>
    <row r="203" spans="1:10" x14ac:dyDescent="0.3">
      <c r="A203" s="61">
        <v>196</v>
      </c>
      <c r="B203" s="79" t="s">
        <v>789</v>
      </c>
      <c r="C203" s="75" t="s">
        <v>790</v>
      </c>
      <c r="D203" s="84">
        <v>5820524</v>
      </c>
      <c r="E203" s="92" t="s">
        <v>791</v>
      </c>
      <c r="F203" s="88" t="s">
        <v>792</v>
      </c>
      <c r="G203" s="101">
        <v>8891618</v>
      </c>
      <c r="H203" s="109" t="str">
        <f>CONCATENATE(BDPADRES[[#This Row],[NOMBRES MADRE]]," ",BDPADRES[[#This Row],[APELLIDOS MADRE]])</f>
        <v>MARIA ESTHER MAMANI ORELLANA</v>
      </c>
      <c r="I203" s="105"/>
      <c r="J203" s="93">
        <v>74699492</v>
      </c>
    </row>
    <row r="204" spans="1:10" x14ac:dyDescent="0.3">
      <c r="A204" s="61">
        <v>197</v>
      </c>
      <c r="B204" s="79" t="s">
        <v>144</v>
      </c>
      <c r="C204" s="75" t="s">
        <v>616</v>
      </c>
      <c r="D204" s="84">
        <v>7807438</v>
      </c>
      <c r="E204" s="92" t="s">
        <v>209</v>
      </c>
      <c r="F204" s="88" t="s">
        <v>600</v>
      </c>
      <c r="G204" s="101">
        <v>9796283</v>
      </c>
      <c r="H204" s="109" t="str">
        <f>CONCATENATE(BDPADRES[[#This Row],[NOMBRES MADRE]]," ",BDPADRES[[#This Row],[APELLIDOS MADRE]])</f>
        <v>VERONICA FLORES ABREGO</v>
      </c>
      <c r="I204" s="105"/>
      <c r="J204" s="93">
        <v>74649603</v>
      </c>
    </row>
    <row r="205" spans="1:10" x14ac:dyDescent="0.3">
      <c r="A205" s="61">
        <v>198</v>
      </c>
      <c r="B205" s="79" t="s">
        <v>1237</v>
      </c>
      <c r="C205" s="75" t="s">
        <v>1238</v>
      </c>
      <c r="D205" s="84">
        <v>3930627</v>
      </c>
      <c r="E205" s="92" t="s">
        <v>1239</v>
      </c>
      <c r="F205" s="88" t="s">
        <v>1240</v>
      </c>
      <c r="G205" s="101">
        <v>7663345</v>
      </c>
      <c r="H205" s="109" t="str">
        <f>CONCATENATE(BDPADRES[[#This Row],[NOMBRES MADRE]]," ",BDPADRES[[#This Row],[APELLIDOS MADRE]])</f>
        <v>JUDITH VEIZAGA PINTO</v>
      </c>
      <c r="I205" s="105"/>
      <c r="J205" s="93">
        <v>75653839</v>
      </c>
    </row>
    <row r="206" spans="1:10" x14ac:dyDescent="0.3">
      <c r="A206" s="61">
        <v>199</v>
      </c>
      <c r="B206" s="79" t="s">
        <v>720</v>
      </c>
      <c r="C206" s="75" t="s">
        <v>1245</v>
      </c>
      <c r="D206" s="84">
        <v>9852249</v>
      </c>
      <c r="E206" s="92" t="s">
        <v>1345</v>
      </c>
      <c r="F206" s="88" t="s">
        <v>1346</v>
      </c>
      <c r="G206" s="101">
        <v>9847591</v>
      </c>
      <c r="H206" s="109" t="str">
        <f>CONCATENATE(BDPADRES[[#This Row],[NOMBRES MADRE]]," ",BDPADRES[[#This Row],[APELLIDOS MADRE]])</f>
        <v>LUISA ROJAS SEVERICHE</v>
      </c>
      <c r="I206" s="105"/>
      <c r="J206" s="93">
        <v>76385177</v>
      </c>
    </row>
    <row r="207" spans="1:10" x14ac:dyDescent="0.3">
      <c r="A207" s="61">
        <v>200</v>
      </c>
      <c r="B207" s="79" t="s">
        <v>1613</v>
      </c>
      <c r="C207" s="75"/>
      <c r="D207" s="84"/>
      <c r="E207" s="92" t="s">
        <v>1276</v>
      </c>
      <c r="F207" s="88" t="s">
        <v>1615</v>
      </c>
      <c r="G207" s="101">
        <v>8164456</v>
      </c>
      <c r="H207" s="109" t="str">
        <f>CONCATENATE(BDPADRES[[#This Row],[NOMBRES MADRE]]," ",BDPADRES[[#This Row],[APELLIDOS MADRE]])</f>
        <v>YOSELIN ARAMAYO SANCHEZ</v>
      </c>
      <c r="I207" s="105"/>
      <c r="J207" s="93">
        <v>68774118</v>
      </c>
    </row>
    <row r="208" spans="1:10" x14ac:dyDescent="0.3">
      <c r="A208" s="61">
        <v>201</v>
      </c>
      <c r="B208" s="79" t="s">
        <v>723</v>
      </c>
      <c r="C208" s="75" t="s">
        <v>1534</v>
      </c>
      <c r="D208" s="84">
        <v>4667800</v>
      </c>
      <c r="E208" s="92" t="s">
        <v>1535</v>
      </c>
      <c r="F208" s="88" t="s">
        <v>1536</v>
      </c>
      <c r="G208" s="101">
        <v>5829993</v>
      </c>
      <c r="H208" s="109" t="str">
        <f>CONCATENATE(BDPADRES[[#This Row],[NOMBRES MADRE]]," ",BDPADRES[[#This Row],[APELLIDOS MADRE]])</f>
        <v>LUCIA TORRICO VILLARRUEL</v>
      </c>
      <c r="I208" s="105"/>
      <c r="J208" s="93">
        <v>73149906</v>
      </c>
    </row>
    <row r="209" spans="1:10" x14ac:dyDescent="0.3">
      <c r="A209" s="61">
        <v>202</v>
      </c>
      <c r="B209" s="79" t="s">
        <v>1041</v>
      </c>
      <c r="C209" s="75" t="s">
        <v>1042</v>
      </c>
      <c r="D209" s="84">
        <v>12568870</v>
      </c>
      <c r="E209" s="92" t="s">
        <v>1043</v>
      </c>
      <c r="F209" s="88" t="s">
        <v>340</v>
      </c>
      <c r="G209" s="101">
        <v>8096144</v>
      </c>
      <c r="H209" s="109" t="str">
        <f>CONCATENATE(BDPADRES[[#This Row],[NOMBRES MADRE]]," ",BDPADRES[[#This Row],[APELLIDOS MADRE]])</f>
        <v>DELIA   VIZA CHOQUE</v>
      </c>
      <c r="I209" s="105"/>
      <c r="J209" s="95">
        <v>68785446</v>
      </c>
    </row>
    <row r="210" spans="1:10" x14ac:dyDescent="0.3">
      <c r="A210" s="61">
        <v>203</v>
      </c>
      <c r="B210" s="79" t="s">
        <v>1009</v>
      </c>
      <c r="C210" s="75" t="s">
        <v>1010</v>
      </c>
      <c r="D210" s="84"/>
      <c r="E210" s="92" t="s">
        <v>296</v>
      </c>
      <c r="F210" s="88" t="s">
        <v>1011</v>
      </c>
      <c r="G210" s="101">
        <v>12516188</v>
      </c>
      <c r="H210" s="109" t="str">
        <f>CONCATENATE(BDPADRES[[#This Row],[NOMBRES MADRE]]," ",BDPADRES[[#This Row],[APELLIDOS MADRE]])</f>
        <v>LIDIA SARDAN ROMERO</v>
      </c>
      <c r="I210" s="105"/>
      <c r="J210" s="93">
        <v>63611042</v>
      </c>
    </row>
    <row r="211" spans="1:10" x14ac:dyDescent="0.3">
      <c r="A211" s="61">
        <v>204</v>
      </c>
      <c r="B211" s="79" t="s">
        <v>89</v>
      </c>
      <c r="C211" s="75" t="s">
        <v>90</v>
      </c>
      <c r="D211" s="84">
        <v>5887938</v>
      </c>
      <c r="E211" s="92" t="s">
        <v>91</v>
      </c>
      <c r="F211" s="88" t="s">
        <v>92</v>
      </c>
      <c r="G211" s="101">
        <v>5886251</v>
      </c>
      <c r="H211" s="109" t="str">
        <f>CONCATENATE(BDPADRES[[#This Row],[NOMBRES MADRE]]," ",BDPADRES[[#This Row],[APELLIDOS MADRE]])</f>
        <v>MARIOLY  GIRON RIBERA</v>
      </c>
      <c r="I211" s="105"/>
      <c r="J211" s="93">
        <v>69167728</v>
      </c>
    </row>
    <row r="212" spans="1:10" x14ac:dyDescent="0.3">
      <c r="A212" s="61">
        <v>206</v>
      </c>
      <c r="B212" s="79" t="s">
        <v>1465</v>
      </c>
      <c r="C212" s="75" t="s">
        <v>1466</v>
      </c>
      <c r="D212" s="84">
        <v>8997397</v>
      </c>
      <c r="E212" s="92" t="s">
        <v>1467</v>
      </c>
      <c r="F212" s="88" t="s">
        <v>55</v>
      </c>
      <c r="G212" s="101">
        <v>13333691</v>
      </c>
      <c r="H212" s="109" t="str">
        <f>CONCATENATE(BDPADRES[[#This Row],[NOMBRES MADRE]]," ",BDPADRES[[#This Row],[APELLIDOS MADRE]])</f>
        <v>JUAQUINA FLORES CRUZ</v>
      </c>
      <c r="I212" s="105"/>
      <c r="J212" s="93">
        <v>73112527</v>
      </c>
    </row>
    <row r="213" spans="1:10" x14ac:dyDescent="0.3">
      <c r="A213" s="61">
        <v>207</v>
      </c>
      <c r="B213" s="79" t="s">
        <v>776</v>
      </c>
      <c r="C213" s="75" t="s">
        <v>777</v>
      </c>
      <c r="D213" s="84">
        <v>5496622</v>
      </c>
      <c r="E213" s="92" t="s">
        <v>778</v>
      </c>
      <c r="F213" s="88" t="s">
        <v>779</v>
      </c>
      <c r="G213" s="101">
        <v>6362373</v>
      </c>
      <c r="H213" s="109" t="str">
        <f>CONCATENATE(BDPADRES[[#This Row],[NOMBRES MADRE]]," ",BDPADRES[[#This Row],[APELLIDOS MADRE]])</f>
        <v>ELVIRA ORIAS CESPEDES</v>
      </c>
      <c r="I213" s="105">
        <v>72104353</v>
      </c>
      <c r="J213" s="93"/>
    </row>
    <row r="214" spans="1:10" x14ac:dyDescent="0.3">
      <c r="A214" s="61">
        <v>208</v>
      </c>
      <c r="B214" s="79" t="s">
        <v>810</v>
      </c>
      <c r="C214" s="75" t="s">
        <v>1438</v>
      </c>
      <c r="D214" s="84">
        <v>11380128</v>
      </c>
      <c r="E214" s="92" t="s">
        <v>312</v>
      </c>
      <c r="F214" s="88" t="s">
        <v>1439</v>
      </c>
      <c r="G214" s="101"/>
      <c r="H214" s="109" t="str">
        <f>CONCATENATE(BDPADRES[[#This Row],[NOMBRES MADRE]]," ",BDPADRES[[#This Row],[APELLIDOS MADRE]])</f>
        <v>MARTHA BARRIENTOS CARABALLO</v>
      </c>
      <c r="I214" s="105">
        <v>68927482</v>
      </c>
      <c r="J214" s="93"/>
    </row>
    <row r="215" spans="1:10" x14ac:dyDescent="0.3">
      <c r="A215" s="61">
        <v>209</v>
      </c>
      <c r="B215" s="79" t="s">
        <v>130</v>
      </c>
      <c r="C215" s="75" t="s">
        <v>814</v>
      </c>
      <c r="D215" s="84">
        <v>7561575</v>
      </c>
      <c r="E215" s="92" t="s">
        <v>768</v>
      </c>
      <c r="F215" s="88" t="s">
        <v>98</v>
      </c>
      <c r="G215" s="101">
        <v>8221262</v>
      </c>
      <c r="H215" s="109" t="str">
        <f>CONCATENATE(BDPADRES[[#This Row],[NOMBRES MADRE]]," ",BDPADRES[[#This Row],[APELLIDOS MADRE]])</f>
        <v>MARIBEL DAZA VEDIA</v>
      </c>
      <c r="I215" s="105"/>
      <c r="J215" s="93">
        <v>75450944</v>
      </c>
    </row>
    <row r="216" spans="1:10" x14ac:dyDescent="0.3">
      <c r="A216" s="61">
        <v>210</v>
      </c>
      <c r="B216" s="79" t="s">
        <v>1270</v>
      </c>
      <c r="C216" s="75" t="s">
        <v>1271</v>
      </c>
      <c r="D216" s="84"/>
      <c r="E216" s="92" t="s">
        <v>1272</v>
      </c>
      <c r="F216" s="88" t="s">
        <v>1273</v>
      </c>
      <c r="G216" s="101">
        <v>3917776</v>
      </c>
      <c r="H216" s="109" t="str">
        <f>CONCATENATE(BDPADRES[[#This Row],[NOMBRES MADRE]]," ",BDPADRES[[#This Row],[APELLIDOS MADRE]])</f>
        <v>DOLY FERNANDEZ GOMEZ</v>
      </c>
      <c r="I216" s="105"/>
      <c r="J216" s="93">
        <v>71382747</v>
      </c>
    </row>
    <row r="217" spans="1:10" x14ac:dyDescent="0.3">
      <c r="A217" s="61">
        <v>211</v>
      </c>
      <c r="B217" s="79" t="s">
        <v>1565</v>
      </c>
      <c r="C217" s="75" t="s">
        <v>1566</v>
      </c>
      <c r="D217" s="84"/>
      <c r="E217" s="92" t="s">
        <v>1567</v>
      </c>
      <c r="F217" s="88" t="s">
        <v>1568</v>
      </c>
      <c r="G217" s="101">
        <v>4571886</v>
      </c>
      <c r="H217" s="109" t="str">
        <f>CONCATENATE(BDPADRES[[#This Row],[NOMBRES MADRE]]," ",BDPADRES[[#This Row],[APELLIDOS MADRE]])</f>
        <v>HORTENCIA  LEAÑOS VERGARA</v>
      </c>
      <c r="I217" s="105"/>
      <c r="J217" s="93">
        <v>76373279</v>
      </c>
    </row>
    <row r="218" spans="1:10" x14ac:dyDescent="0.3">
      <c r="A218" s="61">
        <v>212</v>
      </c>
      <c r="B218" s="79" t="s">
        <v>1087</v>
      </c>
      <c r="C218" s="75" t="s">
        <v>1083</v>
      </c>
      <c r="D218" s="84">
        <v>7717996</v>
      </c>
      <c r="E218" s="92" t="s">
        <v>1088</v>
      </c>
      <c r="F218" s="88" t="s">
        <v>233</v>
      </c>
      <c r="G218" s="101">
        <v>8887990</v>
      </c>
      <c r="H218" s="109" t="str">
        <f>CONCATENATE(BDPADRES[[#This Row],[NOMBRES MADRE]]," ",BDPADRES[[#This Row],[APELLIDOS MADRE]])</f>
        <v>NANCY MAMANI IPORRE</v>
      </c>
      <c r="I218" s="105"/>
      <c r="J218" s="93">
        <v>63387510</v>
      </c>
    </row>
    <row r="219" spans="1:10" x14ac:dyDescent="0.3">
      <c r="A219" s="61">
        <v>213</v>
      </c>
      <c r="B219" s="79" t="s">
        <v>843</v>
      </c>
      <c r="C219" s="75" t="s">
        <v>1444</v>
      </c>
      <c r="D219" s="84"/>
      <c r="E219" s="92" t="s">
        <v>1445</v>
      </c>
      <c r="F219" s="88" t="s">
        <v>1446</v>
      </c>
      <c r="G219" s="101">
        <v>7550594</v>
      </c>
      <c r="H219" s="109" t="str">
        <f>CONCATENATE(BDPADRES[[#This Row],[NOMBRES MADRE]]," ",BDPADRES[[#This Row],[APELLIDOS MADRE]])</f>
        <v>LITHZI PADILLA LIMON</v>
      </c>
      <c r="I219" s="105"/>
      <c r="J219" s="93">
        <v>72170222</v>
      </c>
    </row>
    <row r="220" spans="1:10" x14ac:dyDescent="0.3">
      <c r="A220" s="61">
        <v>215</v>
      </c>
      <c r="B220" s="79" t="s">
        <v>669</v>
      </c>
      <c r="C220" s="75" t="s">
        <v>545</v>
      </c>
      <c r="D220" s="84"/>
      <c r="E220" s="92" t="s">
        <v>296</v>
      </c>
      <c r="F220" s="88" t="s">
        <v>760</v>
      </c>
      <c r="G220" s="101">
        <v>5855466</v>
      </c>
      <c r="H220" s="109" t="str">
        <f>CONCATENATE(BDPADRES[[#This Row],[NOMBRES MADRE]]," ",BDPADRES[[#This Row],[APELLIDOS MADRE]])</f>
        <v>LIDIA MARTINEZ PEREZ</v>
      </c>
      <c r="I220" s="105"/>
      <c r="J220" s="93">
        <v>74950952</v>
      </c>
    </row>
    <row r="221" spans="1:10" x14ac:dyDescent="0.3">
      <c r="A221" s="61">
        <v>216</v>
      </c>
      <c r="B221" s="79" t="s">
        <v>679</v>
      </c>
      <c r="C221" s="75" t="s">
        <v>1424</v>
      </c>
      <c r="D221" s="84">
        <v>5683332</v>
      </c>
      <c r="E221" s="92" t="s">
        <v>1425</v>
      </c>
      <c r="F221" s="88" t="s">
        <v>1426</v>
      </c>
      <c r="G221" s="101">
        <v>9621721</v>
      </c>
      <c r="H221" s="109" t="str">
        <f>CONCATENATE(BDPADRES[[#This Row],[NOMBRES MADRE]]," ",BDPADRES[[#This Row],[APELLIDOS MADRE]])</f>
        <v>SABINA GARNICA VARGAS</v>
      </c>
      <c r="I221" s="105"/>
      <c r="J221" s="93">
        <v>72611733</v>
      </c>
    </row>
    <row r="222" spans="1:10" x14ac:dyDescent="0.3">
      <c r="A222" s="61">
        <v>217</v>
      </c>
      <c r="B222" s="79" t="s">
        <v>695</v>
      </c>
      <c r="C222" s="75" t="s">
        <v>983</v>
      </c>
      <c r="D222" s="84"/>
      <c r="E222" s="92" t="s">
        <v>984</v>
      </c>
      <c r="F222" s="88" t="s">
        <v>534</v>
      </c>
      <c r="G222" s="101">
        <v>6354135</v>
      </c>
      <c r="H222" s="109" t="str">
        <f>CONCATENATE(BDPADRES[[#This Row],[NOMBRES MADRE]]," ",BDPADRES[[#This Row],[APELLIDOS MADRE]])</f>
        <v>BENIGNA HUAYHUA ARENAS</v>
      </c>
      <c r="I222" s="105"/>
      <c r="J222" s="93">
        <v>72666245</v>
      </c>
    </row>
    <row r="223" spans="1:10" x14ac:dyDescent="0.3">
      <c r="A223" s="61">
        <v>218</v>
      </c>
      <c r="B223" s="79" t="s">
        <v>573</v>
      </c>
      <c r="C223" s="75" t="s">
        <v>1234</v>
      </c>
      <c r="D223" s="84">
        <v>7824782</v>
      </c>
      <c r="E223" s="92" t="s">
        <v>285</v>
      </c>
      <c r="F223" s="88" t="s">
        <v>1235</v>
      </c>
      <c r="G223" s="101">
        <v>8152121</v>
      </c>
      <c r="H223" s="109" t="str">
        <f>CONCATENATE(BDPADRES[[#This Row],[NOMBRES MADRE]]," ",BDPADRES[[#This Row],[APELLIDOS MADRE]])</f>
        <v>JUANA RAMIREZ CHURA</v>
      </c>
      <c r="I223" s="105"/>
      <c r="J223" s="93">
        <v>76147609</v>
      </c>
    </row>
    <row r="224" spans="1:10" x14ac:dyDescent="0.3">
      <c r="A224" s="61">
        <v>219</v>
      </c>
      <c r="B224" s="79" t="s">
        <v>584</v>
      </c>
      <c r="C224" s="75" t="s">
        <v>585</v>
      </c>
      <c r="D224" s="84">
        <v>4620306</v>
      </c>
      <c r="E224" s="92" t="s">
        <v>54</v>
      </c>
      <c r="F224" s="88" t="s">
        <v>586</v>
      </c>
      <c r="G224" s="101">
        <v>4663694</v>
      </c>
      <c r="H224" s="109" t="str">
        <f>CONCATENATE(BDPADRES[[#This Row],[NOMBRES MADRE]]," ",BDPADRES[[#This Row],[APELLIDOS MADRE]])</f>
        <v>TERESA ARICOMA CORCHADO</v>
      </c>
      <c r="I224" s="105"/>
      <c r="J224" s="93">
        <v>74628783</v>
      </c>
    </row>
    <row r="225" spans="1:10" x14ac:dyDescent="0.3">
      <c r="A225" s="61">
        <v>220</v>
      </c>
      <c r="B225" s="79" t="s">
        <v>327</v>
      </c>
      <c r="C225" s="75" t="s">
        <v>328</v>
      </c>
      <c r="D225" s="84">
        <v>3707035</v>
      </c>
      <c r="E225" s="92" t="s">
        <v>329</v>
      </c>
      <c r="F225" s="88" t="s">
        <v>330</v>
      </c>
      <c r="G225" s="101">
        <v>3712904</v>
      </c>
      <c r="H225" s="109" t="str">
        <f>CONCATENATE(BDPADRES[[#This Row],[NOMBRES MADRE]]," ",BDPADRES[[#This Row],[APELLIDOS MADRE]])</f>
        <v>ISABEL RODRIGUEZ JILLAPA</v>
      </c>
      <c r="I225" s="105">
        <v>63576932</v>
      </c>
      <c r="J225" s="93">
        <v>63576932</v>
      </c>
    </row>
    <row r="226" spans="1:10" x14ac:dyDescent="0.3">
      <c r="A226" s="61">
        <v>221</v>
      </c>
      <c r="B226" s="79" t="s">
        <v>1372</v>
      </c>
      <c r="C226" s="75" t="s">
        <v>1373</v>
      </c>
      <c r="D226" s="84"/>
      <c r="E226" s="92" t="s">
        <v>1374</v>
      </c>
      <c r="F226" s="88" t="s">
        <v>1375</v>
      </c>
      <c r="G226" s="101">
        <v>4628142</v>
      </c>
      <c r="H226" s="109" t="str">
        <f>CONCATENATE(BDPADRES[[#This Row],[NOMBRES MADRE]]," ",BDPADRES[[#This Row],[APELLIDOS MADRE]])</f>
        <v>MARCELA CHOQUE SILES</v>
      </c>
      <c r="I226" s="105"/>
      <c r="J226" s="93">
        <v>62107652</v>
      </c>
    </row>
    <row r="227" spans="1:10" x14ac:dyDescent="0.3">
      <c r="A227" s="61">
        <v>222</v>
      </c>
      <c r="B227" s="79" t="s">
        <v>656</v>
      </c>
      <c r="C227" s="75" t="s">
        <v>1268</v>
      </c>
      <c r="D227" s="84">
        <v>5396059</v>
      </c>
      <c r="E227" s="92" t="s">
        <v>1266</v>
      </c>
      <c r="F227" s="88" t="s">
        <v>1267</v>
      </c>
      <c r="G227" s="101"/>
      <c r="H227" s="109" t="str">
        <f>CONCATENATE(BDPADRES[[#This Row],[NOMBRES MADRE]]," ",BDPADRES[[#This Row],[APELLIDOS MADRE]])</f>
        <v>SAIDA CINTHIA MORALES MOSCOSO</v>
      </c>
      <c r="I227" s="105">
        <v>71053990</v>
      </c>
      <c r="J227" s="93"/>
    </row>
    <row r="228" spans="1:10" x14ac:dyDescent="0.3">
      <c r="A228" s="61">
        <v>223</v>
      </c>
      <c r="B228" s="79" t="s">
        <v>547</v>
      </c>
      <c r="C228" s="75" t="s">
        <v>1487</v>
      </c>
      <c r="D228" s="84"/>
      <c r="E228" s="92" t="s">
        <v>1488</v>
      </c>
      <c r="F228" s="88" t="s">
        <v>1489</v>
      </c>
      <c r="G228" s="101">
        <v>4021787</v>
      </c>
      <c r="H228" s="109" t="str">
        <f>CONCATENATE(BDPADRES[[#This Row],[NOMBRES MADRE]]," ",BDPADRES[[#This Row],[APELLIDOS MADRE]])</f>
        <v>MARIA MAGDALENA AGUILAR VIDAURRE</v>
      </c>
      <c r="I228" s="105"/>
      <c r="J228" s="93">
        <v>75609749</v>
      </c>
    </row>
    <row r="229" spans="1:10" x14ac:dyDescent="0.3">
      <c r="A229" s="61">
        <v>224</v>
      </c>
      <c r="B229" s="79" t="s">
        <v>810</v>
      </c>
      <c r="C229" s="75" t="s">
        <v>807</v>
      </c>
      <c r="D229" s="84">
        <v>6313359</v>
      </c>
      <c r="E229" s="92" t="s">
        <v>811</v>
      </c>
      <c r="F229" s="88" t="s">
        <v>812</v>
      </c>
      <c r="G229" s="101">
        <v>8991936</v>
      </c>
      <c r="H229" s="109" t="str">
        <f>CONCATENATE(BDPADRES[[#This Row],[NOMBRES MADRE]]," ",BDPADRES[[#This Row],[APELLIDOS MADRE]])</f>
        <v>MARICELA ZAMBRANA PADILLA</v>
      </c>
      <c r="I229" s="105"/>
      <c r="J229" s="93">
        <v>73670763</v>
      </c>
    </row>
    <row r="230" spans="1:10" x14ac:dyDescent="0.3">
      <c r="A230" s="61">
        <v>225</v>
      </c>
      <c r="B230" s="79" t="s">
        <v>323</v>
      </c>
      <c r="C230" s="75" t="s">
        <v>2343</v>
      </c>
      <c r="D230" s="84">
        <v>4708379</v>
      </c>
      <c r="E230" s="92" t="s">
        <v>1503</v>
      </c>
      <c r="F230" s="88" t="s">
        <v>2344</v>
      </c>
      <c r="G230" s="101">
        <v>3904614</v>
      </c>
      <c r="H230" s="109" t="str">
        <f>CONCATENATE(BDPADRES[[#This Row],[NOMBRES MADRE]]," ",BDPADRES[[#This Row],[APELLIDOS MADRE]])</f>
        <v>PAULINA DELGADO LOPEZ</v>
      </c>
      <c r="I230" s="105"/>
      <c r="J230" s="93">
        <v>73641386</v>
      </c>
    </row>
    <row r="231" spans="1:10" x14ac:dyDescent="0.3">
      <c r="A231" s="61">
        <v>226</v>
      </c>
      <c r="B231" s="79" t="s">
        <v>602</v>
      </c>
      <c r="C231" s="75" t="s">
        <v>598</v>
      </c>
      <c r="D231" s="84">
        <v>8998464</v>
      </c>
      <c r="E231" s="92" t="s">
        <v>312</v>
      </c>
      <c r="F231" s="88" t="s">
        <v>603</v>
      </c>
      <c r="G231" s="101">
        <v>7821401</v>
      </c>
      <c r="H231" s="109" t="str">
        <f>CONCATENATE(BDPADRES[[#This Row],[NOMBRES MADRE]]," ",BDPADRES[[#This Row],[APELLIDOS MADRE]])</f>
        <v>MARTHA MAMANI MORALES</v>
      </c>
      <c r="I231" s="105"/>
      <c r="J231" s="93">
        <v>64331837</v>
      </c>
    </row>
    <row r="232" spans="1:10" x14ac:dyDescent="0.3">
      <c r="A232" s="61">
        <v>227</v>
      </c>
      <c r="B232" s="79" t="s">
        <v>753</v>
      </c>
      <c r="C232" s="75" t="s">
        <v>754</v>
      </c>
      <c r="D232" s="84">
        <v>6386626</v>
      </c>
      <c r="E232" s="92" t="s">
        <v>744</v>
      </c>
      <c r="F232" s="88" t="s">
        <v>256</v>
      </c>
      <c r="G232" s="101">
        <v>8876383</v>
      </c>
      <c r="H232" s="109" t="str">
        <f>CONCATENATE(BDPADRES[[#This Row],[NOMBRES MADRE]]," ",BDPADRES[[#This Row],[APELLIDOS MADRE]])</f>
        <v>NILDA LOPEZ CHOQUE</v>
      </c>
      <c r="I232" s="105"/>
      <c r="J232" s="95">
        <v>61517749</v>
      </c>
    </row>
    <row r="233" spans="1:10" x14ac:dyDescent="0.3">
      <c r="A233" s="61">
        <v>228</v>
      </c>
      <c r="B233" s="79" t="s">
        <v>547</v>
      </c>
      <c r="C233" s="75" t="s">
        <v>1097</v>
      </c>
      <c r="D233" s="84"/>
      <c r="E233" s="92" t="s">
        <v>1098</v>
      </c>
      <c r="F233" s="88" t="s">
        <v>1099</v>
      </c>
      <c r="G233" s="101">
        <v>9056865</v>
      </c>
      <c r="H233" s="109" t="str">
        <f>CONCATENATE(BDPADRES[[#This Row],[NOMBRES MADRE]]," ",BDPADRES[[#This Row],[APELLIDOS MADRE]])</f>
        <v>SEDONIA CONDORI TOMAS</v>
      </c>
      <c r="I233" s="105"/>
      <c r="J233" s="93">
        <v>72171758</v>
      </c>
    </row>
    <row r="234" spans="1:10" x14ac:dyDescent="0.3">
      <c r="A234" s="61">
        <v>229</v>
      </c>
      <c r="B234" s="79" t="s">
        <v>1122</v>
      </c>
      <c r="C234" s="75" t="s">
        <v>1551</v>
      </c>
      <c r="D234" s="84">
        <v>6275067</v>
      </c>
      <c r="E234" s="92" t="s">
        <v>91</v>
      </c>
      <c r="F234" s="88" t="s">
        <v>1552</v>
      </c>
      <c r="G234" s="101">
        <v>7838337</v>
      </c>
      <c r="H234" s="109" t="str">
        <f>CONCATENATE(BDPADRES[[#This Row],[NOMBRES MADRE]]," ",BDPADRES[[#This Row],[APELLIDOS MADRE]])</f>
        <v>MARIOLY  MARTINEZ UGARTECHE</v>
      </c>
      <c r="I234" s="105">
        <v>70070337</v>
      </c>
      <c r="J234" s="93"/>
    </row>
    <row r="235" spans="1:10" x14ac:dyDescent="0.3">
      <c r="A235" s="61">
        <v>230</v>
      </c>
      <c r="B235" s="79" t="s">
        <v>1335</v>
      </c>
      <c r="C235" s="75" t="s">
        <v>1336</v>
      </c>
      <c r="D235" s="84"/>
      <c r="E235" s="92" t="s">
        <v>520</v>
      </c>
      <c r="F235" s="88" t="s">
        <v>708</v>
      </c>
      <c r="G235" s="101">
        <v>8253725</v>
      </c>
      <c r="H235" s="109" t="str">
        <f>CONCATENATE(BDPADRES[[#This Row],[NOMBRES MADRE]]," ",BDPADRES[[#This Row],[APELLIDOS MADRE]])</f>
        <v>CELIA RIVADENEIRA CRUZ</v>
      </c>
      <c r="I235" s="105"/>
      <c r="J235" s="93">
        <v>62790095</v>
      </c>
    </row>
    <row r="236" spans="1:10" x14ac:dyDescent="0.3">
      <c r="A236" s="61">
        <v>231</v>
      </c>
      <c r="B236" s="79" t="s">
        <v>1122</v>
      </c>
      <c r="C236" s="75" t="s">
        <v>1123</v>
      </c>
      <c r="D236" s="84">
        <v>5858663</v>
      </c>
      <c r="E236" s="92" t="s">
        <v>1124</v>
      </c>
      <c r="F236" s="88" t="s">
        <v>1125</v>
      </c>
      <c r="G236" s="101">
        <v>6240292</v>
      </c>
      <c r="H236" s="109" t="str">
        <f>CONCATENATE(BDPADRES[[#This Row],[NOMBRES MADRE]]," ",BDPADRES[[#This Row],[APELLIDOS MADRE]])</f>
        <v>MIRNA CUELLAR DIAZ</v>
      </c>
      <c r="I236" s="105"/>
      <c r="J236" s="93">
        <v>79007776</v>
      </c>
    </row>
    <row r="237" spans="1:10" x14ac:dyDescent="0.3">
      <c r="A237" s="61">
        <v>233</v>
      </c>
      <c r="B237" s="79" t="s">
        <v>245</v>
      </c>
      <c r="C237" s="75" t="s">
        <v>588</v>
      </c>
      <c r="D237" s="84">
        <v>5373797</v>
      </c>
      <c r="E237" s="92" t="s">
        <v>589</v>
      </c>
      <c r="F237" s="88" t="s">
        <v>590</v>
      </c>
      <c r="G237" s="101">
        <v>9631023</v>
      </c>
      <c r="H237" s="109" t="str">
        <f>CONCATENATE(BDPADRES[[#This Row],[NOMBRES MADRE]]," ",BDPADRES[[#This Row],[APELLIDOS MADRE]])</f>
        <v>MONICA MAMANI GONZALES</v>
      </c>
      <c r="I237" s="105"/>
      <c r="J237" s="95">
        <v>76314451</v>
      </c>
    </row>
    <row r="238" spans="1:10" x14ac:dyDescent="0.3">
      <c r="A238" s="61">
        <v>234</v>
      </c>
      <c r="B238" s="79" t="s">
        <v>843</v>
      </c>
      <c r="C238" s="75" t="s">
        <v>166</v>
      </c>
      <c r="D238" s="84">
        <v>8246315</v>
      </c>
      <c r="E238" s="92" t="s">
        <v>844</v>
      </c>
      <c r="F238" s="88" t="s">
        <v>845</v>
      </c>
      <c r="G238" s="101">
        <v>6302864</v>
      </c>
      <c r="H238" s="109" t="str">
        <f>CONCATENATE(BDPADRES[[#This Row],[NOMBRES MADRE]]," ",BDPADRES[[#This Row],[APELLIDOS MADRE]])</f>
        <v>HILDA MAMANI EUGENIO</v>
      </c>
      <c r="I238" s="105">
        <v>77812183</v>
      </c>
      <c r="J238" s="93"/>
    </row>
    <row r="239" spans="1:10" x14ac:dyDescent="0.3">
      <c r="A239" s="61">
        <v>235</v>
      </c>
      <c r="B239" s="79" t="s">
        <v>1127</v>
      </c>
      <c r="C239" s="75" t="s">
        <v>1128</v>
      </c>
      <c r="D239" s="84">
        <v>5150009</v>
      </c>
      <c r="E239" s="92" t="s">
        <v>1129</v>
      </c>
      <c r="F239" s="88" t="s">
        <v>1130</v>
      </c>
      <c r="G239" s="101">
        <v>5399346</v>
      </c>
      <c r="H239" s="109" t="str">
        <f>CONCATENATE(BDPADRES[[#This Row],[NOMBRES MADRE]]," ",BDPADRES[[#This Row],[APELLIDOS MADRE]])</f>
        <v>FARIDY ROMERO CALLAPA</v>
      </c>
      <c r="I239" s="105">
        <v>64450471</v>
      </c>
      <c r="J239" s="93">
        <v>76045193</v>
      </c>
    </row>
    <row r="240" spans="1:10" x14ac:dyDescent="0.3">
      <c r="A240" s="61">
        <v>236</v>
      </c>
      <c r="B240" s="79" t="s">
        <v>577</v>
      </c>
      <c r="C240" s="75" t="s">
        <v>2935</v>
      </c>
      <c r="D240" s="84">
        <v>7831347</v>
      </c>
      <c r="E240" s="92" t="s">
        <v>578</v>
      </c>
      <c r="F240" s="88" t="s">
        <v>579</v>
      </c>
      <c r="G240" s="101">
        <v>9656487</v>
      </c>
      <c r="H240" s="109" t="str">
        <f>CONCATENATE(BDPADRES[[#This Row],[NOMBRES MADRE]]," ",BDPADRES[[#This Row],[APELLIDOS MADRE]])</f>
        <v>NEOLID VARON ARANCIBIA</v>
      </c>
      <c r="I240" s="105"/>
      <c r="J240" s="93">
        <v>73118632</v>
      </c>
    </row>
    <row r="241" spans="1:10" x14ac:dyDescent="0.3">
      <c r="A241" s="61">
        <v>237</v>
      </c>
      <c r="B241" s="79" t="s">
        <v>1609</v>
      </c>
      <c r="C241" s="75" t="s">
        <v>1610</v>
      </c>
      <c r="D241" s="84">
        <v>3167941</v>
      </c>
      <c r="E241" s="92" t="s">
        <v>1611</v>
      </c>
      <c r="F241" s="88" t="s">
        <v>1612</v>
      </c>
      <c r="G241" s="101"/>
      <c r="H241" s="109" t="str">
        <f>CONCATENATE(BDPADRES[[#This Row],[NOMBRES MADRE]]," ",BDPADRES[[#This Row],[APELLIDOS MADRE]])</f>
        <v>EVA DANCY FERNANDEZ LINO</v>
      </c>
      <c r="I241" s="105">
        <v>75076954</v>
      </c>
      <c r="J241" s="93"/>
    </row>
    <row r="242" spans="1:10" x14ac:dyDescent="0.3">
      <c r="A242" s="61">
        <v>238</v>
      </c>
      <c r="B242" s="79" t="s">
        <v>1385</v>
      </c>
      <c r="C242" s="75" t="s">
        <v>1386</v>
      </c>
      <c r="D242" s="84"/>
      <c r="E242" s="92" t="s">
        <v>296</v>
      </c>
      <c r="F242" s="88" t="s">
        <v>1387</v>
      </c>
      <c r="G242" s="101">
        <v>5831740</v>
      </c>
      <c r="H242" s="109" t="str">
        <f>CONCATENATE(BDPADRES[[#This Row],[NOMBRES MADRE]]," ",BDPADRES[[#This Row],[APELLIDOS MADRE]])</f>
        <v>LIDIA ACUÑA ARENA</v>
      </c>
      <c r="I242" s="105"/>
      <c r="J242" s="93">
        <v>72176879</v>
      </c>
    </row>
    <row r="243" spans="1:10" x14ac:dyDescent="0.3">
      <c r="A243" s="61">
        <v>239</v>
      </c>
      <c r="B243" s="79" t="s">
        <v>1146</v>
      </c>
      <c r="C243" s="75" t="s">
        <v>1147</v>
      </c>
      <c r="D243" s="84">
        <v>3928607</v>
      </c>
      <c r="E243" s="92" t="s">
        <v>1148</v>
      </c>
      <c r="F243" s="88" t="s">
        <v>1149</v>
      </c>
      <c r="G243" s="101"/>
      <c r="H243" s="109" t="str">
        <f>CONCATENATE(BDPADRES[[#This Row],[NOMBRES MADRE]]," ",BDPADRES[[#This Row],[APELLIDOS MADRE]])</f>
        <v>NAGAY RINA ROMERO ACHO</v>
      </c>
      <c r="I243" s="105">
        <v>75569568</v>
      </c>
      <c r="J243" s="93"/>
    </row>
    <row r="244" spans="1:10" x14ac:dyDescent="0.3">
      <c r="A244" s="61">
        <v>240</v>
      </c>
      <c r="B244" s="79" t="s">
        <v>1206</v>
      </c>
      <c r="C244" s="75" t="s">
        <v>1207</v>
      </c>
      <c r="D244" s="84"/>
      <c r="E244" s="92" t="s">
        <v>312</v>
      </c>
      <c r="F244" s="88" t="s">
        <v>1208</v>
      </c>
      <c r="G244" s="101">
        <v>3934639</v>
      </c>
      <c r="H244" s="109" t="str">
        <f>CONCATENATE(BDPADRES[[#This Row],[NOMBRES MADRE]]," ",BDPADRES[[#This Row],[APELLIDOS MADRE]])</f>
        <v>MARTHA CHAUQUE TOLABA</v>
      </c>
      <c r="I244" s="105"/>
      <c r="J244" s="93">
        <v>77023543</v>
      </c>
    </row>
    <row r="245" spans="1:10" x14ac:dyDescent="0.3">
      <c r="A245" s="61">
        <v>241</v>
      </c>
      <c r="B245" s="79" t="s">
        <v>971</v>
      </c>
      <c r="C245" s="75" t="s">
        <v>972</v>
      </c>
      <c r="D245" s="84">
        <v>11395980</v>
      </c>
      <c r="E245" s="92" t="s">
        <v>730</v>
      </c>
      <c r="F245" s="88" t="s">
        <v>973</v>
      </c>
      <c r="G245" s="101">
        <v>8970246</v>
      </c>
      <c r="H245" s="109" t="str">
        <f>CONCATENATE(BDPADRES[[#This Row],[NOMBRES MADRE]]," ",BDPADRES[[#This Row],[APELLIDOS MADRE]])</f>
        <v>LOURDES URQUIZO YUCRA</v>
      </c>
      <c r="I245" s="105">
        <v>75640563</v>
      </c>
      <c r="J245" s="93"/>
    </row>
    <row r="246" spans="1:10" x14ac:dyDescent="0.3">
      <c r="A246" s="61">
        <v>242</v>
      </c>
      <c r="B246" s="79" t="s">
        <v>1093</v>
      </c>
      <c r="C246" s="75" t="s">
        <v>338</v>
      </c>
      <c r="D246" s="84">
        <v>3218395</v>
      </c>
      <c r="E246" s="94" t="s">
        <v>3110</v>
      </c>
      <c r="F246" s="88" t="s">
        <v>1111</v>
      </c>
      <c r="G246" s="101">
        <v>3935039</v>
      </c>
      <c r="H246" s="109" t="str">
        <f>CONCATENATE(BDPADRES[[#This Row],[NOMBRES MADRE]]," ",BDPADRES[[#This Row],[APELLIDOS MADRE]])</f>
        <v>LENNY MARIELA FLORES ASINAGA</v>
      </c>
      <c r="I246" s="105"/>
      <c r="J246" s="93">
        <v>76305187</v>
      </c>
    </row>
    <row r="247" spans="1:10" x14ac:dyDescent="0.3">
      <c r="A247" s="61">
        <v>243</v>
      </c>
      <c r="B247" s="79" t="s">
        <v>152</v>
      </c>
      <c r="C247" s="75" t="s">
        <v>629</v>
      </c>
      <c r="D247" s="84">
        <v>5406367</v>
      </c>
      <c r="E247" s="92" t="s">
        <v>630</v>
      </c>
      <c r="F247" s="88" t="s">
        <v>631</v>
      </c>
      <c r="G247" s="101">
        <v>5406367</v>
      </c>
      <c r="H247" s="109" t="str">
        <f>CONCATENATE(BDPADRES[[#This Row],[NOMBRES MADRE]]," ",BDPADRES[[#This Row],[APELLIDOS MADRE]])</f>
        <v>VIRGINIA ANTIVERROS MANRIQUE</v>
      </c>
      <c r="I247" s="105"/>
      <c r="J247" s="93">
        <v>76333054</v>
      </c>
    </row>
    <row r="248" spans="1:10" x14ac:dyDescent="0.3">
      <c r="A248" s="61">
        <v>244</v>
      </c>
      <c r="B248" s="79" t="s">
        <v>323</v>
      </c>
      <c r="C248" s="75" t="s">
        <v>1022</v>
      </c>
      <c r="D248" s="84">
        <v>9627299</v>
      </c>
      <c r="E248" s="92" t="s">
        <v>1023</v>
      </c>
      <c r="F248" s="88" t="s">
        <v>1024</v>
      </c>
      <c r="G248" s="101"/>
      <c r="H248" s="109" t="str">
        <f>CONCATENATE(BDPADRES[[#This Row],[NOMBRES MADRE]]," ",BDPADRES[[#This Row],[APELLIDOS MADRE]])</f>
        <v>SIXTA AGUILLAR TABUADA</v>
      </c>
      <c r="I248" s="105">
        <v>63498829</v>
      </c>
      <c r="J248" s="93"/>
    </row>
    <row r="249" spans="1:10" x14ac:dyDescent="0.3">
      <c r="A249" s="61">
        <v>245</v>
      </c>
      <c r="B249" s="79" t="s">
        <v>103</v>
      </c>
      <c r="C249" s="75" t="s">
        <v>1018</v>
      </c>
      <c r="D249" s="84">
        <v>8105292</v>
      </c>
      <c r="E249" s="92" t="s">
        <v>1019</v>
      </c>
      <c r="F249" s="88" t="s">
        <v>1020</v>
      </c>
      <c r="G249" s="101">
        <v>9042835</v>
      </c>
      <c r="H249" s="109" t="str">
        <f>CONCATENATE(BDPADRES[[#This Row],[NOMBRES MADRE]]," ",BDPADRES[[#This Row],[APELLIDOS MADRE]])</f>
        <v>ANTONIA CARABALLO BALLESTEROS</v>
      </c>
      <c r="I249" s="105"/>
      <c r="J249" s="93">
        <v>69043219</v>
      </c>
    </row>
    <row r="250" spans="1:10" x14ac:dyDescent="0.3">
      <c r="A250" s="61">
        <v>246</v>
      </c>
      <c r="B250" s="79" t="s">
        <v>97</v>
      </c>
      <c r="C250" s="75" t="s">
        <v>756</v>
      </c>
      <c r="D250" s="84">
        <v>5348890</v>
      </c>
      <c r="E250" s="92" t="s">
        <v>757</v>
      </c>
      <c r="F250" s="88" t="s">
        <v>758</v>
      </c>
      <c r="G250" s="101">
        <v>6227980</v>
      </c>
      <c r="H250" s="109" t="str">
        <f>CONCATENATE(BDPADRES[[#This Row],[NOMBRES MADRE]]," ",BDPADRES[[#This Row],[APELLIDOS MADRE]])</f>
        <v>SEMIDA CUCHALLO TORRICO</v>
      </c>
      <c r="I250" s="105"/>
      <c r="J250" s="93">
        <v>73629668</v>
      </c>
    </row>
    <row r="251" spans="1:10" x14ac:dyDescent="0.3">
      <c r="A251" s="61">
        <v>247</v>
      </c>
      <c r="B251" s="79" t="s">
        <v>819</v>
      </c>
      <c r="C251" s="75" t="s">
        <v>820</v>
      </c>
      <c r="D251" s="84">
        <v>3933070</v>
      </c>
      <c r="E251" s="92" t="s">
        <v>821</v>
      </c>
      <c r="F251" s="88" t="s">
        <v>822</v>
      </c>
      <c r="G251" s="101">
        <v>7849242</v>
      </c>
      <c r="H251" s="109" t="str">
        <f>CONCATENATE(BDPADRES[[#This Row],[NOMBRES MADRE]]," ",BDPADRES[[#This Row],[APELLIDOS MADRE]])</f>
        <v>DELIA MARCELA VARGAS RIVERA</v>
      </c>
      <c r="I251" s="105"/>
      <c r="J251" s="93">
        <v>68849554</v>
      </c>
    </row>
    <row r="252" spans="1:10" x14ac:dyDescent="0.3">
      <c r="A252" s="61">
        <v>249</v>
      </c>
      <c r="B252" s="79" t="s">
        <v>839</v>
      </c>
      <c r="C252" s="75" t="s">
        <v>840</v>
      </c>
      <c r="D252" s="84">
        <v>7662608</v>
      </c>
      <c r="E252" s="92" t="s">
        <v>841</v>
      </c>
      <c r="F252" s="88" t="s">
        <v>424</v>
      </c>
      <c r="G252" s="101">
        <v>8945787</v>
      </c>
      <c r="H252" s="109" t="str">
        <f>CONCATENATE(BDPADRES[[#This Row],[NOMBRES MADRE]]," ",BDPADRES[[#This Row],[APELLIDOS MADRE]])</f>
        <v>NEIDA MEJIA BEJARANO</v>
      </c>
      <c r="I252" s="105"/>
      <c r="J252" s="93">
        <v>75515048</v>
      </c>
    </row>
    <row r="253" spans="1:10" x14ac:dyDescent="0.3">
      <c r="A253" s="61">
        <v>250</v>
      </c>
      <c r="B253" s="79" t="s">
        <v>1307</v>
      </c>
      <c r="C253" s="75" t="s">
        <v>1308</v>
      </c>
      <c r="D253" s="84">
        <v>5869436</v>
      </c>
      <c r="E253" s="92" t="s">
        <v>1309</v>
      </c>
      <c r="F253" s="88" t="s">
        <v>1310</v>
      </c>
      <c r="G253" s="101"/>
      <c r="H253" s="109" t="str">
        <f>CONCATENATE(BDPADRES[[#This Row],[NOMBRES MADRE]]," ",BDPADRES[[#This Row],[APELLIDOS MADRE]])</f>
        <v>MARIA LOURDES GARCIA LARA</v>
      </c>
      <c r="I253" s="105">
        <v>74529888</v>
      </c>
      <c r="J253" s="93"/>
    </row>
    <row r="254" spans="1:10" x14ac:dyDescent="0.3">
      <c r="A254" s="61">
        <v>252</v>
      </c>
      <c r="B254" s="79" t="s">
        <v>463</v>
      </c>
      <c r="C254" s="75" t="s">
        <v>612</v>
      </c>
      <c r="D254" s="84">
        <v>9610334</v>
      </c>
      <c r="E254" s="92" t="s">
        <v>613</v>
      </c>
      <c r="F254" s="88" t="s">
        <v>614</v>
      </c>
      <c r="G254" s="101">
        <v>6348907</v>
      </c>
      <c r="H254" s="109" t="str">
        <f>CONCATENATE(BDPADRES[[#This Row],[NOMBRES MADRE]]," ",BDPADRES[[#This Row],[APELLIDOS MADRE]])</f>
        <v>REYNA GALARZA PEREDO</v>
      </c>
      <c r="I254" s="105"/>
      <c r="J254" s="93">
        <v>75582361</v>
      </c>
    </row>
    <row r="255" spans="1:10" x14ac:dyDescent="0.3">
      <c r="A255" s="61">
        <v>253</v>
      </c>
      <c r="B255" s="79" t="s">
        <v>1303</v>
      </c>
      <c r="C255" s="75" t="s">
        <v>1304</v>
      </c>
      <c r="D255" s="84"/>
      <c r="E255" s="92" t="s">
        <v>1305</v>
      </c>
      <c r="F255" s="88" t="s">
        <v>1306</v>
      </c>
      <c r="G255" s="101">
        <v>6362522</v>
      </c>
      <c r="H255" s="109" t="str">
        <f>CONCATENATE(BDPADRES[[#This Row],[NOMBRES MADRE]]," ",BDPADRES[[#This Row],[APELLIDOS MADRE]])</f>
        <v>MARISOL MORALES AÑEZ</v>
      </c>
      <c r="I255" s="105"/>
      <c r="J255" s="93">
        <v>76018290</v>
      </c>
    </row>
    <row r="256" spans="1:10" x14ac:dyDescent="0.3">
      <c r="A256" s="61">
        <v>254</v>
      </c>
      <c r="B256" s="79" t="s">
        <v>1032</v>
      </c>
      <c r="C256" s="75" t="s">
        <v>1033</v>
      </c>
      <c r="D256" s="84">
        <v>4651639</v>
      </c>
      <c r="E256" s="92" t="s">
        <v>1034</v>
      </c>
      <c r="F256" s="88" t="s">
        <v>1035</v>
      </c>
      <c r="G256" s="101">
        <v>5853027</v>
      </c>
      <c r="H256" s="109" t="str">
        <f>CONCATENATE(BDPADRES[[#This Row],[NOMBRES MADRE]]," ",BDPADRES[[#This Row],[APELLIDOS MADRE]])</f>
        <v>FILOMENA ZAMBRANA COCA</v>
      </c>
      <c r="I256" s="105"/>
      <c r="J256" s="93">
        <v>69110606</v>
      </c>
    </row>
    <row r="257" spans="1:10" x14ac:dyDescent="0.3">
      <c r="A257" s="61">
        <v>255</v>
      </c>
      <c r="B257" s="79" t="s">
        <v>573</v>
      </c>
      <c r="C257" s="75" t="s">
        <v>1300</v>
      </c>
      <c r="D257" s="84">
        <v>6331192</v>
      </c>
      <c r="E257" s="92" t="s">
        <v>105</v>
      </c>
      <c r="F257" s="88" t="s">
        <v>1301</v>
      </c>
      <c r="G257" s="101">
        <v>7831012</v>
      </c>
      <c r="H257" s="109" t="str">
        <f>CONCATENATE(BDPADRES[[#This Row],[NOMBRES MADRE]]," ",BDPADRES[[#This Row],[APELLIDOS MADRE]])</f>
        <v>SANDRA BALLESTEROS TORREZ</v>
      </c>
      <c r="I257" s="105"/>
      <c r="J257" s="93">
        <v>75573674</v>
      </c>
    </row>
    <row r="258" spans="1:10" x14ac:dyDescent="0.3">
      <c r="A258" s="61">
        <v>257</v>
      </c>
      <c r="B258" s="79" t="s">
        <v>29</v>
      </c>
      <c r="C258" s="75" t="s">
        <v>30</v>
      </c>
      <c r="D258" s="86">
        <v>5339922</v>
      </c>
      <c r="E258" s="92" t="s">
        <v>50</v>
      </c>
      <c r="F258" s="88" t="s">
        <v>51</v>
      </c>
      <c r="G258" s="101"/>
      <c r="H258" s="110" t="s">
        <v>3027</v>
      </c>
      <c r="I258" s="105">
        <v>69168816</v>
      </c>
      <c r="J258" s="93">
        <v>69168816</v>
      </c>
    </row>
    <row r="259" spans="1:10" x14ac:dyDescent="0.3">
      <c r="A259" s="61">
        <v>258</v>
      </c>
      <c r="B259" s="79" t="s">
        <v>126</v>
      </c>
      <c r="C259" s="75" t="s">
        <v>127</v>
      </c>
      <c r="D259" s="84">
        <v>7793431</v>
      </c>
      <c r="E259" s="92" t="s">
        <v>128</v>
      </c>
      <c r="F259" s="88" t="s">
        <v>129</v>
      </c>
      <c r="G259" s="101">
        <v>8888045</v>
      </c>
      <c r="H259" s="109" t="str">
        <f>CONCATENATE(BDPADRES[[#This Row],[NOMBRES MADRE]]," ",BDPADRES[[#This Row],[APELLIDOS MADRE]])</f>
        <v>REBECA SANGREDE CONDORI</v>
      </c>
      <c r="I259" s="105"/>
      <c r="J259" s="95">
        <v>62105285</v>
      </c>
    </row>
    <row r="260" spans="1:10" x14ac:dyDescent="0.3">
      <c r="A260" s="61">
        <v>259</v>
      </c>
      <c r="B260" s="79" t="s">
        <v>29</v>
      </c>
      <c r="C260" s="75" t="s">
        <v>1230</v>
      </c>
      <c r="D260" s="84"/>
      <c r="E260" s="92" t="s">
        <v>1231</v>
      </c>
      <c r="F260" s="88" t="s">
        <v>1232</v>
      </c>
      <c r="G260" s="101">
        <v>7807291</v>
      </c>
      <c r="H260" s="109" t="str">
        <f>CONCATENATE(BDPADRES[[#This Row],[NOMBRES MADRE]]," ",BDPADRES[[#This Row],[APELLIDOS MADRE]])</f>
        <v>JUANA  CORTEZ ARAUZ</v>
      </c>
      <c r="I260" s="105"/>
      <c r="J260" s="93">
        <v>77659864</v>
      </c>
    </row>
    <row r="261" spans="1:10" x14ac:dyDescent="0.3">
      <c r="A261" s="61">
        <v>260</v>
      </c>
      <c r="B261" s="79" t="s">
        <v>29</v>
      </c>
      <c r="C261" s="75" t="s">
        <v>567</v>
      </c>
      <c r="D261" s="84">
        <v>8931699</v>
      </c>
      <c r="E261" s="92" t="s">
        <v>520</v>
      </c>
      <c r="F261" s="88" t="s">
        <v>568</v>
      </c>
      <c r="G261" s="101">
        <v>8178278</v>
      </c>
      <c r="H261" s="109" t="str">
        <f>CONCATENATE(BDPADRES[[#This Row],[NOMBRES MADRE]]," ",BDPADRES[[#This Row],[APELLIDOS MADRE]])</f>
        <v>CELIA BEJARANO CHOQUE</v>
      </c>
      <c r="I261" s="105"/>
      <c r="J261" s="93">
        <v>79477722</v>
      </c>
    </row>
    <row r="262" spans="1:10" x14ac:dyDescent="0.3">
      <c r="A262" s="61">
        <v>261</v>
      </c>
      <c r="B262" s="79" t="s">
        <v>1287</v>
      </c>
      <c r="C262" s="75" t="s">
        <v>1288</v>
      </c>
      <c r="D262" s="84">
        <v>3859419</v>
      </c>
      <c r="E262" s="92" t="s">
        <v>445</v>
      </c>
      <c r="F262" s="88" t="s">
        <v>1289</v>
      </c>
      <c r="G262" s="101">
        <v>3653739</v>
      </c>
      <c r="H262" s="109" t="str">
        <f>CONCATENATE(BDPADRES[[#This Row],[NOMBRES MADRE]]," ",BDPADRES[[#This Row],[APELLIDOS MADRE]])</f>
        <v>BEATRIZ COA CHOQUE</v>
      </c>
      <c r="I262" s="105"/>
      <c r="J262" s="93">
        <v>77827600</v>
      </c>
    </row>
    <row r="263" spans="1:10" x14ac:dyDescent="0.3">
      <c r="A263" s="61">
        <v>262</v>
      </c>
      <c r="B263" s="79" t="s">
        <v>103</v>
      </c>
      <c r="C263" s="75" t="s">
        <v>959</v>
      </c>
      <c r="D263" s="84">
        <v>8131701</v>
      </c>
      <c r="E263" s="92" t="s">
        <v>960</v>
      </c>
      <c r="F263" s="88" t="s">
        <v>961</v>
      </c>
      <c r="G263" s="101">
        <v>8204396</v>
      </c>
      <c r="H263" s="109" t="str">
        <f>CONCATENATE(BDPADRES[[#This Row],[NOMBRES MADRE]]," ",BDPADRES[[#This Row],[APELLIDOS MADRE]])</f>
        <v>MARICRUZ GUAYAO RIVERA</v>
      </c>
      <c r="I263" s="105">
        <v>71144033</v>
      </c>
      <c r="J263" s="93"/>
    </row>
    <row r="264" spans="1:10" x14ac:dyDescent="0.3">
      <c r="A264" s="61">
        <v>263</v>
      </c>
      <c r="B264" s="79" t="s">
        <v>2436</v>
      </c>
      <c r="C264" s="75" t="s">
        <v>2437</v>
      </c>
      <c r="D264" s="84">
        <v>3276417</v>
      </c>
      <c r="E264" s="92" t="s">
        <v>2438</v>
      </c>
      <c r="F264" s="88" t="s">
        <v>2439</v>
      </c>
      <c r="G264" s="101">
        <v>3903476</v>
      </c>
      <c r="H264" s="109" t="str">
        <f>CONCATENATE(BDPADRES[[#This Row],[NOMBRES MADRE]]," ",BDPADRES[[#This Row],[APELLIDOS MADRE]])</f>
        <v>ELUTERIA CASTRO ARENAS</v>
      </c>
      <c r="I264" s="105"/>
      <c r="J264" s="93">
        <v>73137462</v>
      </c>
    </row>
    <row r="265" spans="1:10" x14ac:dyDescent="0.3">
      <c r="A265" s="61">
        <v>264</v>
      </c>
      <c r="B265" s="79" t="s">
        <v>294</v>
      </c>
      <c r="C265" s="75" t="s">
        <v>2341</v>
      </c>
      <c r="D265" s="84">
        <v>4670489</v>
      </c>
      <c r="E265" s="92" t="s">
        <v>2952</v>
      </c>
      <c r="F265" s="88" t="s">
        <v>1590</v>
      </c>
      <c r="G265" s="101">
        <v>7669662</v>
      </c>
      <c r="H265" s="109" t="str">
        <f>CONCATENATE(BDPADRES[[#This Row],[NOMBRES MADRE]]," ",BDPADRES[[#This Row],[APELLIDOS MADRE]])</f>
        <v>CATALINA ROMELIA GARCIA</v>
      </c>
      <c r="I265" s="105"/>
      <c r="J265" s="93">
        <v>63831774</v>
      </c>
    </row>
    <row r="266" spans="1:10" x14ac:dyDescent="0.3">
      <c r="A266" s="61">
        <v>265</v>
      </c>
      <c r="B266" s="79" t="s">
        <v>2130</v>
      </c>
      <c r="C266" s="75" t="s">
        <v>2131</v>
      </c>
      <c r="D266" s="84"/>
      <c r="E266" s="92" t="s">
        <v>2132</v>
      </c>
      <c r="F266" s="88" t="s">
        <v>2133</v>
      </c>
      <c r="G266" s="101">
        <v>8241315</v>
      </c>
      <c r="H266" s="109" t="str">
        <f>CONCATENATE(BDPADRES[[#This Row],[NOMBRES MADRE]]," ",BDPADRES[[#This Row],[APELLIDOS MADRE]])</f>
        <v>ALBAIDA MANSILLA ALDANA</v>
      </c>
      <c r="I266" s="105"/>
      <c r="J266" s="93">
        <v>78152741</v>
      </c>
    </row>
    <row r="267" spans="1:10" x14ac:dyDescent="0.3">
      <c r="A267" s="61">
        <v>266</v>
      </c>
      <c r="B267" s="79" t="s">
        <v>695</v>
      </c>
      <c r="C267" s="75" t="s">
        <v>1115</v>
      </c>
      <c r="D267" s="84"/>
      <c r="E267" s="92" t="s">
        <v>2136</v>
      </c>
      <c r="F267" s="88" t="s">
        <v>2137</v>
      </c>
      <c r="G267" s="101">
        <v>4608065</v>
      </c>
      <c r="H267" s="109" t="str">
        <f>CONCATENATE(BDPADRES[[#This Row],[NOMBRES MADRE]]," ",BDPADRES[[#This Row],[APELLIDOS MADRE]])</f>
        <v>ROSA LEON TORREZ</v>
      </c>
      <c r="I267" s="105"/>
      <c r="J267" s="93">
        <v>69034945</v>
      </c>
    </row>
    <row r="268" spans="1:10" x14ac:dyDescent="0.3">
      <c r="A268" s="61">
        <v>267</v>
      </c>
      <c r="B268" s="79" t="s">
        <v>1353</v>
      </c>
      <c r="C268" s="75" t="s">
        <v>1460</v>
      </c>
      <c r="D268" s="84">
        <v>8096041</v>
      </c>
      <c r="E268" s="92" t="s">
        <v>671</v>
      </c>
      <c r="F268" s="88" t="s">
        <v>2188</v>
      </c>
      <c r="G268" s="101">
        <v>5486356</v>
      </c>
      <c r="H268" s="109" t="str">
        <f>CONCATENATE(BDPADRES[[#This Row],[NOMBRES MADRE]]," ",BDPADRES[[#This Row],[APELLIDOS MADRE]])</f>
        <v>JULIA  ALCARAZ SANABRIA</v>
      </c>
      <c r="I268" s="105"/>
      <c r="J268" s="95">
        <v>63385499</v>
      </c>
    </row>
    <row r="269" spans="1:10" x14ac:dyDescent="0.3">
      <c r="A269" s="61">
        <v>268</v>
      </c>
      <c r="B269" s="79" t="s">
        <v>802</v>
      </c>
      <c r="C269" s="75" t="s">
        <v>2053</v>
      </c>
      <c r="D269" s="84">
        <v>7856270</v>
      </c>
      <c r="E269" s="92" t="s">
        <v>2054</v>
      </c>
      <c r="F269" s="88" t="s">
        <v>1575</v>
      </c>
      <c r="G269" s="101">
        <v>8252611</v>
      </c>
      <c r="H269" s="109" t="str">
        <f>CONCATENATE(BDPADRES[[#This Row],[NOMBRES MADRE]]," ",BDPADRES[[#This Row],[APELLIDOS MADRE]])</f>
        <v>YINA DANIELA DORADO MONTENEGRO</v>
      </c>
      <c r="I269" s="105"/>
      <c r="J269" s="93">
        <v>60870541</v>
      </c>
    </row>
    <row r="270" spans="1:10" x14ac:dyDescent="0.3">
      <c r="A270" s="61">
        <v>269</v>
      </c>
      <c r="B270" s="79" t="s">
        <v>829</v>
      </c>
      <c r="C270" s="75" t="s">
        <v>830</v>
      </c>
      <c r="D270" s="84">
        <v>4648124</v>
      </c>
      <c r="E270" s="92" t="s">
        <v>831</v>
      </c>
      <c r="F270" s="88" t="s">
        <v>832</v>
      </c>
      <c r="G270" s="101">
        <v>6336831</v>
      </c>
      <c r="H270" s="109" t="str">
        <f>CONCATENATE(BDPADRES[[#This Row],[NOMBRES MADRE]]," ",BDPADRES[[#This Row],[APELLIDOS MADRE]])</f>
        <v>LORENZA AMADOR SULLCA</v>
      </c>
      <c r="I270" s="105"/>
      <c r="J270" s="93">
        <v>78068345</v>
      </c>
    </row>
    <row r="271" spans="1:10" x14ac:dyDescent="0.3">
      <c r="A271" s="61">
        <v>271</v>
      </c>
      <c r="B271" s="79" t="s">
        <v>608</v>
      </c>
      <c r="C271" s="75" t="s">
        <v>609</v>
      </c>
      <c r="D271" s="84">
        <v>2888145</v>
      </c>
      <c r="E271" s="92" t="s">
        <v>574</v>
      </c>
      <c r="F271" s="88" t="s">
        <v>610</v>
      </c>
      <c r="G271" s="101">
        <v>1318229</v>
      </c>
      <c r="H271" s="109" t="str">
        <f>CONCATENATE(BDPADRES[[#This Row],[NOMBRES MADRE]]," ",BDPADRES[[#This Row],[APELLIDOS MADRE]])</f>
        <v>VICTORIA FIGUEROA SARDINAS</v>
      </c>
      <c r="I271" s="105"/>
      <c r="J271" s="93">
        <v>73486907</v>
      </c>
    </row>
    <row r="272" spans="1:10" x14ac:dyDescent="0.3">
      <c r="A272" s="61">
        <v>271</v>
      </c>
      <c r="B272" s="80" t="s">
        <v>3111</v>
      </c>
      <c r="C272" s="75" t="s">
        <v>649</v>
      </c>
      <c r="D272" s="84">
        <v>12465281</v>
      </c>
      <c r="E272" s="94" t="s">
        <v>3112</v>
      </c>
      <c r="F272" s="88" t="s">
        <v>408</v>
      </c>
      <c r="G272" s="101">
        <v>10571814</v>
      </c>
      <c r="H272" s="109" t="str">
        <f>CONCATENATE(BDPADRES[[#This Row],[NOMBRES MADRE]]," ",BDPADRES[[#This Row],[APELLIDOS MADRE]])</f>
        <v>YUSETH JHAMEY MAMANI FIGUEROA</v>
      </c>
      <c r="I272" s="105"/>
      <c r="J272" s="95">
        <v>73486907</v>
      </c>
    </row>
    <row r="273" spans="1:10" x14ac:dyDescent="0.3">
      <c r="A273" s="61">
        <v>272</v>
      </c>
      <c r="B273" s="79" t="s">
        <v>159</v>
      </c>
      <c r="C273" s="75" t="s">
        <v>2000</v>
      </c>
      <c r="D273" s="84">
        <v>7698097</v>
      </c>
      <c r="E273" s="92" t="s">
        <v>2001</v>
      </c>
      <c r="F273" s="88" t="s">
        <v>2002</v>
      </c>
      <c r="G273" s="101">
        <v>8221080</v>
      </c>
      <c r="H273" s="109" t="str">
        <f>CONCATENATE(BDPADRES[[#This Row],[NOMBRES MADRE]]," ",BDPADRES[[#This Row],[APELLIDOS MADRE]])</f>
        <v>LEIDY FABIOLA CARRILLO CORONADO</v>
      </c>
      <c r="I273" s="105"/>
      <c r="J273" s="95">
        <v>79475615</v>
      </c>
    </row>
    <row r="274" spans="1:10" x14ac:dyDescent="0.3">
      <c r="A274" s="61">
        <v>273</v>
      </c>
      <c r="B274" s="79" t="s">
        <v>577</v>
      </c>
      <c r="C274" s="75" t="s">
        <v>1634</v>
      </c>
      <c r="D274" s="84">
        <v>6343526</v>
      </c>
      <c r="E274" s="92" t="s">
        <v>613</v>
      </c>
      <c r="F274" s="88" t="s">
        <v>1635</v>
      </c>
      <c r="G274" s="101">
        <v>7489165</v>
      </c>
      <c r="H274" s="109" t="str">
        <f>CONCATENATE(BDPADRES[[#This Row],[NOMBRES MADRE]]," ",BDPADRES[[#This Row],[APELLIDOS MADRE]])</f>
        <v>REYNA ZARATE BARRIENTOS</v>
      </c>
      <c r="I274" s="105"/>
      <c r="J274" s="93">
        <v>74701376</v>
      </c>
    </row>
    <row r="275" spans="1:10" x14ac:dyDescent="0.3">
      <c r="A275" s="61">
        <v>274</v>
      </c>
      <c r="B275" s="79" t="s">
        <v>2402</v>
      </c>
      <c r="C275" s="75" t="s">
        <v>2403</v>
      </c>
      <c r="D275" s="84">
        <v>5871563</v>
      </c>
      <c r="E275" s="92" t="s">
        <v>58</v>
      </c>
      <c r="F275" s="88" t="s">
        <v>2404</v>
      </c>
      <c r="G275" s="101">
        <v>7694530</v>
      </c>
      <c r="H275" s="109" t="str">
        <f>CONCATENATE(BDPADRES[[#This Row],[NOMBRES MADRE]]," ",BDPADRES[[#This Row],[APELLIDOS MADRE]])</f>
        <v>EVELIN GUZMAN GARCIA</v>
      </c>
      <c r="I275" s="105"/>
      <c r="J275" s="93">
        <v>76330903</v>
      </c>
    </row>
    <row r="276" spans="1:10" x14ac:dyDescent="0.3">
      <c r="A276" s="61">
        <v>275</v>
      </c>
      <c r="B276" s="79" t="s">
        <v>2460</v>
      </c>
      <c r="C276" s="75" t="s">
        <v>2461</v>
      </c>
      <c r="D276" s="84">
        <v>6250186</v>
      </c>
      <c r="E276" s="92" t="s">
        <v>2462</v>
      </c>
      <c r="F276" s="88" t="s">
        <v>2463</v>
      </c>
      <c r="G276" s="101">
        <v>6304357</v>
      </c>
      <c r="H276" s="109" t="str">
        <f>CONCATENATE(BDPADRES[[#This Row],[NOMBRES MADRE]]," ",BDPADRES[[#This Row],[APELLIDOS MADRE]])</f>
        <v>NELLY YASMINA ROBLES VALVERDE</v>
      </c>
      <c r="I276" s="105"/>
      <c r="J276" s="93">
        <v>60837237</v>
      </c>
    </row>
    <row r="277" spans="1:10" x14ac:dyDescent="0.3">
      <c r="A277" s="61">
        <v>276</v>
      </c>
      <c r="B277" s="79" t="s">
        <v>422</v>
      </c>
      <c r="C277" s="75" t="s">
        <v>2412</v>
      </c>
      <c r="D277" s="84">
        <v>5872052</v>
      </c>
      <c r="E277" s="92" t="s">
        <v>2413</v>
      </c>
      <c r="F277" s="88" t="s">
        <v>2414</v>
      </c>
      <c r="G277" s="101">
        <v>6289961</v>
      </c>
      <c r="H277" s="109" t="str">
        <f>CONCATENATE(BDPADRES[[#This Row],[NOMBRES MADRE]]," ",BDPADRES[[#This Row],[APELLIDOS MADRE]])</f>
        <v>ANA ROSY VACA NOGALES</v>
      </c>
      <c r="I277" s="105"/>
      <c r="J277" s="93">
        <v>75307063</v>
      </c>
    </row>
    <row r="278" spans="1:10" x14ac:dyDescent="0.3">
      <c r="A278" s="61">
        <v>277</v>
      </c>
      <c r="B278" s="79" t="s">
        <v>2010</v>
      </c>
      <c r="C278" s="75" t="s">
        <v>2011</v>
      </c>
      <c r="D278" s="84">
        <v>6228378</v>
      </c>
      <c r="E278" s="92" t="s">
        <v>589</v>
      </c>
      <c r="F278" s="88" t="s">
        <v>2012</v>
      </c>
      <c r="G278" s="101">
        <v>5869019</v>
      </c>
      <c r="H278" s="109" t="str">
        <f>CONCATENATE(BDPADRES[[#This Row],[NOMBRES MADRE]]," ",BDPADRES[[#This Row],[APELLIDOS MADRE]])</f>
        <v>MONICA MARTINEZ RICALDY</v>
      </c>
      <c r="I278" s="105"/>
      <c r="J278" s="93">
        <v>69050380</v>
      </c>
    </row>
    <row r="279" spans="1:10" x14ac:dyDescent="0.3">
      <c r="A279" s="61">
        <v>278</v>
      </c>
      <c r="B279" s="79" t="s">
        <v>2019</v>
      </c>
      <c r="C279" s="75" t="s">
        <v>2020</v>
      </c>
      <c r="D279" s="84">
        <v>4665100</v>
      </c>
      <c r="E279" s="92" t="s">
        <v>427</v>
      </c>
      <c r="F279" s="88" t="s">
        <v>2021</v>
      </c>
      <c r="G279" s="101">
        <v>6300963</v>
      </c>
      <c r="H279" s="109" t="str">
        <f>CONCATENATE(BDPADRES[[#This Row],[NOMBRES MADRE]]," ",BDPADRES[[#This Row],[APELLIDOS MADRE]])</f>
        <v>AGUSTINA HERRERA.</v>
      </c>
      <c r="I279" s="105"/>
      <c r="J279" s="95">
        <v>77318867</v>
      </c>
    </row>
    <row r="280" spans="1:10" x14ac:dyDescent="0.3">
      <c r="A280" s="61">
        <v>279</v>
      </c>
      <c r="B280" s="79" t="s">
        <v>2215</v>
      </c>
      <c r="C280" s="75" t="s">
        <v>2216</v>
      </c>
      <c r="D280" s="84">
        <v>5680519</v>
      </c>
      <c r="E280" s="92" t="s">
        <v>2217</v>
      </c>
      <c r="F280" s="88" t="s">
        <v>2218</v>
      </c>
      <c r="G280" s="101">
        <v>7735718</v>
      </c>
      <c r="H280" s="109" t="str">
        <f>CONCATENATE(BDPADRES[[#This Row],[NOMBRES MADRE]]," ",BDPADRES[[#This Row],[APELLIDOS MADRE]])</f>
        <v>PASCUALA CHOQUE BEJARANO</v>
      </c>
      <c r="I280" s="105"/>
      <c r="J280" s="93">
        <v>75150152</v>
      </c>
    </row>
    <row r="281" spans="1:10" x14ac:dyDescent="0.3">
      <c r="A281" s="61">
        <v>280</v>
      </c>
      <c r="B281" s="79" t="s">
        <v>1652</v>
      </c>
      <c r="C281" s="75" t="s">
        <v>1653</v>
      </c>
      <c r="D281" s="84"/>
      <c r="E281" s="92" t="s">
        <v>1654</v>
      </c>
      <c r="F281" s="88" t="s">
        <v>1655</v>
      </c>
      <c r="G281" s="101">
        <v>8204811</v>
      </c>
      <c r="H281" s="109" t="str">
        <f>CONCATENATE(BDPADRES[[#This Row],[NOMBRES MADRE]]," ",BDPADRES[[#This Row],[APELLIDOS MADRE]])</f>
        <v>ESPERANZA FIGUEROA ALVAREZ</v>
      </c>
      <c r="I281" s="105"/>
      <c r="J281" s="93">
        <v>76373210</v>
      </c>
    </row>
    <row r="282" spans="1:10" x14ac:dyDescent="0.3">
      <c r="A282" s="61">
        <v>281</v>
      </c>
      <c r="B282" s="79" t="s">
        <v>2320</v>
      </c>
      <c r="C282" s="75" t="s">
        <v>2321</v>
      </c>
      <c r="D282" s="84"/>
      <c r="E282" s="92" t="s">
        <v>502</v>
      </c>
      <c r="F282" s="88" t="s">
        <v>2322</v>
      </c>
      <c r="G282" s="101">
        <v>8257430</v>
      </c>
      <c r="H282" s="109" t="str">
        <f>CONCATENATE(BDPADRES[[#This Row],[NOMBRES MADRE]]," ",BDPADRES[[#This Row],[APELLIDOS MADRE]])</f>
        <v>SIMONA COPA SALAZAR</v>
      </c>
      <c r="I282" s="105"/>
      <c r="J282" s="93">
        <v>67756652</v>
      </c>
    </row>
    <row r="283" spans="1:10" x14ac:dyDescent="0.3">
      <c r="A283" s="61">
        <v>283</v>
      </c>
      <c r="B283" s="79" t="s">
        <v>2068</v>
      </c>
      <c r="C283" s="75" t="s">
        <v>2069</v>
      </c>
      <c r="D283" s="84"/>
      <c r="E283" s="92" t="s">
        <v>2070</v>
      </c>
      <c r="F283" s="88" t="s">
        <v>2071</v>
      </c>
      <c r="G283" s="101">
        <v>7460993</v>
      </c>
      <c r="H283" s="109" t="str">
        <f>CONCATENATE(BDPADRES[[#This Row],[NOMBRES MADRE]]," ",BDPADRES[[#This Row],[APELLIDOS MADRE]])</f>
        <v>SIRLEY CARABALLO OJEDA</v>
      </c>
      <c r="I283" s="105"/>
      <c r="J283" s="93">
        <v>67642031</v>
      </c>
    </row>
    <row r="284" spans="1:10" x14ac:dyDescent="0.3">
      <c r="A284" s="61">
        <v>284</v>
      </c>
      <c r="B284" s="79" t="s">
        <v>723</v>
      </c>
      <c r="C284" s="75" t="s">
        <v>2123</v>
      </c>
      <c r="D284" s="84">
        <v>5831716</v>
      </c>
      <c r="E284" s="92" t="s">
        <v>1369</v>
      </c>
      <c r="F284" s="88" t="s">
        <v>2124</v>
      </c>
      <c r="G284" s="101">
        <v>5852840</v>
      </c>
      <c r="H284" s="109" t="str">
        <f>CONCATENATE(BDPADRES[[#This Row],[NOMBRES MADRE]]," ",BDPADRES[[#This Row],[APELLIDOS MADRE]])</f>
        <v>ROXANA DURAN MICHEL</v>
      </c>
      <c r="I284" s="105"/>
      <c r="J284" s="93">
        <v>71619332</v>
      </c>
    </row>
    <row r="285" spans="1:10" x14ac:dyDescent="0.3">
      <c r="A285" s="61">
        <v>285</v>
      </c>
      <c r="B285" s="79" t="s">
        <v>1283</v>
      </c>
      <c r="C285" s="75" t="s">
        <v>2168</v>
      </c>
      <c r="D285" s="84">
        <v>5661277</v>
      </c>
      <c r="E285" s="92" t="s">
        <v>2169</v>
      </c>
      <c r="F285" s="88" t="s">
        <v>2170</v>
      </c>
      <c r="G285" s="101"/>
      <c r="H285" s="109" t="str">
        <f>CONCATENATE(BDPADRES[[#This Row],[NOMBRES MADRE]]," ",BDPADRES[[#This Row],[APELLIDOS MADRE]])</f>
        <v>JULITT  ARATEA RIOS</v>
      </c>
      <c r="I285" s="105">
        <v>71057733</v>
      </c>
      <c r="J285" s="93"/>
    </row>
    <row r="286" spans="1:10" x14ac:dyDescent="0.3">
      <c r="A286" s="61">
        <v>286</v>
      </c>
      <c r="B286" s="79" t="s">
        <v>1183</v>
      </c>
      <c r="C286" s="75" t="s">
        <v>1184</v>
      </c>
      <c r="D286" s="84">
        <v>7754718</v>
      </c>
      <c r="E286" s="92" t="s">
        <v>1185</v>
      </c>
      <c r="F286" s="88" t="s">
        <v>1186</v>
      </c>
      <c r="G286" s="101">
        <v>7654718</v>
      </c>
      <c r="H286" s="109" t="str">
        <f>CONCATENATE(BDPADRES[[#This Row],[NOMBRES MADRE]]," ",BDPADRES[[#This Row],[APELLIDOS MADRE]])</f>
        <v>ALVAIDA LARA GALVIZ</v>
      </c>
      <c r="I286" s="105">
        <v>78128726</v>
      </c>
      <c r="J286" s="93"/>
    </row>
    <row r="287" spans="1:10" x14ac:dyDescent="0.3">
      <c r="A287" s="61">
        <v>287</v>
      </c>
      <c r="B287" s="79" t="s">
        <v>843</v>
      </c>
      <c r="C287" s="75" t="s">
        <v>2284</v>
      </c>
      <c r="D287" s="84">
        <v>8906346</v>
      </c>
      <c r="E287" s="92" t="s">
        <v>427</v>
      </c>
      <c r="F287" s="88" t="s">
        <v>2285</v>
      </c>
      <c r="G287" s="101">
        <v>7715737</v>
      </c>
      <c r="H287" s="109" t="str">
        <f>CONCATENATE(BDPADRES[[#This Row],[NOMBRES MADRE]]," ",BDPADRES[[#This Row],[APELLIDOS MADRE]])</f>
        <v>AGUSTINA CRUZ MATURANO</v>
      </c>
      <c r="I287" s="105"/>
      <c r="J287" s="93">
        <v>71351719</v>
      </c>
    </row>
    <row r="288" spans="1:10" x14ac:dyDescent="0.3">
      <c r="A288" s="61">
        <v>288</v>
      </c>
      <c r="B288" s="79" t="s">
        <v>141</v>
      </c>
      <c r="C288" s="75" t="s">
        <v>2180</v>
      </c>
      <c r="D288" s="84"/>
      <c r="E288" s="92" t="s">
        <v>2181</v>
      </c>
      <c r="F288" s="88" t="s">
        <v>2182</v>
      </c>
      <c r="G288" s="101">
        <v>5840051</v>
      </c>
      <c r="H288" s="109" t="str">
        <f>CONCATENATE(BDPADRES[[#This Row],[NOMBRES MADRE]]," ",BDPADRES[[#This Row],[APELLIDOS MADRE]])</f>
        <v>ARMINDA VELA GARCIA</v>
      </c>
      <c r="I288" s="105"/>
      <c r="J288" s="93">
        <v>77071911</v>
      </c>
    </row>
    <row r="289" spans="1:10" x14ac:dyDescent="0.3">
      <c r="A289" s="61">
        <v>289</v>
      </c>
      <c r="B289" s="79" t="s">
        <v>723</v>
      </c>
      <c r="C289" s="75" t="s">
        <v>724</v>
      </c>
      <c r="D289" s="84"/>
      <c r="E289" s="92" t="s">
        <v>725</v>
      </c>
      <c r="F289" s="88" t="s">
        <v>726</v>
      </c>
      <c r="G289" s="101">
        <v>5347782</v>
      </c>
      <c r="H289" s="109" t="str">
        <f>CONCATENATE(BDPADRES[[#This Row],[NOMBRES MADRE]]," ",BDPADRES[[#This Row],[APELLIDOS MADRE]])</f>
        <v>ADALID ROSLIN VARGAS ACHO</v>
      </c>
      <c r="I289" s="105"/>
      <c r="J289" s="93">
        <v>75069016</v>
      </c>
    </row>
    <row r="290" spans="1:10" x14ac:dyDescent="0.3">
      <c r="A290" s="61">
        <v>291</v>
      </c>
      <c r="B290" s="79" t="s">
        <v>1643</v>
      </c>
      <c r="C290" s="75" t="s">
        <v>1644</v>
      </c>
      <c r="D290" s="84"/>
      <c r="E290" s="92" t="s">
        <v>1645</v>
      </c>
      <c r="F290" s="88" t="s">
        <v>586</v>
      </c>
      <c r="G290" s="101">
        <v>7709334</v>
      </c>
      <c r="H290" s="109" t="str">
        <f>CONCATENATE(BDPADRES[[#This Row],[NOMBRES MADRE]]," ",BDPADRES[[#This Row],[APELLIDOS MADRE]])</f>
        <v>NEISA ARICOMA CORCHADO</v>
      </c>
      <c r="I290" s="105"/>
      <c r="J290" s="93">
        <v>72116945</v>
      </c>
    </row>
    <row r="291" spans="1:10" x14ac:dyDescent="0.3">
      <c r="A291" s="61">
        <v>292</v>
      </c>
      <c r="B291" s="79" t="s">
        <v>2139</v>
      </c>
      <c r="C291" s="75" t="s">
        <v>2140</v>
      </c>
      <c r="D291" s="84">
        <v>9730195</v>
      </c>
      <c r="E291" s="92" t="s">
        <v>2141</v>
      </c>
      <c r="F291" s="88" t="s">
        <v>2142</v>
      </c>
      <c r="G291" s="101">
        <v>9730130</v>
      </c>
      <c r="H291" s="109" t="str">
        <f>CONCATENATE(BDPADRES[[#This Row],[NOMBRES MADRE]]," ",BDPADRES[[#This Row],[APELLIDOS MADRE]])</f>
        <v>LIDIA  LIMA VARGAS</v>
      </c>
      <c r="I291" s="105"/>
      <c r="J291" s="93">
        <v>62065495</v>
      </c>
    </row>
    <row r="292" spans="1:10" x14ac:dyDescent="0.3">
      <c r="A292" s="61">
        <v>293</v>
      </c>
      <c r="B292" s="79" t="s">
        <v>163</v>
      </c>
      <c r="C292" s="75" t="s">
        <v>2173</v>
      </c>
      <c r="D292" s="84">
        <v>7794958</v>
      </c>
      <c r="E292" s="92" t="s">
        <v>1671</v>
      </c>
      <c r="F292" s="88" t="s">
        <v>2174</v>
      </c>
      <c r="G292" s="101">
        <v>7817779</v>
      </c>
      <c r="H292" s="109" t="str">
        <f>CONCATENATE(BDPADRES[[#This Row],[NOMBRES MADRE]]," ",BDPADRES[[#This Row],[APELLIDOS MADRE]])</f>
        <v>CINTHIA ESPONOZA FARELL</v>
      </c>
      <c r="I292" s="105"/>
      <c r="J292" s="93">
        <v>65870400</v>
      </c>
    </row>
    <row r="293" spans="1:10" x14ac:dyDescent="0.3">
      <c r="A293" s="61">
        <v>294</v>
      </c>
      <c r="B293" s="79" t="s">
        <v>2229</v>
      </c>
      <c r="C293" s="75" t="s">
        <v>1523</v>
      </c>
      <c r="D293" s="84">
        <v>8083505</v>
      </c>
      <c r="E293" s="92" t="s">
        <v>2230</v>
      </c>
      <c r="F293" s="88" t="s">
        <v>2231</v>
      </c>
      <c r="G293" s="101">
        <v>4715744</v>
      </c>
      <c r="H293" s="109" t="str">
        <f>CONCATENATE(BDPADRES[[#This Row],[NOMBRES MADRE]]," ",BDPADRES[[#This Row],[APELLIDOS MADRE]])</f>
        <v>MARIA FATIMA HERRERA REVOLLO</v>
      </c>
      <c r="I293" s="105"/>
      <c r="J293" s="93">
        <v>73171245</v>
      </c>
    </row>
    <row r="294" spans="1:10" x14ac:dyDescent="0.3">
      <c r="A294" s="61">
        <v>296</v>
      </c>
      <c r="B294" s="79" t="s">
        <v>2315</v>
      </c>
      <c r="C294" s="75" t="s">
        <v>2316</v>
      </c>
      <c r="D294" s="84">
        <v>7681167</v>
      </c>
      <c r="E294" s="92" t="s">
        <v>2317</v>
      </c>
      <c r="F294" s="88" t="s">
        <v>2318</v>
      </c>
      <c r="G294" s="101">
        <v>6351735</v>
      </c>
      <c r="H294" s="109" t="str">
        <f>CONCATENATE(BDPADRES[[#This Row],[NOMBRES MADRE]]," ",BDPADRES[[#This Row],[APELLIDOS MADRE]])</f>
        <v>NEYDA YANETH HEREDIA RUBIO</v>
      </c>
      <c r="I294" s="105"/>
      <c r="J294" s="93">
        <v>70293352</v>
      </c>
    </row>
    <row r="295" spans="1:10" x14ac:dyDescent="0.3">
      <c r="A295" s="61">
        <v>297</v>
      </c>
      <c r="B295" s="79" t="s">
        <v>2452</v>
      </c>
      <c r="C295" s="75" t="s">
        <v>519</v>
      </c>
      <c r="D295" s="84">
        <v>5371742</v>
      </c>
      <c r="E295" s="92" t="s">
        <v>2453</v>
      </c>
      <c r="F295" s="88" t="s">
        <v>2454</v>
      </c>
      <c r="G295" s="101">
        <v>9736190</v>
      </c>
      <c r="H295" s="109" t="str">
        <f>CONCATENATE(BDPADRES[[#This Row],[NOMBRES MADRE]]," ",BDPADRES[[#This Row],[APELLIDOS MADRE]])</f>
        <v>LILY MANGUTA ARARIYO</v>
      </c>
      <c r="I295" s="105"/>
      <c r="J295" s="93">
        <v>67982280</v>
      </c>
    </row>
    <row r="296" spans="1:10" x14ac:dyDescent="0.3">
      <c r="A296" s="61">
        <v>298</v>
      </c>
      <c r="B296" s="79" t="s">
        <v>29</v>
      </c>
      <c r="C296" s="75" t="s">
        <v>2443</v>
      </c>
      <c r="D296" s="84">
        <v>4604397</v>
      </c>
      <c r="E296" s="92" t="s">
        <v>2444</v>
      </c>
      <c r="F296" s="88" t="s">
        <v>2445</v>
      </c>
      <c r="G296" s="101">
        <v>7804964</v>
      </c>
      <c r="H296" s="109" t="str">
        <f>CONCATENATE(BDPADRES[[#This Row],[NOMBRES MADRE]]," ",BDPADRES[[#This Row],[APELLIDOS MADRE]])</f>
        <v>YESMY ALBA FLORES</v>
      </c>
      <c r="I296" s="105"/>
      <c r="J296" s="93">
        <v>75391242</v>
      </c>
    </row>
    <row r="297" spans="1:10" x14ac:dyDescent="0.3">
      <c r="A297" s="61">
        <v>299</v>
      </c>
      <c r="B297" s="79" t="s">
        <v>2160</v>
      </c>
      <c r="C297" s="76" t="s">
        <v>2161</v>
      </c>
      <c r="D297" s="84">
        <v>5858680</v>
      </c>
      <c r="E297" s="92" t="s">
        <v>498</v>
      </c>
      <c r="F297" s="88" t="s">
        <v>2162</v>
      </c>
      <c r="G297" s="101">
        <v>5408205</v>
      </c>
      <c r="H297" s="109" t="str">
        <f>CONCATENATE(BDPADRES[[#This Row],[NOMBRES MADRE]]," ",BDPADRES[[#This Row],[APELLIDOS MADRE]])</f>
        <v>CARLA PATRICIA SILES NUÑEZ</v>
      </c>
      <c r="I297" s="105"/>
      <c r="J297" s="93">
        <v>72629321</v>
      </c>
    </row>
    <row r="298" spans="1:10" x14ac:dyDescent="0.3">
      <c r="A298" s="61">
        <v>300</v>
      </c>
      <c r="B298" s="79" t="s">
        <v>2042</v>
      </c>
      <c r="C298" s="75" t="s">
        <v>2043</v>
      </c>
      <c r="D298" s="84"/>
      <c r="E298" s="92" t="s">
        <v>964</v>
      </c>
      <c r="F298" s="88" t="s">
        <v>487</v>
      </c>
      <c r="G298" s="101">
        <v>7711114</v>
      </c>
      <c r="H298" s="109" t="str">
        <f>CONCATENATE(BDPADRES[[#This Row],[NOMBRES MADRE]]," ",BDPADRES[[#This Row],[APELLIDOS MADRE]])</f>
        <v>SAIDA QUENTA BARRIENTOS</v>
      </c>
      <c r="I298" s="105"/>
      <c r="J298" s="93">
        <v>74940224</v>
      </c>
    </row>
    <row r="299" spans="1:10" x14ac:dyDescent="0.3">
      <c r="A299" s="61">
        <v>301</v>
      </c>
      <c r="B299" s="79" t="s">
        <v>85</v>
      </c>
      <c r="C299" s="75" t="s">
        <v>2096</v>
      </c>
      <c r="D299" s="84">
        <v>4578065</v>
      </c>
      <c r="E299" s="92" t="s">
        <v>574</v>
      </c>
      <c r="F299" s="88" t="s">
        <v>564</v>
      </c>
      <c r="G299" s="101">
        <v>5648618</v>
      </c>
      <c r="H299" s="109" t="str">
        <f>CONCATENATE(BDPADRES[[#This Row],[NOMBRES MADRE]]," ",BDPADRES[[#This Row],[APELLIDOS MADRE]])</f>
        <v>VICTORIA BARRIGA VEDIA</v>
      </c>
      <c r="I299" s="105"/>
      <c r="J299" s="93">
        <v>73185053</v>
      </c>
    </row>
    <row r="300" spans="1:10" x14ac:dyDescent="0.3">
      <c r="A300" s="61">
        <v>302</v>
      </c>
      <c r="B300" s="79" t="s">
        <v>1087</v>
      </c>
      <c r="C300" s="75" t="s">
        <v>2081</v>
      </c>
      <c r="D300" s="84"/>
      <c r="E300" s="92" t="s">
        <v>2082</v>
      </c>
      <c r="F300" s="88" t="s">
        <v>182</v>
      </c>
      <c r="G300" s="101">
        <v>6333406</v>
      </c>
      <c r="H300" s="109" t="str">
        <f>CONCATENATE(BDPADRES[[#This Row],[NOMBRES MADRE]]," ",BDPADRES[[#This Row],[APELLIDOS MADRE]])</f>
        <v>JACKELIN TORREZ ROJAS</v>
      </c>
      <c r="I300" s="105"/>
      <c r="J300" s="93">
        <v>69170211</v>
      </c>
    </row>
    <row r="301" spans="1:10" x14ac:dyDescent="0.3">
      <c r="A301" s="61">
        <v>303</v>
      </c>
      <c r="B301" s="79" t="s">
        <v>522</v>
      </c>
      <c r="C301" s="75" t="s">
        <v>2265</v>
      </c>
      <c r="D301" s="84">
        <v>6274582</v>
      </c>
      <c r="E301" s="92" t="s">
        <v>2266</v>
      </c>
      <c r="F301" s="88" t="s">
        <v>1527</v>
      </c>
      <c r="G301" s="101">
        <v>7756110</v>
      </c>
      <c r="H301" s="109" t="str">
        <f>CONCATENATE(BDPADRES[[#This Row],[NOMBRES MADRE]]," ",BDPADRES[[#This Row],[APELLIDOS MADRE]])</f>
        <v>DOLLY SALAZAR</v>
      </c>
      <c r="I301" s="105"/>
      <c r="J301" s="93">
        <v>67721236</v>
      </c>
    </row>
    <row r="302" spans="1:10" x14ac:dyDescent="0.3">
      <c r="A302" s="61">
        <v>304</v>
      </c>
      <c r="B302" s="79" t="s">
        <v>1093</v>
      </c>
      <c r="C302" s="75" t="s">
        <v>2024</v>
      </c>
      <c r="D302" s="84">
        <v>5396472</v>
      </c>
      <c r="E302" s="92" t="s">
        <v>2025</v>
      </c>
      <c r="F302" s="88" t="s">
        <v>2026</v>
      </c>
      <c r="G302" s="101">
        <v>3904265</v>
      </c>
      <c r="H302" s="109" t="str">
        <f>CONCATENATE(BDPADRES[[#This Row],[NOMBRES MADRE]]," ",BDPADRES[[#This Row],[APELLIDOS MADRE]])</f>
        <v>SUSANA PRADO ASCARRAGA</v>
      </c>
      <c r="I302" s="105"/>
      <c r="J302" s="93">
        <v>60855588</v>
      </c>
    </row>
    <row r="303" spans="1:10" x14ac:dyDescent="0.3">
      <c r="A303" s="61">
        <v>306</v>
      </c>
      <c r="B303" s="79" t="s">
        <v>1577</v>
      </c>
      <c r="C303" s="75" t="s">
        <v>1578</v>
      </c>
      <c r="D303" s="84"/>
      <c r="E303" s="92" t="s">
        <v>128</v>
      </c>
      <c r="F303" s="88" t="s">
        <v>1579</v>
      </c>
      <c r="G303" s="101">
        <v>6580002</v>
      </c>
      <c r="H303" s="109" t="str">
        <f>CONCATENATE(BDPADRES[[#This Row],[NOMBRES MADRE]]," ",BDPADRES[[#This Row],[APELLIDOS MADRE]])</f>
        <v>REBECA COLQUE ROJAS</v>
      </c>
      <c r="I303" s="105"/>
      <c r="J303" s="93">
        <v>73186313</v>
      </c>
    </row>
    <row r="304" spans="1:10" x14ac:dyDescent="0.3">
      <c r="A304" s="61">
        <v>307</v>
      </c>
      <c r="B304" s="79" t="s">
        <v>2220</v>
      </c>
      <c r="C304" s="75" t="s">
        <v>2221</v>
      </c>
      <c r="D304" s="84"/>
      <c r="E304" s="92" t="s">
        <v>2128</v>
      </c>
      <c r="F304" s="88" t="s">
        <v>825</v>
      </c>
      <c r="G304" s="101">
        <v>6355433</v>
      </c>
      <c r="H304" s="109" t="str">
        <f>CONCATENATE(BDPADRES[[#This Row],[NOMBRES MADRE]]," ",BDPADRES[[#This Row],[APELLIDOS MADRE]])</f>
        <v>MARITZA VALLEJOS AGUILERA</v>
      </c>
      <c r="I304" s="105"/>
      <c r="J304" s="93">
        <v>72633880</v>
      </c>
    </row>
    <row r="305" spans="1:10" x14ac:dyDescent="0.3">
      <c r="A305" s="61">
        <v>308</v>
      </c>
      <c r="B305" s="79" t="s">
        <v>2105</v>
      </c>
      <c r="C305" s="75" t="s">
        <v>2106</v>
      </c>
      <c r="D305" s="84"/>
      <c r="E305" s="92" t="s">
        <v>181</v>
      </c>
      <c r="F305" s="88" t="s">
        <v>2107</v>
      </c>
      <c r="G305" s="101">
        <v>4624690</v>
      </c>
      <c r="H305" s="109" t="str">
        <f>CONCATENATE(BDPADRES[[#This Row],[NOMBRES MADRE]]," ",BDPADRES[[#This Row],[APELLIDOS MADRE]])</f>
        <v>YOLANDA ALARCON GUZMAN</v>
      </c>
      <c r="I305" s="105"/>
      <c r="J305" s="93">
        <v>70902127</v>
      </c>
    </row>
    <row r="306" spans="1:10" x14ac:dyDescent="0.3">
      <c r="A306" s="61">
        <v>309</v>
      </c>
      <c r="B306" s="79" t="s">
        <v>573</v>
      </c>
      <c r="C306" s="75" t="s">
        <v>967</v>
      </c>
      <c r="D306" s="84">
        <v>5130919</v>
      </c>
      <c r="E306" s="92" t="s">
        <v>968</v>
      </c>
      <c r="F306" s="88" t="s">
        <v>969</v>
      </c>
      <c r="G306" s="101">
        <v>5862196</v>
      </c>
      <c r="H306" s="109" t="str">
        <f>CONCATENATE(BDPADRES[[#This Row],[NOMBRES MADRE]]," ",BDPADRES[[#This Row],[APELLIDOS MADRE]])</f>
        <v>ROSA  ESPINOZA LLANOS</v>
      </c>
      <c r="I306" s="105"/>
      <c r="J306" s="93">
        <v>75379285</v>
      </c>
    </row>
    <row r="307" spans="1:10" x14ac:dyDescent="0.3">
      <c r="A307" s="61">
        <v>310</v>
      </c>
      <c r="B307" s="79" t="s">
        <v>2281</v>
      </c>
      <c r="C307" s="75" t="s">
        <v>1460</v>
      </c>
      <c r="D307" s="84">
        <v>8096043</v>
      </c>
      <c r="E307" s="92" t="s">
        <v>684</v>
      </c>
      <c r="F307" s="88" t="s">
        <v>2282</v>
      </c>
      <c r="G307" s="101">
        <v>7857415</v>
      </c>
      <c r="H307" s="109" t="str">
        <f>CONCATENATE(BDPADRES[[#This Row],[NOMBRES MADRE]]," ",BDPADRES[[#This Row],[APELLIDOS MADRE]])</f>
        <v>MARTINA VILLCA FLORES</v>
      </c>
      <c r="I307" s="105">
        <v>67820956</v>
      </c>
      <c r="J307" s="93"/>
    </row>
    <row r="308" spans="1:10" x14ac:dyDescent="0.3">
      <c r="A308" s="61">
        <v>311</v>
      </c>
      <c r="B308" s="79" t="s">
        <v>2176</v>
      </c>
      <c r="C308" s="75" t="s">
        <v>2177</v>
      </c>
      <c r="D308" s="84">
        <v>6360808</v>
      </c>
      <c r="E308" s="92" t="s">
        <v>2178</v>
      </c>
      <c r="F308" s="88" t="s">
        <v>1014</v>
      </c>
      <c r="G308" s="101">
        <v>6295578</v>
      </c>
      <c r="H308" s="109" t="str">
        <f>CONCATENATE(BDPADRES[[#This Row],[NOMBRES MADRE]]," ",BDPADRES[[#This Row],[APELLIDOS MADRE]])</f>
        <v>JUANITA GONZALES BANEGAS</v>
      </c>
      <c r="I308" s="105"/>
      <c r="J308" s="93">
        <v>63501639</v>
      </c>
    </row>
    <row r="309" spans="1:10" x14ac:dyDescent="0.3">
      <c r="A309" s="61">
        <v>312</v>
      </c>
      <c r="B309" s="79" t="s">
        <v>2187</v>
      </c>
      <c r="C309" s="75" t="s">
        <v>2188</v>
      </c>
      <c r="D309" s="84"/>
      <c r="E309" s="92" t="s">
        <v>2189</v>
      </c>
      <c r="F309" s="88" t="s">
        <v>2190</v>
      </c>
      <c r="G309" s="101">
        <v>6570861</v>
      </c>
      <c r="H309" s="109" t="str">
        <f>CONCATENATE(BDPADRES[[#This Row],[NOMBRES MADRE]]," ",BDPADRES[[#This Row],[APELLIDOS MADRE]])</f>
        <v>MARCIANA APAZA FLORES</v>
      </c>
      <c r="I309" s="105"/>
      <c r="J309" s="93">
        <v>63428392</v>
      </c>
    </row>
    <row r="310" spans="1:10" x14ac:dyDescent="0.3">
      <c r="A310" s="61">
        <v>313</v>
      </c>
      <c r="B310" s="79" t="s">
        <v>163</v>
      </c>
      <c r="C310" s="75" t="s">
        <v>785</v>
      </c>
      <c r="D310" s="84">
        <v>8066505</v>
      </c>
      <c r="E310" s="92" t="s">
        <v>786</v>
      </c>
      <c r="F310" s="88" t="s">
        <v>787</v>
      </c>
      <c r="G310" s="101">
        <v>12951427</v>
      </c>
      <c r="H310" s="109" t="str">
        <f>CONCATENATE(BDPADRES[[#This Row],[NOMBRES MADRE]]," ",BDPADRES[[#This Row],[APELLIDOS MADRE]])</f>
        <v>YULI MIRANDA PADILLA</v>
      </c>
      <c r="I310" s="105"/>
      <c r="J310" s="93">
        <v>6780243</v>
      </c>
    </row>
    <row r="311" spans="1:10" x14ac:dyDescent="0.3">
      <c r="A311" s="61">
        <v>314</v>
      </c>
      <c r="B311" s="79" t="s">
        <v>2356</v>
      </c>
      <c r="C311" s="75" t="s">
        <v>963</v>
      </c>
      <c r="D311" s="84">
        <v>5408465</v>
      </c>
      <c r="E311" s="92" t="s">
        <v>2357</v>
      </c>
      <c r="F311" s="88" t="s">
        <v>2358</v>
      </c>
      <c r="G311" s="101">
        <v>8927716</v>
      </c>
      <c r="H311" s="109" t="str">
        <f>CONCATENATE(BDPADRES[[#This Row],[NOMBRES MADRE]]," ",BDPADRES[[#This Row],[APELLIDOS MADRE]])</f>
        <v>LURDES GUZMAN LEDEZMA</v>
      </c>
      <c r="I311" s="105"/>
      <c r="J311" s="93">
        <v>70888362</v>
      </c>
    </row>
    <row r="312" spans="1:10" x14ac:dyDescent="0.3">
      <c r="A312" s="61">
        <v>315</v>
      </c>
      <c r="B312" s="79" t="s">
        <v>443</v>
      </c>
      <c r="C312" s="75" t="s">
        <v>444</v>
      </c>
      <c r="D312" s="84">
        <v>7495902</v>
      </c>
      <c r="E312" s="92" t="s">
        <v>445</v>
      </c>
      <c r="F312" s="88" t="s">
        <v>446</v>
      </c>
      <c r="G312" s="101">
        <v>8901963</v>
      </c>
      <c r="H312" s="109" t="str">
        <f>CONCATENATE(BDPADRES[[#This Row],[NOMBRES MADRE]]," ",BDPADRES[[#This Row],[APELLIDOS MADRE]])</f>
        <v>BEATRIZ ESTRADA BOCANEGRA</v>
      </c>
      <c r="I312" s="105"/>
      <c r="J312" s="93">
        <v>67871955</v>
      </c>
    </row>
    <row r="313" spans="1:10" x14ac:dyDescent="0.3">
      <c r="A313" s="61">
        <v>316</v>
      </c>
      <c r="B313" s="79" t="s">
        <v>167</v>
      </c>
      <c r="C313" s="75" t="s">
        <v>2197</v>
      </c>
      <c r="D313" s="84"/>
      <c r="E313" s="92" t="s">
        <v>2198</v>
      </c>
      <c r="F313" s="88" t="s">
        <v>2199</v>
      </c>
      <c r="G313" s="101">
        <v>9748256</v>
      </c>
      <c r="H313" s="109" t="str">
        <f>CONCATENATE(BDPADRES[[#This Row],[NOMBRES MADRE]]," ",BDPADRES[[#This Row],[APELLIDOS MADRE]])</f>
        <v>HILARIA CRUZ ROMERO</v>
      </c>
      <c r="I313" s="105"/>
      <c r="J313" s="93">
        <v>63443823</v>
      </c>
    </row>
    <row r="314" spans="1:10" x14ac:dyDescent="0.3">
      <c r="A314" s="61">
        <v>318</v>
      </c>
      <c r="B314" s="79" t="s">
        <v>1441</v>
      </c>
      <c r="C314" s="75" t="s">
        <v>2223</v>
      </c>
      <c r="D314" s="84">
        <v>1339767</v>
      </c>
      <c r="E314" s="92" t="s">
        <v>2224</v>
      </c>
      <c r="F314" s="88" t="s">
        <v>2225</v>
      </c>
      <c r="G314" s="101"/>
      <c r="H314" s="109" t="str">
        <f>CONCATENATE(BDPADRES[[#This Row],[NOMBRES MADRE]]," ",BDPADRES[[#This Row],[APELLIDOS MADRE]])</f>
        <v>DIONICIA VASQUEZ HIDALGO</v>
      </c>
      <c r="I314" s="105">
        <v>76089038</v>
      </c>
      <c r="J314" s="93"/>
    </row>
    <row r="315" spans="1:10" x14ac:dyDescent="0.3">
      <c r="A315" s="61">
        <v>319</v>
      </c>
      <c r="B315" s="79" t="s">
        <v>159</v>
      </c>
      <c r="C315" s="75" t="s">
        <v>1063</v>
      </c>
      <c r="D315" s="84">
        <v>6395916</v>
      </c>
      <c r="E315" s="92" t="s">
        <v>1064</v>
      </c>
      <c r="F315" s="88" t="s">
        <v>1065</v>
      </c>
      <c r="G315" s="101">
        <v>7681143</v>
      </c>
      <c r="H315" s="109" t="str">
        <f>CONCATENATE(BDPADRES[[#This Row],[NOMBRES MADRE]]," ",BDPADRES[[#This Row],[APELLIDOS MADRE]])</f>
        <v>LUCY   FAREL GUEVARA</v>
      </c>
      <c r="I315" s="105"/>
      <c r="J315" s="93">
        <v>70938669</v>
      </c>
    </row>
    <row r="316" spans="1:10" x14ac:dyDescent="0.3">
      <c r="A316" s="61">
        <v>320</v>
      </c>
      <c r="B316" s="79" t="s">
        <v>2193</v>
      </c>
      <c r="C316" s="75" t="s">
        <v>2194</v>
      </c>
      <c r="D316" s="84">
        <v>5857843</v>
      </c>
      <c r="E316" s="92" t="s">
        <v>285</v>
      </c>
      <c r="F316" s="88" t="s">
        <v>2195</v>
      </c>
      <c r="G316" s="101">
        <v>4666789</v>
      </c>
      <c r="H316" s="109" t="str">
        <f>CONCATENATE(BDPADRES[[#This Row],[NOMBRES MADRE]]," ",BDPADRES[[#This Row],[APELLIDOS MADRE]])</f>
        <v>JUANA SORIA MORON</v>
      </c>
      <c r="I316" s="105"/>
      <c r="J316" s="93">
        <v>7664721</v>
      </c>
    </row>
    <row r="317" spans="1:10" x14ac:dyDescent="0.3">
      <c r="A317" s="61">
        <v>321</v>
      </c>
      <c r="B317" s="79" t="s">
        <v>720</v>
      </c>
      <c r="C317" s="75" t="s">
        <v>2240</v>
      </c>
      <c r="D317" s="84">
        <v>7832488</v>
      </c>
      <c r="E317" s="92" t="s">
        <v>2238</v>
      </c>
      <c r="F317" s="88" t="s">
        <v>2241</v>
      </c>
      <c r="G317" s="101">
        <v>7832488</v>
      </c>
      <c r="H317" s="109" t="str">
        <f>CONCATENATE(BDPADRES[[#This Row],[NOMBRES MADRE]]," ",BDPADRES[[#This Row],[APELLIDOS MADRE]])</f>
        <v>MARIA VILLARPANDO AVILA</v>
      </c>
      <c r="I317" s="105">
        <v>78566516</v>
      </c>
      <c r="J317" s="93"/>
    </row>
    <row r="318" spans="1:10" x14ac:dyDescent="0.3">
      <c r="A318" s="61">
        <v>322</v>
      </c>
      <c r="B318" s="79" t="s">
        <v>2252</v>
      </c>
      <c r="C318" s="75" t="s">
        <v>2253</v>
      </c>
      <c r="D318" s="84"/>
      <c r="E318" s="92" t="s">
        <v>232</v>
      </c>
      <c r="F318" s="88" t="s">
        <v>2254</v>
      </c>
      <c r="G318" s="101">
        <v>7793980</v>
      </c>
      <c r="H318" s="109" t="str">
        <f>CONCATENATE(BDPADRES[[#This Row],[NOMBRES MADRE]]," ",BDPADRES[[#This Row],[APELLIDOS MADRE]])</f>
        <v>REINA SERRUDO GUERRA</v>
      </c>
      <c r="I318" s="105"/>
      <c r="J318" s="93">
        <v>78402891</v>
      </c>
    </row>
    <row r="319" spans="1:10" x14ac:dyDescent="0.3">
      <c r="A319" s="61">
        <v>324</v>
      </c>
      <c r="B319" s="79" t="s">
        <v>1394</v>
      </c>
      <c r="C319" s="75" t="s">
        <v>1395</v>
      </c>
      <c r="D319" s="84">
        <v>3649720</v>
      </c>
      <c r="E319" s="92" t="s">
        <v>1396</v>
      </c>
      <c r="F319" s="88" t="s">
        <v>1397</v>
      </c>
      <c r="G319" s="101">
        <v>5899802</v>
      </c>
      <c r="H319" s="109" t="str">
        <f>CONCATENATE(BDPADRES[[#This Row],[NOMBRES MADRE]]," ",BDPADRES[[#This Row],[APELLIDOS MADRE]])</f>
        <v>MILDREM ABIGAIL ANCASI ESPINOZA</v>
      </c>
      <c r="I319" s="105"/>
      <c r="J319" s="93">
        <v>67894111</v>
      </c>
    </row>
    <row r="320" spans="1:10" x14ac:dyDescent="0.3">
      <c r="A320" s="61">
        <v>325</v>
      </c>
      <c r="B320" s="79" t="s">
        <v>1213</v>
      </c>
      <c r="C320" s="75" t="s">
        <v>1214</v>
      </c>
      <c r="D320" s="84"/>
      <c r="E320" s="92" t="s">
        <v>209</v>
      </c>
      <c r="F320" s="88" t="s">
        <v>1215</v>
      </c>
      <c r="G320" s="101">
        <v>6246252</v>
      </c>
      <c r="H320" s="109" t="str">
        <f>CONCATENATE(BDPADRES[[#This Row],[NOMBRES MADRE]]," ",BDPADRES[[#This Row],[APELLIDOS MADRE]])</f>
        <v>VERONICA CHUMACERO MAMANI</v>
      </c>
      <c r="I320" s="105"/>
      <c r="J320" s="93">
        <v>75397996</v>
      </c>
    </row>
    <row r="321" spans="1:10" x14ac:dyDescent="0.3">
      <c r="A321" s="61">
        <v>325</v>
      </c>
      <c r="B321" s="79" t="s">
        <v>1221</v>
      </c>
      <c r="C321" s="75" t="s">
        <v>1222</v>
      </c>
      <c r="D321" s="84"/>
      <c r="E321" s="92" t="s">
        <v>457</v>
      </c>
      <c r="F321" s="88" t="s">
        <v>1215</v>
      </c>
      <c r="G321" s="101">
        <v>6329472</v>
      </c>
      <c r="H321" s="109" t="str">
        <f>CONCATENATE(BDPADRES[[#This Row],[NOMBRES MADRE]]," ",BDPADRES[[#This Row],[APELLIDOS MADRE]])</f>
        <v>ELVA CHUMACERO MAMANI</v>
      </c>
      <c r="I321" s="105"/>
      <c r="J321" s="93">
        <v>78098926</v>
      </c>
    </row>
    <row r="322" spans="1:10" x14ac:dyDescent="0.3">
      <c r="A322" s="61">
        <v>326</v>
      </c>
      <c r="B322" s="79" t="s">
        <v>1332</v>
      </c>
      <c r="C322" s="75" t="s">
        <v>2045</v>
      </c>
      <c r="D322" s="84"/>
      <c r="E322" s="94" t="s">
        <v>3096</v>
      </c>
      <c r="F322" s="88" t="s">
        <v>2046</v>
      </c>
      <c r="G322" s="101">
        <v>5869367</v>
      </c>
      <c r="H322" s="109" t="str">
        <f>CONCATENATE(BDPADRES[[#This Row],[NOMBRES MADRE]]," ",BDPADRES[[#This Row],[APELLIDOS MADRE]])</f>
        <v>ANGELICA GUDELIA SANDOVAL LOPEZ</v>
      </c>
      <c r="I322" s="105"/>
      <c r="J322" s="93">
        <v>76644880</v>
      </c>
    </row>
    <row r="323" spans="1:10" x14ac:dyDescent="0.3">
      <c r="A323" s="61">
        <v>327</v>
      </c>
      <c r="B323" s="79" t="s">
        <v>2456</v>
      </c>
      <c r="C323" s="75" t="s">
        <v>2457</v>
      </c>
      <c r="D323" s="84">
        <v>4117019</v>
      </c>
      <c r="E323" s="92" t="s">
        <v>2458</v>
      </c>
      <c r="F323" s="88" t="s">
        <v>1210</v>
      </c>
      <c r="G323" s="101">
        <v>7705887</v>
      </c>
      <c r="H323" s="109" t="str">
        <f>CONCATENATE(BDPADRES[[#This Row],[NOMBRES MADRE]]," ",BDPADRES[[#This Row],[APELLIDOS MADRE]])</f>
        <v>JAQUELIN ROMAN MENCARI</v>
      </c>
      <c r="I323" s="105"/>
      <c r="J323" s="93">
        <v>74186343</v>
      </c>
    </row>
    <row r="324" spans="1:10" x14ac:dyDescent="0.3">
      <c r="A324" s="61">
        <v>328</v>
      </c>
      <c r="B324" s="79" t="s">
        <v>2048</v>
      </c>
      <c r="C324" s="75" t="s">
        <v>2049</v>
      </c>
      <c r="D324" s="84">
        <v>3939619</v>
      </c>
      <c r="E324" s="92" t="s">
        <v>2050</v>
      </c>
      <c r="F324" s="88" t="s">
        <v>2051</v>
      </c>
      <c r="G324" s="101">
        <v>3939620</v>
      </c>
      <c r="H324" s="109" t="str">
        <f>CONCATENATE(BDPADRES[[#This Row],[NOMBRES MADRE]]," ",BDPADRES[[#This Row],[APELLIDOS MADRE]])</f>
        <v>PEREGRINA VARGAS CUCHALLO</v>
      </c>
      <c r="I324" s="105"/>
      <c r="J324" s="93">
        <v>71339114</v>
      </c>
    </row>
    <row r="325" spans="1:10" x14ac:dyDescent="0.3">
      <c r="A325" s="61">
        <v>329</v>
      </c>
      <c r="B325" s="79" t="s">
        <v>2290</v>
      </c>
      <c r="C325" s="75" t="s">
        <v>2291</v>
      </c>
      <c r="D325" s="84">
        <v>4702726</v>
      </c>
      <c r="E325" s="92" t="s">
        <v>599</v>
      </c>
      <c r="F325" s="88" t="s">
        <v>2292</v>
      </c>
      <c r="G325" s="101">
        <v>6291808</v>
      </c>
      <c r="H325" s="109" t="str">
        <f>CONCATENATE(BDPADRES[[#This Row],[NOMBRES MADRE]]," ",BDPADRES[[#This Row],[APELLIDOS MADRE]])</f>
        <v>NORMA ARANCIBIA FIGUEROA</v>
      </c>
      <c r="I325" s="105"/>
      <c r="J325" s="93">
        <v>72665415</v>
      </c>
    </row>
    <row r="326" spans="1:10" x14ac:dyDescent="0.3">
      <c r="A326" s="61">
        <v>331</v>
      </c>
      <c r="B326" s="79" t="s">
        <v>2078</v>
      </c>
      <c r="C326" s="75" t="s">
        <v>2079</v>
      </c>
      <c r="D326" s="84">
        <v>1552079</v>
      </c>
      <c r="E326" s="92" t="s">
        <v>646</v>
      </c>
      <c r="F326" s="88" t="s">
        <v>2080</v>
      </c>
      <c r="G326" s="101">
        <v>8259867</v>
      </c>
      <c r="H326" s="109" t="str">
        <f>CONCATENATE(BDPADRES[[#This Row],[NOMBRES MADRE]]," ",BDPADRES[[#This Row],[APELLIDOS MADRE]])</f>
        <v>LAURA RIVERA ROSSEL</v>
      </c>
      <c r="I326" s="105"/>
      <c r="J326" s="93">
        <v>70925082</v>
      </c>
    </row>
    <row r="327" spans="1:10" x14ac:dyDescent="0.3">
      <c r="A327" s="61">
        <v>332</v>
      </c>
      <c r="B327" s="79" t="s">
        <v>2430</v>
      </c>
      <c r="C327" s="75" t="s">
        <v>2431</v>
      </c>
      <c r="D327" s="84">
        <v>3898533</v>
      </c>
      <c r="E327" s="92" t="s">
        <v>2432</v>
      </c>
      <c r="F327" s="88" t="s">
        <v>2433</v>
      </c>
      <c r="G327" s="101">
        <v>4626027</v>
      </c>
      <c r="H327" s="109" t="str">
        <f>CONCATENATE(BDPADRES[[#This Row],[NOMBRES MADRE]]," ",BDPADRES[[#This Row],[APELLIDOS MADRE]])</f>
        <v>INGRID SAAVEDRA MANO</v>
      </c>
      <c r="I327" s="105"/>
      <c r="J327" s="93">
        <v>75301135</v>
      </c>
    </row>
    <row r="328" spans="1:10" x14ac:dyDescent="0.3">
      <c r="A328" s="61">
        <v>333</v>
      </c>
      <c r="B328" s="79" t="s">
        <v>2114</v>
      </c>
      <c r="C328" s="75" t="s">
        <v>2115</v>
      </c>
      <c r="D328" s="84">
        <v>4396199</v>
      </c>
      <c r="E328" s="92" t="s">
        <v>2116</v>
      </c>
      <c r="F328" s="88" t="s">
        <v>2117</v>
      </c>
      <c r="G328" s="101"/>
      <c r="H328" s="109" t="str">
        <f>CONCATENATE(BDPADRES[[#This Row],[NOMBRES MADRE]]," ",BDPADRES[[#This Row],[APELLIDOS MADRE]])</f>
        <v>DOMINGA CABRERA ORTIZ</v>
      </c>
      <c r="I328" s="106">
        <v>75324008</v>
      </c>
      <c r="J328" s="93"/>
    </row>
    <row r="329" spans="1:10" x14ac:dyDescent="0.3">
      <c r="A329" s="61">
        <v>334</v>
      </c>
      <c r="B329" s="79" t="s">
        <v>208</v>
      </c>
      <c r="C329" s="75" t="s">
        <v>507</v>
      </c>
      <c r="D329" s="84">
        <v>13485512</v>
      </c>
      <c r="E329" s="92" t="s">
        <v>508</v>
      </c>
      <c r="F329" s="88" t="s">
        <v>509</v>
      </c>
      <c r="G329" s="101">
        <v>6274583</v>
      </c>
      <c r="H329" s="109" t="str">
        <f>CONCATENATE(BDPADRES[[#This Row],[NOMBRES MADRE]]," ",BDPADRES[[#This Row],[APELLIDOS MADRE]])</f>
        <v>MARY LUZ CHAVEZ RODA</v>
      </c>
      <c r="I329" s="105"/>
      <c r="J329" s="93">
        <v>63487423</v>
      </c>
    </row>
    <row r="330" spans="1:10" x14ac:dyDescent="0.3">
      <c r="A330" s="61">
        <v>335</v>
      </c>
      <c r="B330" s="79" t="s">
        <v>319</v>
      </c>
      <c r="C330" s="75" t="s">
        <v>1448</v>
      </c>
      <c r="D330" s="84">
        <v>5342436</v>
      </c>
      <c r="E330" s="92" t="s">
        <v>1450</v>
      </c>
      <c r="F330" s="88" t="s">
        <v>1449</v>
      </c>
      <c r="G330" s="101">
        <v>6235179</v>
      </c>
      <c r="H330" s="109" t="str">
        <f>CONCATENATE(BDPADRES[[#This Row],[NOMBRES MADRE]]," ",BDPADRES[[#This Row],[APELLIDOS MADRE]])</f>
        <v>GABRIELA BANUS ESTRADA</v>
      </c>
      <c r="I330" s="105"/>
      <c r="J330" s="93">
        <v>72641414</v>
      </c>
    </row>
    <row r="331" spans="1:10" x14ac:dyDescent="0.3">
      <c r="A331" s="61">
        <v>336</v>
      </c>
      <c r="B331" s="79" t="s">
        <v>669</v>
      </c>
      <c r="C331" s="75" t="s">
        <v>2029</v>
      </c>
      <c r="D331" s="84"/>
      <c r="E331" s="92" t="s">
        <v>2030</v>
      </c>
      <c r="F331" s="88" t="s">
        <v>2031</v>
      </c>
      <c r="G331" s="101">
        <v>7498440</v>
      </c>
      <c r="H331" s="109" t="str">
        <f>CONCATENATE(BDPADRES[[#This Row],[NOMBRES MADRE]]," ",BDPADRES[[#This Row],[APELLIDOS MADRE]])</f>
        <v>ERNESTINA PADILLA GAMBOA</v>
      </c>
      <c r="I331" s="105"/>
      <c r="J331" s="93">
        <v>73693906</v>
      </c>
    </row>
    <row r="332" spans="1:10" x14ac:dyDescent="0.3">
      <c r="A332" s="61">
        <v>337</v>
      </c>
      <c r="B332" s="79" t="s">
        <v>839</v>
      </c>
      <c r="C332" s="75" t="s">
        <v>532</v>
      </c>
      <c r="D332" s="84">
        <v>6270398</v>
      </c>
      <c r="E332" s="92" t="s">
        <v>1084</v>
      </c>
      <c r="F332" s="88" t="s">
        <v>2418</v>
      </c>
      <c r="G332" s="101">
        <v>7826403</v>
      </c>
      <c r="H332" s="109" t="str">
        <f>CONCATENATE(BDPADRES[[#This Row],[NOMBRES MADRE]]," ",BDPADRES[[#This Row],[APELLIDOS MADRE]])</f>
        <v>RAQUEL MARTINEZ PADILLA</v>
      </c>
      <c r="I332" s="105"/>
      <c r="J332" s="93">
        <v>67831313</v>
      </c>
    </row>
    <row r="333" spans="1:10" x14ac:dyDescent="0.3">
      <c r="A333" s="61">
        <v>338</v>
      </c>
      <c r="B333" s="79" t="s">
        <v>2992</v>
      </c>
      <c r="C333" s="75" t="s">
        <v>2993</v>
      </c>
      <c r="D333" s="84">
        <v>9630741</v>
      </c>
      <c r="E333" s="92" t="s">
        <v>285</v>
      </c>
      <c r="F333" s="88" t="s">
        <v>1242</v>
      </c>
      <c r="G333" s="101">
        <v>5865444</v>
      </c>
      <c r="H333" s="109" t="str">
        <f>CONCATENATE(BDPADRES[[#This Row],[NOMBRES MADRE]]," ",BDPADRES[[#This Row],[APELLIDOS MADRE]])</f>
        <v>JUANA BALDERRAMA ROQUE</v>
      </c>
      <c r="I333" s="105"/>
      <c r="J333" s="93">
        <v>67863825</v>
      </c>
    </row>
    <row r="334" spans="1:10" x14ac:dyDescent="0.3">
      <c r="A334" s="61">
        <v>339</v>
      </c>
      <c r="B334" s="79" t="s">
        <v>2324</v>
      </c>
      <c r="C334" s="75" t="s">
        <v>1267</v>
      </c>
      <c r="D334" s="84">
        <v>5385220</v>
      </c>
      <c r="E334" s="92" t="s">
        <v>2325</v>
      </c>
      <c r="F334" s="88" t="s">
        <v>2326</v>
      </c>
      <c r="G334" s="101">
        <v>4094282</v>
      </c>
      <c r="H334" s="109" t="str">
        <f>CONCATENATE(BDPADRES[[#This Row],[NOMBRES MADRE]]," ",BDPADRES[[#This Row],[APELLIDOS MADRE]])</f>
        <v>CELIDA CESPEDES CARRIAZO</v>
      </c>
      <c r="I334" s="105"/>
      <c r="J334" s="93">
        <v>77333383</v>
      </c>
    </row>
    <row r="335" spans="1:10" x14ac:dyDescent="0.3">
      <c r="A335" s="61">
        <v>340</v>
      </c>
      <c r="B335" s="79" t="s">
        <v>323</v>
      </c>
      <c r="C335" s="75" t="s">
        <v>1586</v>
      </c>
      <c r="D335" s="84">
        <v>5366247</v>
      </c>
      <c r="E335" s="92" t="s">
        <v>1227</v>
      </c>
      <c r="F335" s="88" t="s">
        <v>2227</v>
      </c>
      <c r="G335" s="101">
        <v>12386179</v>
      </c>
      <c r="H335" s="109" t="str">
        <f>CONCATENATE(BDPADRES[[#This Row],[NOMBRES MADRE]]," ",BDPADRES[[#This Row],[APELLIDOS MADRE]])</f>
        <v>SILVIA GARCIA RODAS</v>
      </c>
      <c r="I335" s="105"/>
      <c r="J335" s="93">
        <v>64472659</v>
      </c>
    </row>
    <row r="336" spans="1:10" x14ac:dyDescent="0.3">
      <c r="A336" s="61">
        <v>341</v>
      </c>
      <c r="B336" s="79" t="s">
        <v>746</v>
      </c>
      <c r="C336" s="75" t="s">
        <v>747</v>
      </c>
      <c r="D336" s="84">
        <v>5422891</v>
      </c>
      <c r="E336" s="92" t="s">
        <v>209</v>
      </c>
      <c r="F336" s="88" t="s">
        <v>748</v>
      </c>
      <c r="G336" s="101">
        <v>6274291</v>
      </c>
      <c r="H336" s="109" t="str">
        <f>CONCATENATE(BDPADRES[[#This Row],[NOMBRES MADRE]]," ",BDPADRES[[#This Row],[APELLIDOS MADRE]])</f>
        <v>VERONICA PINO FLORES</v>
      </c>
      <c r="I336" s="105">
        <v>77827286</v>
      </c>
      <c r="J336" s="93"/>
    </row>
    <row r="337" spans="1:10" x14ac:dyDescent="0.3">
      <c r="A337" s="61">
        <v>342</v>
      </c>
      <c r="B337" s="80" t="s">
        <v>3098</v>
      </c>
      <c r="C337" s="75" t="s">
        <v>1506</v>
      </c>
      <c r="D337" s="84"/>
      <c r="E337" s="92" t="s">
        <v>1507</v>
      </c>
      <c r="F337" s="88" t="s">
        <v>104</v>
      </c>
      <c r="G337" s="101">
        <v>5843369</v>
      </c>
      <c r="H337" s="109" t="str">
        <f>CONCATENATE(BDPADRES[[#This Row],[NOMBRES MADRE]]," ",BDPADRES[[#This Row],[APELLIDOS MADRE]])</f>
        <v>VALENTINA FLORES VARGAS</v>
      </c>
      <c r="I337" s="105"/>
      <c r="J337" s="93">
        <v>75637552</v>
      </c>
    </row>
    <row r="338" spans="1:10" x14ac:dyDescent="0.3">
      <c r="A338" s="61">
        <v>343</v>
      </c>
      <c r="B338" s="79" t="s">
        <v>2157</v>
      </c>
      <c r="C338" s="75" t="s">
        <v>787</v>
      </c>
      <c r="D338" s="84">
        <v>6231131</v>
      </c>
      <c r="E338" s="92" t="s">
        <v>1195</v>
      </c>
      <c r="F338" s="88" t="s">
        <v>2158</v>
      </c>
      <c r="G338" s="101">
        <v>4556620</v>
      </c>
      <c r="H338" s="109" t="str">
        <f>CONCATENATE(BDPADRES[[#This Row],[NOMBRES MADRE]]," ",BDPADRES[[#This Row],[APELLIDOS MADRE]])</f>
        <v>DEYSI SEGARRA VARGAS</v>
      </c>
      <c r="I338" s="105"/>
      <c r="J338" s="95">
        <v>71029062</v>
      </c>
    </row>
    <row r="339" spans="1:10" x14ac:dyDescent="0.3">
      <c r="A339" s="61">
        <v>344</v>
      </c>
      <c r="B339" s="79" t="s">
        <v>1484</v>
      </c>
      <c r="C339" s="75" t="s">
        <v>1485</v>
      </c>
      <c r="D339" s="84"/>
      <c r="E339" s="92" t="s">
        <v>247</v>
      </c>
      <c r="F339" s="88" t="s">
        <v>408</v>
      </c>
      <c r="G339" s="101">
        <v>8096256</v>
      </c>
      <c r="H339" s="109" t="str">
        <f>CONCATENATE(BDPADRES[[#This Row],[NOMBRES MADRE]]," ",BDPADRES[[#This Row],[APELLIDOS MADRE]])</f>
        <v>LISBETH MAMANI FIGUEROA</v>
      </c>
      <c r="I339" s="105"/>
      <c r="J339" s="93">
        <v>63507372</v>
      </c>
    </row>
    <row r="340" spans="1:10" x14ac:dyDescent="0.3">
      <c r="A340" s="61">
        <v>345</v>
      </c>
      <c r="B340" s="80" t="s">
        <v>3099</v>
      </c>
      <c r="C340" s="75" t="s">
        <v>3009</v>
      </c>
      <c r="D340" s="84">
        <v>8914926</v>
      </c>
      <c r="E340" s="92" t="s">
        <v>581</v>
      </c>
      <c r="F340" s="88" t="s">
        <v>582</v>
      </c>
      <c r="G340" s="101">
        <v>8893403</v>
      </c>
      <c r="H340" s="109" t="str">
        <f>CONCATENATE(BDPADRES[[#This Row],[NOMBRES MADRE]]," ",BDPADRES[[#This Row],[APELLIDOS MADRE]])</f>
        <v>LUCY MAR TAPIA LARA</v>
      </c>
      <c r="I340" s="105"/>
      <c r="J340" s="93">
        <v>75395093</v>
      </c>
    </row>
    <row r="341" spans="1:10" x14ac:dyDescent="0.3">
      <c r="A341" s="61">
        <v>347</v>
      </c>
      <c r="B341" s="79" t="s">
        <v>2109</v>
      </c>
      <c r="C341" s="75" t="s">
        <v>2110</v>
      </c>
      <c r="D341" s="84">
        <v>3913596</v>
      </c>
      <c r="E341" s="92" t="s">
        <v>2111</v>
      </c>
      <c r="F341" s="88" t="s">
        <v>2112</v>
      </c>
      <c r="G341" s="101">
        <v>4611857</v>
      </c>
      <c r="H341" s="109" t="str">
        <f>CONCATENATE(BDPADRES[[#This Row],[NOMBRES MADRE]]," ",BDPADRES[[#This Row],[APELLIDOS MADRE]])</f>
        <v>CONCEPCION MARINA MAMANI VALLEJOS</v>
      </c>
      <c r="I341" s="105"/>
      <c r="J341" s="93">
        <v>71682882</v>
      </c>
    </row>
    <row r="342" spans="1:10" x14ac:dyDescent="0.3">
      <c r="A342" s="61">
        <v>348</v>
      </c>
      <c r="B342" s="79" t="s">
        <v>2424</v>
      </c>
      <c r="C342" s="75" t="s">
        <v>2425</v>
      </c>
      <c r="D342" s="84">
        <v>6243004</v>
      </c>
      <c r="E342" s="92" t="s">
        <v>2426</v>
      </c>
      <c r="F342" s="88" t="s">
        <v>2094</v>
      </c>
      <c r="G342" s="101">
        <v>7805182</v>
      </c>
      <c r="H342" s="109" t="str">
        <f>CONCATENATE(BDPADRES[[#This Row],[NOMBRES MADRE]]," ",BDPADRES[[#This Row],[APELLIDOS MADRE]])</f>
        <v>MARY LOURDES COLQUE QUISPE</v>
      </c>
      <c r="I342" s="105">
        <v>78103442</v>
      </c>
      <c r="J342" s="93"/>
    </row>
    <row r="343" spans="1:10" x14ac:dyDescent="0.3">
      <c r="A343" s="61">
        <v>349</v>
      </c>
      <c r="B343" s="79" t="s">
        <v>2005</v>
      </c>
      <c r="C343" s="75" t="s">
        <v>2006</v>
      </c>
      <c r="D343" s="84">
        <v>5723896</v>
      </c>
      <c r="E343" s="92" t="s">
        <v>2007</v>
      </c>
      <c r="F343" s="88" t="s">
        <v>2008</v>
      </c>
      <c r="G343" s="101">
        <v>5737191</v>
      </c>
      <c r="H343" s="109" t="str">
        <f>CONCATENATE(BDPADRES[[#This Row],[NOMBRES MADRE]]," ",BDPADRES[[#This Row],[APELLIDOS MADRE]])</f>
        <v>VITALIA CONDORI CRISPIN</v>
      </c>
      <c r="I343" s="105"/>
      <c r="J343" s="93">
        <v>68926148</v>
      </c>
    </row>
    <row r="344" spans="1:10" x14ac:dyDescent="0.3">
      <c r="A344" s="61">
        <v>350</v>
      </c>
      <c r="B344" s="80" t="s">
        <v>3097</v>
      </c>
      <c r="C344" s="75" t="s">
        <v>1470</v>
      </c>
      <c r="D344" s="84"/>
      <c r="E344" s="92" t="s">
        <v>285</v>
      </c>
      <c r="F344" s="88" t="s">
        <v>1471</v>
      </c>
      <c r="G344" s="101">
        <v>10338112</v>
      </c>
      <c r="H344" s="109" t="str">
        <f>CONCATENATE(BDPADRES[[#This Row],[NOMBRES MADRE]]," ",BDPADRES[[#This Row],[APELLIDOS MADRE]])</f>
        <v>JUANA PACHACOPA TARDIO</v>
      </c>
      <c r="I344" s="105"/>
      <c r="J344" s="93">
        <v>68766724</v>
      </c>
    </row>
    <row r="345" spans="1:10" x14ac:dyDescent="0.3">
      <c r="A345" s="61">
        <v>351</v>
      </c>
      <c r="B345" s="80" t="s">
        <v>3100</v>
      </c>
      <c r="C345" s="75" t="s">
        <v>138</v>
      </c>
      <c r="D345" s="84"/>
      <c r="E345" s="92" t="s">
        <v>139</v>
      </c>
      <c r="F345" s="88" t="s">
        <v>140</v>
      </c>
      <c r="G345" s="101">
        <v>9850892</v>
      </c>
      <c r="H345" s="109" t="str">
        <f>CONCATENATE(BDPADRES[[#This Row],[NOMBRES MADRE]]," ",BDPADRES[[#This Row],[APELLIDOS MADRE]])</f>
        <v>ROSMERY MORALES RENTERIA</v>
      </c>
      <c r="I345" s="105"/>
      <c r="J345" s="93">
        <v>67462639</v>
      </c>
    </row>
    <row r="346" spans="1:10" x14ac:dyDescent="0.3">
      <c r="A346" s="61">
        <v>352</v>
      </c>
      <c r="B346" s="79" t="s">
        <v>2098</v>
      </c>
      <c r="C346" s="75" t="s">
        <v>2099</v>
      </c>
      <c r="D346" s="84"/>
      <c r="E346" s="92" t="s">
        <v>2016</v>
      </c>
      <c r="F346" s="88" t="s">
        <v>2100</v>
      </c>
      <c r="G346" s="101">
        <v>4708325</v>
      </c>
      <c r="H346" s="109" t="str">
        <f>CONCATENATE(BDPADRES[[#This Row],[NOMBRES MADRE]]," ",BDPADRES[[#This Row],[APELLIDOS MADRE]])</f>
        <v>FLORA COPA MAMANI</v>
      </c>
      <c r="I346" s="105"/>
      <c r="J346" s="93">
        <v>77607844</v>
      </c>
    </row>
    <row r="347" spans="1:10" x14ac:dyDescent="0.3">
      <c r="A347" s="61">
        <v>353</v>
      </c>
      <c r="B347" s="79" t="s">
        <v>2233</v>
      </c>
      <c r="C347" s="75" t="s">
        <v>2389</v>
      </c>
      <c r="D347" s="84">
        <v>3943600</v>
      </c>
      <c r="E347" s="92" t="s">
        <v>831</v>
      </c>
      <c r="F347" s="88" t="s">
        <v>2390</v>
      </c>
      <c r="G347" s="101">
        <v>6274296</v>
      </c>
      <c r="H347" s="109" t="str">
        <f>CONCATENATE(BDPADRES[[#This Row],[NOMBRES MADRE]]," ",BDPADRES[[#This Row],[APELLIDOS MADRE]])</f>
        <v>LORENZA GONZALES SERRANO</v>
      </c>
      <c r="I347" s="105"/>
      <c r="J347" s="93">
        <v>77379691</v>
      </c>
    </row>
    <row r="348" spans="1:10" x14ac:dyDescent="0.3">
      <c r="A348" s="61">
        <v>354</v>
      </c>
      <c r="B348" s="79" t="s">
        <v>1009</v>
      </c>
      <c r="C348" s="75" t="s">
        <v>1452</v>
      </c>
      <c r="D348" s="84"/>
      <c r="E348" s="92" t="s">
        <v>1453</v>
      </c>
      <c r="F348" s="88" t="s">
        <v>1454</v>
      </c>
      <c r="G348" s="101">
        <v>7858530</v>
      </c>
      <c r="H348" s="109" t="str">
        <f>CONCATENATE(BDPADRES[[#This Row],[NOMBRES MADRE]]," ",BDPADRES[[#This Row],[APELLIDOS MADRE]])</f>
        <v>SAVINA LLANOS GUZMAN</v>
      </c>
      <c r="I348" s="105"/>
      <c r="J348" s="93">
        <v>72181419</v>
      </c>
    </row>
    <row r="349" spans="1:10" x14ac:dyDescent="0.3">
      <c r="A349" s="61">
        <v>355</v>
      </c>
      <c r="B349" s="79" t="s">
        <v>1491</v>
      </c>
      <c r="C349" s="75" t="s">
        <v>104</v>
      </c>
      <c r="D349" s="84">
        <v>4689531</v>
      </c>
      <c r="E349" s="92" t="s">
        <v>1492</v>
      </c>
      <c r="F349" s="88" t="s">
        <v>1493</v>
      </c>
      <c r="G349" s="101">
        <v>8241073</v>
      </c>
      <c r="H349" s="109" t="str">
        <f>CONCATENATE(BDPADRES[[#This Row],[NOMBRES MADRE]]," ",BDPADRES[[#This Row],[APELLIDOS MADRE]])</f>
        <v>FELICIDAD PUMA ROSAS</v>
      </c>
      <c r="I349" s="105"/>
      <c r="J349" s="93">
        <v>73372656</v>
      </c>
    </row>
    <row r="350" spans="1:10" x14ac:dyDescent="0.3">
      <c r="A350" s="61">
        <v>356</v>
      </c>
      <c r="B350" s="79" t="s">
        <v>2276</v>
      </c>
      <c r="C350" s="75" t="s">
        <v>2277</v>
      </c>
      <c r="D350" s="84">
        <v>8994762</v>
      </c>
      <c r="E350" s="92" t="s">
        <v>2278</v>
      </c>
      <c r="F350" s="88" t="s">
        <v>2279</v>
      </c>
      <c r="G350" s="101"/>
      <c r="H350" s="109" t="str">
        <f>CONCATENATE(BDPADRES[[#This Row],[NOMBRES MADRE]]," ",BDPADRES[[#This Row],[APELLIDOS MADRE]])</f>
        <v>LAURA ARACELY GOMEZ HIDALGO</v>
      </c>
      <c r="I350" s="105">
        <v>76036339</v>
      </c>
      <c r="J350" s="93"/>
    </row>
    <row r="351" spans="1:10" x14ac:dyDescent="0.3">
      <c r="A351" s="61">
        <v>358</v>
      </c>
      <c r="B351" s="79" t="s">
        <v>1484</v>
      </c>
      <c r="C351" s="75" t="s">
        <v>2408</v>
      </c>
      <c r="D351" s="84">
        <v>5418084</v>
      </c>
      <c r="E351" s="92" t="s">
        <v>232</v>
      </c>
      <c r="F351" s="88" t="s">
        <v>1541</v>
      </c>
      <c r="G351" s="101">
        <v>5893060</v>
      </c>
      <c r="H351" s="109" t="s">
        <v>3060</v>
      </c>
      <c r="I351" s="105"/>
      <c r="J351" s="95">
        <v>72170365</v>
      </c>
    </row>
    <row r="352" spans="1:10" x14ac:dyDescent="0.3">
      <c r="A352" s="61">
        <v>360</v>
      </c>
      <c r="B352" s="79" t="s">
        <v>1082</v>
      </c>
      <c r="C352" s="75" t="s">
        <v>1681</v>
      </c>
      <c r="D352" s="84">
        <v>7173022</v>
      </c>
      <c r="E352" s="92" t="s">
        <v>1682</v>
      </c>
      <c r="F352" s="88" t="s">
        <v>1683</v>
      </c>
      <c r="G352" s="101">
        <v>9636764</v>
      </c>
      <c r="H352" s="109" t="str">
        <f>CONCATENATE(BDPADRES[[#This Row],[NOMBRES MADRE]]," ",BDPADRES[[#This Row],[APELLIDOS MADRE]])</f>
        <v>NOEMY TORRICO DAZA</v>
      </c>
      <c r="I352" s="105"/>
      <c r="J352" s="93">
        <v>76649030</v>
      </c>
    </row>
    <row r="353" spans="1:10" x14ac:dyDescent="0.3">
      <c r="A353" s="61">
        <v>362</v>
      </c>
      <c r="B353" s="79" t="s">
        <v>514</v>
      </c>
      <c r="C353" s="75" t="s">
        <v>515</v>
      </c>
      <c r="D353" s="84"/>
      <c r="E353" s="92" t="s">
        <v>516</v>
      </c>
      <c r="F353" s="88" t="s">
        <v>517</v>
      </c>
      <c r="G353" s="101">
        <v>6349771</v>
      </c>
      <c r="H353" s="109" t="str">
        <f>CONCATENATE(BDPADRES[[#This Row],[NOMBRES MADRE]]," ",BDPADRES[[#This Row],[APELLIDOS MADRE]])</f>
        <v>ROSALIA CONDORI ALANES</v>
      </c>
      <c r="I353" s="105"/>
      <c r="J353" s="93">
        <v>63468746</v>
      </c>
    </row>
    <row r="354" spans="1:10" x14ac:dyDescent="0.3">
      <c r="A354" s="61">
        <v>363</v>
      </c>
      <c r="B354" s="79" t="s">
        <v>141</v>
      </c>
      <c r="C354" s="75" t="s">
        <v>142</v>
      </c>
      <c r="D354" s="84">
        <v>8067804</v>
      </c>
      <c r="E354" s="92" t="s">
        <v>87</v>
      </c>
      <c r="F354" s="88" t="s">
        <v>143</v>
      </c>
      <c r="G354" s="101"/>
      <c r="H354" s="109" t="str">
        <f>CONCATENATE(BDPADRES[[#This Row],[NOMBRES MADRE]]," ",BDPADRES[[#This Row],[APELLIDOS MADRE]])</f>
        <v>MARGARITA ABALOS</v>
      </c>
      <c r="I354" s="105">
        <v>75401156</v>
      </c>
      <c r="J354" s="93"/>
    </row>
    <row r="355" spans="1:10" x14ac:dyDescent="0.3">
      <c r="A355" s="61">
        <v>364</v>
      </c>
      <c r="B355" s="79" t="s">
        <v>1067</v>
      </c>
      <c r="C355" s="75" t="s">
        <v>1068</v>
      </c>
      <c r="D355" s="84">
        <v>6211561</v>
      </c>
      <c r="E355" s="92" t="s">
        <v>165</v>
      </c>
      <c r="F355" s="88" t="s">
        <v>63</v>
      </c>
      <c r="G355" s="101">
        <v>7817845</v>
      </c>
      <c r="H355" s="109" t="str">
        <f>CONCATENATE(BDPADRES[[#This Row],[NOMBRES MADRE]]," ",BDPADRES[[#This Row],[APELLIDOS MADRE]])</f>
        <v>BENITA CUBA ROMERO</v>
      </c>
      <c r="I355" s="105"/>
      <c r="J355" s="93">
        <v>63402742</v>
      </c>
    </row>
    <row r="356" spans="1:10" x14ac:dyDescent="0.3">
      <c r="A356" s="61">
        <v>365</v>
      </c>
      <c r="B356" s="79" t="s">
        <v>208</v>
      </c>
      <c r="C356" s="75" t="s">
        <v>2262</v>
      </c>
      <c r="D356" s="84"/>
      <c r="E356" s="92" t="s">
        <v>1369</v>
      </c>
      <c r="F356" s="88" t="s">
        <v>2263</v>
      </c>
      <c r="G356" s="101">
        <v>9034422</v>
      </c>
      <c r="H356" s="109" t="str">
        <f>CONCATENATE(BDPADRES[[#This Row],[NOMBRES MADRE]]," ",BDPADRES[[#This Row],[APELLIDOS MADRE]])</f>
        <v>ROXANA RENGIPO ZAPATA</v>
      </c>
      <c r="I356" s="105"/>
      <c r="J356" s="93">
        <v>69134412</v>
      </c>
    </row>
    <row r="357" spans="1:10" x14ac:dyDescent="0.3">
      <c r="A357" s="61">
        <v>366</v>
      </c>
      <c r="B357" s="79" t="s">
        <v>1217</v>
      </c>
      <c r="C357" s="75" t="s">
        <v>1218</v>
      </c>
      <c r="D357" s="84"/>
      <c r="E357" s="92" t="s">
        <v>67</v>
      </c>
      <c r="F357" s="88" t="s">
        <v>1219</v>
      </c>
      <c r="G357" s="101">
        <v>8096128</v>
      </c>
      <c r="H357" s="109" t="str">
        <f>CONCATENATE(BDPADRES[[#This Row],[NOMBRES MADRE]]," ",BDPADRES[[#This Row],[APELLIDOS MADRE]])</f>
        <v>YAQUELIN CARRISALES GUTIERRES</v>
      </c>
      <c r="I357" s="105"/>
      <c r="J357" s="93">
        <v>75380191</v>
      </c>
    </row>
    <row r="358" spans="1:10" x14ac:dyDescent="0.3">
      <c r="A358" s="61">
        <v>367</v>
      </c>
      <c r="B358" s="79" t="s">
        <v>1100</v>
      </c>
      <c r="C358" s="75" t="s">
        <v>1630</v>
      </c>
      <c r="D358" s="84">
        <v>12558760</v>
      </c>
      <c r="E358" s="92" t="s">
        <v>484</v>
      </c>
      <c r="F358" s="88" t="s">
        <v>1631</v>
      </c>
      <c r="G358" s="101">
        <v>8634768</v>
      </c>
      <c r="H358" s="109" t="str">
        <f>CONCATENATE(BDPADRES[[#This Row],[NOMBRES MADRE]]," ",BDPADRES[[#This Row],[APELLIDOS MADRE]])</f>
        <v>CRISTINA  DIAZ ALVAREZ</v>
      </c>
      <c r="I358" s="105"/>
      <c r="J358" s="93">
        <v>63735049</v>
      </c>
    </row>
    <row r="359" spans="1:10" x14ac:dyDescent="0.3">
      <c r="A359" s="61">
        <v>368</v>
      </c>
      <c r="B359" s="79" t="s">
        <v>2335</v>
      </c>
      <c r="C359" s="75" t="s">
        <v>2336</v>
      </c>
      <c r="D359" s="84">
        <v>8996897</v>
      </c>
      <c r="E359" s="92" t="s">
        <v>2337</v>
      </c>
      <c r="F359" s="88" t="s">
        <v>2338</v>
      </c>
      <c r="G359" s="101">
        <v>9624780</v>
      </c>
      <c r="H359" s="109" t="str">
        <f>CONCATENATE(BDPADRES[[#This Row],[NOMBRES MADRE]]," ",BDPADRES[[#This Row],[APELLIDOS MADRE]])</f>
        <v>SULMA TERESA COLQUE MIRANDA</v>
      </c>
      <c r="I359" s="105"/>
      <c r="J359" s="93">
        <v>75612091</v>
      </c>
    </row>
    <row r="360" spans="1:10" x14ac:dyDescent="0.3">
      <c r="A360" s="61">
        <v>369</v>
      </c>
      <c r="B360" s="79" t="s">
        <v>1074</v>
      </c>
      <c r="C360" s="75" t="s">
        <v>1661</v>
      </c>
      <c r="D360" s="84"/>
      <c r="E360" s="92" t="s">
        <v>329</v>
      </c>
      <c r="F360" s="88" t="s">
        <v>1662</v>
      </c>
      <c r="G360" s="101">
        <v>6270516</v>
      </c>
      <c r="H360" s="109" t="str">
        <f>CONCATENATE(BDPADRES[[#This Row],[NOMBRES MADRE]]," ",BDPADRES[[#This Row],[APELLIDOS MADRE]])</f>
        <v>ISABEL CRUZ BAUTISTA</v>
      </c>
      <c r="I360" s="105"/>
      <c r="J360" s="95">
        <v>68868693</v>
      </c>
    </row>
    <row r="361" spans="1:10" x14ac:dyDescent="0.3">
      <c r="A361" s="61">
        <v>370</v>
      </c>
      <c r="B361" s="79" t="s">
        <v>1620</v>
      </c>
      <c r="C361" s="75" t="s">
        <v>1621</v>
      </c>
      <c r="D361" s="84">
        <v>4663602</v>
      </c>
      <c r="E361" s="92" t="s">
        <v>1622</v>
      </c>
      <c r="F361" s="88" t="s">
        <v>1623</v>
      </c>
      <c r="G361" s="101"/>
      <c r="H361" s="109" t="str">
        <f>CONCATENATE(BDPADRES[[#This Row],[NOMBRES MADRE]]," ",BDPADRES[[#This Row],[APELLIDOS MADRE]])</f>
        <v>MELVY EUGENIA SARACHO VILLAGOMEZ</v>
      </c>
      <c r="I361" s="105">
        <v>63791865</v>
      </c>
      <c r="J361" s="93"/>
    </row>
    <row r="362" spans="1:10" x14ac:dyDescent="0.3">
      <c r="A362" s="61">
        <v>372</v>
      </c>
      <c r="B362" s="79" t="s">
        <v>1545</v>
      </c>
      <c r="C362" s="75" t="s">
        <v>1546</v>
      </c>
      <c r="D362" s="84"/>
      <c r="E362" s="92" t="s">
        <v>105</v>
      </c>
      <c r="F362" s="88" t="s">
        <v>1547</v>
      </c>
      <c r="G362" s="101">
        <v>3881213</v>
      </c>
      <c r="H362" s="109" t="str">
        <f>CONCATENATE(BDPADRES[[#This Row],[NOMBRES MADRE]]," ",BDPADRES[[#This Row],[APELLIDOS MADRE]])</f>
        <v>SANDRA ANDRADE ROBLES</v>
      </c>
      <c r="I362" s="105"/>
      <c r="J362" s="93">
        <v>75628510</v>
      </c>
    </row>
    <row r="363" spans="1:10" x14ac:dyDescent="0.3">
      <c r="A363" s="61">
        <v>373</v>
      </c>
      <c r="B363" s="79" t="s">
        <v>179</v>
      </c>
      <c r="C363" s="75" t="s">
        <v>1599</v>
      </c>
      <c r="D363" s="84"/>
      <c r="E363" s="92" t="s">
        <v>1088</v>
      </c>
      <c r="F363" s="88" t="s">
        <v>1600</v>
      </c>
      <c r="G363" s="101">
        <v>4738831</v>
      </c>
      <c r="H363" s="109" t="str">
        <f>CONCATENATE(BDPADRES[[#This Row],[NOMBRES MADRE]]," ",BDPADRES[[#This Row],[APELLIDOS MADRE]])</f>
        <v>NANCY MOJICA GONZALES</v>
      </c>
      <c r="I363" s="105"/>
      <c r="J363" s="93">
        <v>64463916</v>
      </c>
    </row>
    <row r="364" spans="1:10" x14ac:dyDescent="0.3">
      <c r="A364" s="61">
        <v>374</v>
      </c>
      <c r="B364" s="79" t="s">
        <v>2346</v>
      </c>
      <c r="C364" s="75" t="s">
        <v>2347</v>
      </c>
      <c r="D364" s="84">
        <v>6246057</v>
      </c>
      <c r="E364" s="92" t="s">
        <v>1034</v>
      </c>
      <c r="F364" s="88" t="s">
        <v>2348</v>
      </c>
      <c r="G364" s="101">
        <v>8963119</v>
      </c>
      <c r="H364" s="109" t="str">
        <f>CONCATENATE(BDPADRES[[#This Row],[NOMBRES MADRE]]," ",BDPADRES[[#This Row],[APELLIDOS MADRE]])</f>
        <v>FILOMENA CABRERA PANOZO</v>
      </c>
      <c r="I364" s="105"/>
      <c r="J364" s="95">
        <v>78522015</v>
      </c>
    </row>
    <row r="365" spans="1:10" x14ac:dyDescent="0.3">
      <c r="A365" s="61">
        <v>376</v>
      </c>
      <c r="B365" s="79" t="s">
        <v>429</v>
      </c>
      <c r="C365" s="75" t="s">
        <v>430</v>
      </c>
      <c r="D365" s="84"/>
      <c r="E365" s="92" t="s">
        <v>431</v>
      </c>
      <c r="F365" s="88" t="s">
        <v>432</v>
      </c>
      <c r="G365" s="101">
        <v>6287517</v>
      </c>
      <c r="H365" s="109" t="str">
        <f>CONCATENATE(BDPADRES[[#This Row],[NOMBRES MADRE]]," ",BDPADRES[[#This Row],[APELLIDOS MADRE]])</f>
        <v>ISILDA ASILLO MAMANI</v>
      </c>
      <c r="I365" s="105"/>
      <c r="J365" s="93">
        <v>72414772</v>
      </c>
    </row>
    <row r="366" spans="1:10" x14ac:dyDescent="0.3">
      <c r="A366" s="61">
        <v>377</v>
      </c>
      <c r="B366" s="79" t="s">
        <v>2119</v>
      </c>
      <c r="C366" s="75" t="s">
        <v>104</v>
      </c>
      <c r="D366" s="84">
        <v>1318199</v>
      </c>
      <c r="E366" s="92" t="s">
        <v>1492</v>
      </c>
      <c r="F366" s="88" t="s">
        <v>2120</v>
      </c>
      <c r="G366" s="101">
        <v>5855577</v>
      </c>
      <c r="H366" s="109" t="str">
        <f>CONCATENATE(BDPADRES[[#This Row],[NOMBRES MADRE]]," ",BDPADRES[[#This Row],[APELLIDOS MADRE]])</f>
        <v>FELICIDAD MAMANI DE FLORES</v>
      </c>
      <c r="I366" s="105">
        <v>63332814</v>
      </c>
      <c r="J366" s="93"/>
    </row>
    <row r="367" spans="1:10" x14ac:dyDescent="0.3">
      <c r="A367" s="61">
        <v>378</v>
      </c>
      <c r="B367" s="79" t="s">
        <v>651</v>
      </c>
      <c r="C367" s="75" t="s">
        <v>652</v>
      </c>
      <c r="D367" s="84">
        <v>5381133</v>
      </c>
      <c r="E367" s="92" t="s">
        <v>653</v>
      </c>
      <c r="F367" s="88" t="s">
        <v>654</v>
      </c>
      <c r="G367" s="101">
        <v>8117390</v>
      </c>
      <c r="H367" s="109" t="str">
        <f>CONCATENATE(BDPADRES[[#This Row],[NOMBRES MADRE]]," ",BDPADRES[[#This Row],[APELLIDOS MADRE]])</f>
        <v>OLGA ROQUE TARAÑA</v>
      </c>
      <c r="I367" s="105"/>
      <c r="J367" s="93">
        <v>63404959</v>
      </c>
    </row>
    <row r="368" spans="1:10" x14ac:dyDescent="0.3">
      <c r="A368" s="61">
        <v>379</v>
      </c>
      <c r="B368" s="79" t="s">
        <v>1357</v>
      </c>
      <c r="C368" s="75" t="s">
        <v>222</v>
      </c>
      <c r="D368" s="84">
        <v>8195093</v>
      </c>
      <c r="E368" s="92" t="s">
        <v>1358</v>
      </c>
      <c r="F368" s="88" t="s">
        <v>1359</v>
      </c>
      <c r="G368" s="101">
        <v>7817844</v>
      </c>
      <c r="H368" s="109" t="str">
        <f>CONCATENATE(BDPADRES[[#This Row],[NOMBRES MADRE]]," ",BDPADRES[[#This Row],[APELLIDOS MADRE]])</f>
        <v>MARLENY VALVERDE CHOQUE</v>
      </c>
      <c r="I368" s="105"/>
      <c r="J368" s="93">
        <v>71688188</v>
      </c>
    </row>
    <row r="369" spans="1:10" x14ac:dyDescent="0.3">
      <c r="A369" s="61">
        <v>380</v>
      </c>
      <c r="B369" s="79" t="s">
        <v>227</v>
      </c>
      <c r="C369" s="75" t="s">
        <v>1690</v>
      </c>
      <c r="D369" s="84"/>
      <c r="E369" s="92" t="s">
        <v>1691</v>
      </c>
      <c r="F369" s="88" t="s">
        <v>279</v>
      </c>
      <c r="G369" s="101">
        <v>4584752</v>
      </c>
      <c r="H369" s="109" t="str">
        <f>CONCATENATE(BDPADRES[[#This Row],[NOMBRES MADRE]]," ",BDPADRES[[#This Row],[APELLIDOS MADRE]])</f>
        <v>GUEDY MARTINEZ ROMERO</v>
      </c>
      <c r="I369" s="105"/>
      <c r="J369" s="93">
        <v>63511234</v>
      </c>
    </row>
    <row r="370" spans="1:10" x14ac:dyDescent="0.3">
      <c r="A370" s="61">
        <v>382</v>
      </c>
      <c r="B370" s="79" t="s">
        <v>2369</v>
      </c>
      <c r="C370" s="75" t="s">
        <v>293</v>
      </c>
      <c r="D370" s="84"/>
      <c r="E370" s="92" t="s">
        <v>2370</v>
      </c>
      <c r="F370" s="88" t="s">
        <v>30</v>
      </c>
      <c r="G370" s="101">
        <v>6200098</v>
      </c>
      <c r="H370" s="109" t="str">
        <f>CONCATENATE(BDPADRES[[#This Row],[NOMBRES MADRE]]," ",BDPADRES[[#This Row],[APELLIDOS MADRE]])</f>
        <v>FANNY MARTINEZ AGUANTA</v>
      </c>
      <c r="I370" s="105"/>
      <c r="J370" s="93">
        <v>74508797</v>
      </c>
    </row>
    <row r="371" spans="1:10" x14ac:dyDescent="0.3">
      <c r="A371" s="61">
        <v>383</v>
      </c>
      <c r="B371" s="79" t="s">
        <v>1078</v>
      </c>
      <c r="C371" s="75" t="s">
        <v>1079</v>
      </c>
      <c r="D371" s="84">
        <v>6210745</v>
      </c>
      <c r="E371" s="92" t="s">
        <v>997</v>
      </c>
      <c r="F371" s="88" t="s">
        <v>1080</v>
      </c>
      <c r="G371" s="101">
        <v>9583393</v>
      </c>
      <c r="H371" s="109" t="str">
        <f>CONCATENATE(BDPADRES[[#This Row],[NOMBRES MADRE]]," ",BDPADRES[[#This Row],[APELLIDOS MADRE]])</f>
        <v>FRANCISCA  FIGUEROA LOAIZA</v>
      </c>
      <c r="I371" s="105"/>
      <c r="J371" s="93">
        <v>69277787</v>
      </c>
    </row>
    <row r="372" spans="1:10" x14ac:dyDescent="0.3">
      <c r="A372" s="61">
        <v>384</v>
      </c>
      <c r="B372" s="79" t="s">
        <v>2247</v>
      </c>
      <c r="C372" s="75" t="s">
        <v>2248</v>
      </c>
      <c r="D372" s="84"/>
      <c r="E372" s="92" t="s">
        <v>2249</v>
      </c>
      <c r="F372" s="88" t="s">
        <v>2250</v>
      </c>
      <c r="G372" s="101">
        <v>8258391</v>
      </c>
      <c r="H372" s="109" t="str">
        <f>CONCATENATE(BDPADRES[[#This Row],[NOMBRES MADRE]]," ",BDPADRES[[#This Row],[APELLIDOS MADRE]])</f>
        <v>ARACELY RODRIGUEZ HURTADO</v>
      </c>
      <c r="I372" s="105"/>
      <c r="J372" s="93">
        <v>63392550</v>
      </c>
    </row>
    <row r="373" spans="1:10" x14ac:dyDescent="0.3">
      <c r="A373" s="61">
        <v>385</v>
      </c>
      <c r="B373" s="79" t="s">
        <v>1620</v>
      </c>
      <c r="C373" s="75" t="s">
        <v>1664</v>
      </c>
      <c r="D373" s="84"/>
      <c r="E373" s="92" t="s">
        <v>1666</v>
      </c>
      <c r="F373" s="88" t="s">
        <v>1665</v>
      </c>
      <c r="G373" s="101">
        <v>6323044</v>
      </c>
      <c r="H373" s="109" t="str">
        <f>CONCATENATE(BDPADRES[[#This Row],[NOMBRES MADRE]]," ",BDPADRES[[#This Row],[APELLIDOS MADRE]])</f>
        <v>EMI LENI MONTAÑO CARDENAS</v>
      </c>
      <c r="I373" s="105"/>
      <c r="J373" s="93">
        <v>75373940</v>
      </c>
    </row>
    <row r="374" spans="1:10" x14ac:dyDescent="0.3">
      <c r="A374" s="61">
        <v>386</v>
      </c>
      <c r="B374" s="79" t="s">
        <v>2014</v>
      </c>
      <c r="C374" s="75" t="s">
        <v>2015</v>
      </c>
      <c r="D374" s="84">
        <v>3911765</v>
      </c>
      <c r="E374" s="92" t="s">
        <v>2016</v>
      </c>
      <c r="F374" s="88" t="s">
        <v>2017</v>
      </c>
      <c r="G374" s="101">
        <v>3948396</v>
      </c>
      <c r="H374" s="109" t="str">
        <f>CONCATENATE(BDPADRES[[#This Row],[NOMBRES MADRE]]," ",BDPADRES[[#This Row],[APELLIDOS MADRE]])</f>
        <v>FLORA GARCIA GOMEZ</v>
      </c>
      <c r="I374" s="105"/>
      <c r="J374" s="95">
        <v>75011851</v>
      </c>
    </row>
    <row r="375" spans="1:10" x14ac:dyDescent="0.3">
      <c r="A375" s="61">
        <v>387</v>
      </c>
      <c r="B375" s="79" t="s">
        <v>541</v>
      </c>
      <c r="C375" s="75" t="s">
        <v>545</v>
      </c>
      <c r="D375" s="84"/>
      <c r="E375" s="92" t="s">
        <v>541</v>
      </c>
      <c r="F375" s="88" t="s">
        <v>546</v>
      </c>
      <c r="G375" s="101" t="s">
        <v>540</v>
      </c>
      <c r="H375" s="109" t="str">
        <f>CONCATENATE(BDPADRES[[#This Row],[NOMBRES MADRE]]," ",BDPADRES[[#This Row],[APELLIDOS MADRE]])</f>
        <v xml:space="preserve">SIN NOMBRE LLANOS  </v>
      </c>
      <c r="I375" s="105"/>
      <c r="J375" s="93"/>
    </row>
    <row r="376" spans="1:10" x14ac:dyDescent="0.3">
      <c r="A376" s="61">
        <v>388</v>
      </c>
      <c r="B376" s="79" t="s">
        <v>1693</v>
      </c>
      <c r="C376" s="75" t="s">
        <v>1694</v>
      </c>
      <c r="D376" s="84">
        <v>6386218</v>
      </c>
      <c r="E376" s="92" t="s">
        <v>1350</v>
      </c>
      <c r="F376" s="88" t="s">
        <v>1695</v>
      </c>
      <c r="G376" s="101">
        <v>8082105</v>
      </c>
      <c r="H376" s="109" t="str">
        <f>CONCATENATE(BDPADRES[[#This Row],[NOMBRES MADRE]]," ",BDPADRES[[#This Row],[APELLIDOS MADRE]])</f>
        <v>ANGELICA CUELLAR MENDOZA</v>
      </c>
      <c r="I376" s="105">
        <v>63391224</v>
      </c>
      <c r="J376" s="93"/>
    </row>
    <row r="377" spans="1:10" x14ac:dyDescent="0.3">
      <c r="A377" s="61">
        <v>389</v>
      </c>
      <c r="B377" s="79" t="s">
        <v>208</v>
      </c>
      <c r="C377" s="75" t="s">
        <v>2313</v>
      </c>
      <c r="D377" s="84">
        <v>4713885</v>
      </c>
      <c r="E377" s="92" t="s">
        <v>457</v>
      </c>
      <c r="F377" s="88" t="s">
        <v>100</v>
      </c>
      <c r="G377" s="101">
        <v>5826189</v>
      </c>
      <c r="H377" s="109" t="str">
        <f>CONCATENATE(BDPADRES[[#This Row],[NOMBRES MADRE]]," ",BDPADRES[[#This Row],[APELLIDOS MADRE]])</f>
        <v>ELVA FLORES POLANCO</v>
      </c>
      <c r="I377" s="105"/>
      <c r="J377" s="93">
        <v>72174713</v>
      </c>
    </row>
    <row r="378" spans="1:10" x14ac:dyDescent="0.3">
      <c r="A378" s="61">
        <v>390</v>
      </c>
      <c r="B378" s="79" t="s">
        <v>1283</v>
      </c>
      <c r="C378" s="75" t="s">
        <v>2237</v>
      </c>
      <c r="D378" s="84">
        <v>8175418</v>
      </c>
      <c r="E378" s="92" t="s">
        <v>2238</v>
      </c>
      <c r="F378" s="88" t="s">
        <v>334</v>
      </c>
      <c r="G378" s="101">
        <v>7831288</v>
      </c>
      <c r="H378" s="109" t="str">
        <f>CONCATENATE(BDPADRES[[#This Row],[NOMBRES MADRE]]," ",BDPADRES[[#This Row],[APELLIDOS MADRE]])</f>
        <v>MARIA RODRIGUEZ CORTEZ</v>
      </c>
      <c r="I378" s="105"/>
      <c r="J378" s="93"/>
    </row>
    <row r="379" spans="1:10" x14ac:dyDescent="0.3">
      <c r="A379" s="61">
        <v>391</v>
      </c>
      <c r="B379" s="79" t="s">
        <v>463</v>
      </c>
      <c r="C379" s="75" t="s">
        <v>2038</v>
      </c>
      <c r="D379" s="84">
        <v>5871348</v>
      </c>
      <c r="E379" s="92" t="s">
        <v>2039</v>
      </c>
      <c r="F379" s="88" t="s">
        <v>2040</v>
      </c>
      <c r="G379" s="101">
        <v>6376131</v>
      </c>
      <c r="H379" s="109" t="str">
        <f>CONCATENATE(BDPADRES[[#This Row],[NOMBRES MADRE]]," ",BDPADRES[[#This Row],[APELLIDOS MADRE]])</f>
        <v>LEISY AGUADO CORTEZ</v>
      </c>
      <c r="I379" s="105"/>
      <c r="J379" s="93">
        <v>67729519</v>
      </c>
    </row>
    <row r="380" spans="1:10" x14ac:dyDescent="0.3">
      <c r="A380" s="61">
        <v>392</v>
      </c>
      <c r="B380" s="79" t="s">
        <v>331</v>
      </c>
      <c r="C380" s="75" t="s">
        <v>332</v>
      </c>
      <c r="D380" s="84">
        <v>4571692</v>
      </c>
      <c r="E380" s="92" t="s">
        <v>333</v>
      </c>
      <c r="F380" s="88" t="s">
        <v>334</v>
      </c>
      <c r="G380" s="101">
        <v>6289191</v>
      </c>
      <c r="H380" s="109" t="str">
        <f>CONCATENATE(BDPADRES[[#This Row],[NOMBRES MADRE]]," ",BDPADRES[[#This Row],[APELLIDOS MADRE]])</f>
        <v>IRENIA RODRIGUEZ CORTEZ</v>
      </c>
      <c r="I380" s="105"/>
      <c r="J380" s="93">
        <v>68768844</v>
      </c>
    </row>
    <row r="381" spans="1:10" x14ac:dyDescent="0.3">
      <c r="A381" s="61">
        <v>393</v>
      </c>
      <c r="B381" s="79" t="s">
        <v>2150</v>
      </c>
      <c r="C381" s="75" t="s">
        <v>2150</v>
      </c>
      <c r="D381" s="84"/>
      <c r="E381" s="94" t="s">
        <v>3101</v>
      </c>
      <c r="F381" s="88" t="s">
        <v>1674</v>
      </c>
      <c r="G381" s="101">
        <v>8968701</v>
      </c>
      <c r="H381" s="109" t="str">
        <f>CONCATENATE(BDPADRES[[#This Row],[NOMBRES MADRE]]," ",BDPADRES[[#This Row],[APELLIDOS MADRE]])</f>
        <v>AVIGAIL ELEYDE CIFUENTES</v>
      </c>
      <c r="I381" s="105"/>
      <c r="J381" s="93">
        <v>73053112</v>
      </c>
    </row>
    <row r="382" spans="1:10" x14ac:dyDescent="0.3">
      <c r="A382" s="61">
        <v>394</v>
      </c>
      <c r="B382" s="79" t="s">
        <v>2073</v>
      </c>
      <c r="C382" s="75" t="s">
        <v>2074</v>
      </c>
      <c r="D382" s="84">
        <v>3883674</v>
      </c>
      <c r="E382" s="92" t="s">
        <v>2075</v>
      </c>
      <c r="F382" s="88" t="s">
        <v>2076</v>
      </c>
      <c r="G382" s="101">
        <v>4649950</v>
      </c>
      <c r="H382" s="109" t="str">
        <f>CONCATENATE(BDPADRES[[#This Row],[NOMBRES MADRE]]," ",BDPADRES[[#This Row],[APELLIDOS MADRE]])</f>
        <v>NILCA LEAÑO VERGARA</v>
      </c>
      <c r="I382" s="105"/>
      <c r="J382" s="93">
        <v>76848020</v>
      </c>
    </row>
    <row r="383" spans="1:10" x14ac:dyDescent="0.3">
      <c r="A383" s="61">
        <v>395</v>
      </c>
      <c r="B383" s="79" t="s">
        <v>1141</v>
      </c>
      <c r="C383" s="75" t="s">
        <v>1142</v>
      </c>
      <c r="D383" s="84">
        <v>6314372</v>
      </c>
      <c r="E383" s="92" t="s">
        <v>1143</v>
      </c>
      <c r="F383" s="88" t="s">
        <v>1144</v>
      </c>
      <c r="G383" s="101">
        <v>8081662</v>
      </c>
      <c r="H383" s="109" t="str">
        <f>CONCATENATE(BDPADRES[[#This Row],[NOMBRES MADRE]]," ",BDPADRES[[#This Row],[APELLIDOS MADRE]])</f>
        <v>KARLA MICHELLE MENACHO MELGAR</v>
      </c>
      <c r="I383" s="105">
        <v>69194481</v>
      </c>
      <c r="J383" s="95">
        <v>77019901</v>
      </c>
    </row>
    <row r="384" spans="1:10" x14ac:dyDescent="0.3">
      <c r="A384" s="61">
        <v>396</v>
      </c>
      <c r="B384" s="79" t="s">
        <v>227</v>
      </c>
      <c r="C384" s="75" t="s">
        <v>61</v>
      </c>
      <c r="D384" s="84">
        <v>8870880</v>
      </c>
      <c r="E384" s="92" t="s">
        <v>228</v>
      </c>
      <c r="F384" s="88" t="s">
        <v>229</v>
      </c>
      <c r="G384" s="101">
        <v>9626232</v>
      </c>
      <c r="H384" s="109" t="str">
        <f>CONCATENATE(BDPADRES[[#This Row],[NOMBRES MADRE]]," ",BDPADRES[[#This Row],[APELLIDOS MADRE]])</f>
        <v>ERLINDA MARTINEZ CRUZ</v>
      </c>
      <c r="I384" s="105"/>
      <c r="J384" s="93">
        <v>74649121</v>
      </c>
    </row>
    <row r="385" spans="1:10" x14ac:dyDescent="0.3">
      <c r="A385" s="61">
        <v>397</v>
      </c>
      <c r="B385" s="79" t="s">
        <v>234</v>
      </c>
      <c r="C385" s="75" t="s">
        <v>477</v>
      </c>
      <c r="D385" s="84">
        <v>6296955</v>
      </c>
      <c r="E385" s="92" t="s">
        <v>478</v>
      </c>
      <c r="F385" s="88" t="s">
        <v>479</v>
      </c>
      <c r="G385" s="101">
        <v>5495442</v>
      </c>
      <c r="H385" s="109" t="str">
        <f>CONCATENATE(BDPADRES[[#This Row],[NOMBRES MADRE]]," ",BDPADRES[[#This Row],[APELLIDOS MADRE]])</f>
        <v xml:space="preserve">ZONIA VEDIA   </v>
      </c>
      <c r="I385" s="105"/>
      <c r="J385" s="93">
        <v>65886282</v>
      </c>
    </row>
    <row r="386" spans="1:10" x14ac:dyDescent="0.3">
      <c r="A386" s="61">
        <v>398</v>
      </c>
      <c r="B386" s="79" t="s">
        <v>1685</v>
      </c>
      <c r="C386" s="75" t="s">
        <v>1686</v>
      </c>
      <c r="D386" s="84">
        <v>8096015</v>
      </c>
      <c r="E386" s="92" t="s">
        <v>1687</v>
      </c>
      <c r="F386" s="88" t="s">
        <v>1688</v>
      </c>
      <c r="G386" s="101">
        <v>9584579</v>
      </c>
      <c r="H386" s="109" t="str">
        <f>CONCATENATE(BDPADRES[[#This Row],[NOMBRES MADRE]]," ",BDPADRES[[#This Row],[APELLIDOS MADRE]])</f>
        <v>EULALIA  CORREA ZORAIDE</v>
      </c>
      <c r="I386" s="105"/>
      <c r="J386" s="93">
        <v>67290597</v>
      </c>
    </row>
    <row r="387" spans="1:10" x14ac:dyDescent="0.3">
      <c r="A387" s="61">
        <v>399</v>
      </c>
      <c r="B387" s="79" t="s">
        <v>710</v>
      </c>
      <c r="C387" s="75" t="s">
        <v>711</v>
      </c>
      <c r="D387" s="84">
        <v>1880698</v>
      </c>
      <c r="E387" s="92" t="s">
        <v>712</v>
      </c>
      <c r="F387" s="88" t="s">
        <v>713</v>
      </c>
      <c r="G387" s="101">
        <v>4611635</v>
      </c>
      <c r="H387" s="109" t="str">
        <f>CONCATENATE(BDPADRES[[#This Row],[NOMBRES MADRE]]," ",BDPADRES[[#This Row],[APELLIDOS MADRE]])</f>
        <v>DELMA RAMIREZ PEREZ</v>
      </c>
      <c r="I387" s="105">
        <v>72129070</v>
      </c>
      <c r="J387" s="93"/>
    </row>
    <row r="388" spans="1:10" x14ac:dyDescent="0.3">
      <c r="A388" s="61">
        <v>400</v>
      </c>
      <c r="B388" s="79" t="s">
        <v>1441</v>
      </c>
      <c r="C388" s="75" t="s">
        <v>654</v>
      </c>
      <c r="D388" s="84"/>
      <c r="E388" s="92" t="s">
        <v>209</v>
      </c>
      <c r="F388" s="88" t="s">
        <v>1442</v>
      </c>
      <c r="G388" s="101">
        <v>12983416</v>
      </c>
      <c r="H388" s="109" t="str">
        <f>CONCATENATE(BDPADRES[[#This Row],[NOMBRES MADRE]]," ",BDPADRES[[#This Row],[APELLIDOS MADRE]])</f>
        <v>VERONICA FERNANDEZ SANTILLAN</v>
      </c>
      <c r="I388" s="105"/>
      <c r="J388" s="93">
        <v>71042705</v>
      </c>
    </row>
    <row r="389" spans="1:10" x14ac:dyDescent="0.3">
      <c r="A389" s="61">
        <v>401</v>
      </c>
      <c r="B389" s="79" t="s">
        <v>795</v>
      </c>
      <c r="C389" s="75" t="s">
        <v>796</v>
      </c>
      <c r="D389" s="84">
        <v>8129692</v>
      </c>
      <c r="E389" s="92" t="s">
        <v>797</v>
      </c>
      <c r="F389" s="88" t="s">
        <v>798</v>
      </c>
      <c r="G389" s="101">
        <v>5892658</v>
      </c>
      <c r="H389" s="109" t="str">
        <f>CONCATENATE(BDPADRES[[#This Row],[NOMBRES MADRE]]," ",BDPADRES[[#This Row],[APELLIDOS MADRE]])</f>
        <v>MIRIAM FUENTES HEREDIA</v>
      </c>
      <c r="I389" s="105"/>
      <c r="J389" s="93">
        <v>73144275</v>
      </c>
    </row>
    <row r="390" spans="1:10" x14ac:dyDescent="0.3">
      <c r="A390" s="61">
        <v>402</v>
      </c>
      <c r="B390" s="79" t="s">
        <v>179</v>
      </c>
      <c r="C390" s="75" t="s">
        <v>624</v>
      </c>
      <c r="D390" s="84">
        <v>5385367</v>
      </c>
      <c r="E390" s="92" t="s">
        <v>228</v>
      </c>
      <c r="F390" s="88" t="s">
        <v>579</v>
      </c>
      <c r="G390" s="101">
        <v>7753904</v>
      </c>
      <c r="H390" s="109" t="str">
        <f>CONCATENATE(BDPADRES[[#This Row],[NOMBRES MADRE]]," ",BDPADRES[[#This Row],[APELLIDOS MADRE]])</f>
        <v>ERLINDA VARON ARANCIBIA</v>
      </c>
      <c r="I390" s="105"/>
      <c r="J390" s="93">
        <v>76325824</v>
      </c>
    </row>
    <row r="391" spans="1:10" x14ac:dyDescent="0.3">
      <c r="A391" s="61">
        <v>403</v>
      </c>
      <c r="B391" s="79" t="s">
        <v>1410</v>
      </c>
      <c r="C391" s="75" t="s">
        <v>2063</v>
      </c>
      <c r="D391" s="84">
        <v>5360117</v>
      </c>
      <c r="E391" s="92" t="s">
        <v>1350</v>
      </c>
      <c r="F391" s="88" t="s">
        <v>1005</v>
      </c>
      <c r="G391" s="101">
        <v>5407150</v>
      </c>
      <c r="H391" s="109" t="str">
        <f>CONCATENATE(BDPADRES[[#This Row],[NOMBRES MADRE]]," ",BDPADRES[[#This Row],[APELLIDOS MADRE]])</f>
        <v>ANGELICA GARCIA MOSTACEDO</v>
      </c>
      <c r="I391" s="105">
        <v>78131914</v>
      </c>
      <c r="J391" s="93"/>
    </row>
    <row r="392" spans="1:10" x14ac:dyDescent="0.3">
      <c r="A392" s="61">
        <v>404</v>
      </c>
      <c r="B392" s="79" t="s">
        <v>467</v>
      </c>
      <c r="C392" s="75" t="s">
        <v>468</v>
      </c>
      <c r="D392" s="84">
        <v>7699256</v>
      </c>
      <c r="E392" s="94" t="s">
        <v>3102</v>
      </c>
      <c r="F392" s="88" t="s">
        <v>469</v>
      </c>
      <c r="G392" s="101">
        <v>8144985</v>
      </c>
      <c r="H392" s="109" t="str">
        <f>CONCATENATE(BDPADRES[[#This Row],[NOMBRES MADRE]]," ",BDPADRES[[#This Row],[APELLIDOS MADRE]])</f>
        <v>TANIA ANDREINA BURGOS ROBLES</v>
      </c>
      <c r="I392" s="105"/>
      <c r="J392" s="93">
        <v>75610353</v>
      </c>
    </row>
    <row r="393" spans="1:10" x14ac:dyDescent="0.3">
      <c r="A393" s="61">
        <v>405</v>
      </c>
      <c r="B393" s="79" t="s">
        <v>302</v>
      </c>
      <c r="C393" s="75" t="s">
        <v>303</v>
      </c>
      <c r="D393" s="84">
        <v>12565242</v>
      </c>
      <c r="E393" s="92" t="s">
        <v>304</v>
      </c>
      <c r="F393" s="88" t="s">
        <v>305</v>
      </c>
      <c r="G393" s="101">
        <v>9764416</v>
      </c>
      <c r="H393" s="109" t="str">
        <f>CONCATENATE(BDPADRES[[#This Row],[NOMBRES MADRE]]," ",BDPADRES[[#This Row],[APELLIDOS MADRE]])</f>
        <v>YOUSELIN CRUZ LEAÑOS</v>
      </c>
      <c r="I393" s="105"/>
      <c r="J393" s="93">
        <v>74926827</v>
      </c>
    </row>
    <row r="394" spans="1:10" x14ac:dyDescent="0.3">
      <c r="A394" s="61">
        <v>406</v>
      </c>
      <c r="B394" s="79" t="s">
        <v>323</v>
      </c>
      <c r="C394" s="75" t="s">
        <v>1210</v>
      </c>
      <c r="D394" s="84">
        <v>5359990</v>
      </c>
      <c r="E394" s="92" t="s">
        <v>228</v>
      </c>
      <c r="F394" s="88" t="s">
        <v>1211</v>
      </c>
      <c r="G394" s="101">
        <v>6307935</v>
      </c>
      <c r="H394" s="109" t="str">
        <f>CONCATENATE(BDPADRES[[#This Row],[NOMBRES MADRE]]," ",BDPADRES[[#This Row],[APELLIDOS MADRE]])</f>
        <v>ERLINDA PALENQUE BARRIGA</v>
      </c>
      <c r="I394" s="105">
        <v>76058937</v>
      </c>
      <c r="J394" s="93"/>
    </row>
    <row r="395" spans="1:10" x14ac:dyDescent="0.3">
      <c r="A395" s="61">
        <v>407</v>
      </c>
      <c r="B395" s="79" t="s">
        <v>781</v>
      </c>
      <c r="C395" s="75" t="s">
        <v>782</v>
      </c>
      <c r="D395" s="84"/>
      <c r="E395" s="92" t="s">
        <v>508</v>
      </c>
      <c r="F395" s="88" t="s">
        <v>783</v>
      </c>
      <c r="G395" s="101">
        <v>5820389</v>
      </c>
      <c r="H395" s="109" t="str">
        <f>CONCATENATE(BDPADRES[[#This Row],[NOMBRES MADRE]]," ",BDPADRES[[#This Row],[APELLIDOS MADRE]])</f>
        <v>MARY LUZ CUCHALLO DURAN</v>
      </c>
      <c r="I395" s="105"/>
      <c r="J395" s="93">
        <v>79487450</v>
      </c>
    </row>
    <row r="396" spans="1:10" x14ac:dyDescent="0.3">
      <c r="A396" s="61">
        <v>408</v>
      </c>
      <c r="B396" s="80" t="s">
        <v>3103</v>
      </c>
      <c r="C396" s="75" t="s">
        <v>1190</v>
      </c>
      <c r="D396" s="84">
        <v>6275062</v>
      </c>
      <c r="E396" s="92" t="s">
        <v>1191</v>
      </c>
      <c r="F396" s="88" t="s">
        <v>1192</v>
      </c>
      <c r="G396" s="101">
        <v>7827005</v>
      </c>
      <c r="H396" s="109" t="str">
        <f>CONCATENATE(BDPADRES[[#This Row],[NOMBRES MADRE]]," ",BDPADRES[[#This Row],[APELLIDOS MADRE]])</f>
        <v>RUBILINDA MORON CONTRERAS</v>
      </c>
      <c r="I396" s="105"/>
      <c r="J396" s="93">
        <v>78171605</v>
      </c>
    </row>
    <row r="397" spans="1:10" x14ac:dyDescent="0.3">
      <c r="A397" s="61">
        <v>409</v>
      </c>
      <c r="B397" s="79" t="s">
        <v>52</v>
      </c>
      <c r="C397" s="75" t="s">
        <v>53</v>
      </c>
      <c r="D397" s="84">
        <v>7152823</v>
      </c>
      <c r="E397" s="92" t="s">
        <v>54</v>
      </c>
      <c r="F397" s="88" t="s">
        <v>55</v>
      </c>
      <c r="G397" s="101">
        <v>7794625</v>
      </c>
      <c r="H397" s="109" t="str">
        <f>CONCATENATE(BDPADRES[[#This Row],[NOMBRES MADRE]]," ",BDPADRES[[#This Row],[APELLIDOS MADRE]])</f>
        <v>TERESA FLORES CRUZ</v>
      </c>
      <c r="I397" s="105"/>
      <c r="J397" s="93">
        <v>77614202</v>
      </c>
    </row>
    <row r="398" spans="1:10" x14ac:dyDescent="0.3">
      <c r="A398" s="61">
        <v>410</v>
      </c>
      <c r="B398" s="79" t="s">
        <v>323</v>
      </c>
      <c r="C398" s="75" t="s">
        <v>1460</v>
      </c>
      <c r="D398" s="84"/>
      <c r="E398" s="92" t="s">
        <v>1461</v>
      </c>
      <c r="F398" s="88" t="s">
        <v>1462</v>
      </c>
      <c r="G398" s="101">
        <v>7460969</v>
      </c>
      <c r="H398" s="109" t="str">
        <f>CONCATENATE(BDPADRES[[#This Row],[NOMBRES MADRE]]," ",BDPADRES[[#This Row],[APELLIDOS MADRE]])</f>
        <v>RITA GONZALES FLORES</v>
      </c>
      <c r="I398" s="105"/>
      <c r="J398" s="93">
        <v>68692934</v>
      </c>
    </row>
    <row r="399" spans="1:10" x14ac:dyDescent="0.3">
      <c r="A399" s="61">
        <v>411</v>
      </c>
      <c r="B399" s="79" t="s">
        <v>1676</v>
      </c>
      <c r="C399" s="75" t="s">
        <v>1677</v>
      </c>
      <c r="D399" s="84"/>
      <c r="E399" s="92" t="s">
        <v>1678</v>
      </c>
      <c r="F399" s="88" t="s">
        <v>1679</v>
      </c>
      <c r="G399" s="101">
        <v>7831216</v>
      </c>
      <c r="H399" s="109" t="str">
        <f>CONCATENATE(BDPADRES[[#This Row],[NOMBRES MADRE]]," ",BDPADRES[[#This Row],[APELLIDOS MADRE]])</f>
        <v>EDUVID OSINAGA NOVA</v>
      </c>
      <c r="I399" s="105"/>
      <c r="J399" s="93">
        <v>78121572</v>
      </c>
    </row>
    <row r="400" spans="1:10" x14ac:dyDescent="0.3">
      <c r="A400" s="61">
        <v>412</v>
      </c>
      <c r="B400" s="79" t="s">
        <v>1332</v>
      </c>
      <c r="C400" s="75" t="s">
        <v>579</v>
      </c>
      <c r="D400" s="84">
        <v>8216959</v>
      </c>
      <c r="E400" s="92" t="s">
        <v>1333</v>
      </c>
      <c r="F400" s="88" t="s">
        <v>1085</v>
      </c>
      <c r="G400" s="101">
        <v>12758902</v>
      </c>
      <c r="H400" s="109" t="str">
        <f>CONCATENATE(BDPADRES[[#This Row],[NOMBRES MADRE]]," ",BDPADRES[[#This Row],[APELLIDOS MADRE]])</f>
        <v>SANDRA JUANA FERNANDEZ CESPEDES</v>
      </c>
      <c r="I400" s="105"/>
      <c r="J400" s="93">
        <v>77641451</v>
      </c>
    </row>
    <row r="401" spans="1:10" x14ac:dyDescent="0.3">
      <c r="A401" s="61">
        <v>413</v>
      </c>
      <c r="B401" s="79" t="s">
        <v>298</v>
      </c>
      <c r="C401" s="75" t="s">
        <v>299</v>
      </c>
      <c r="D401" s="84"/>
      <c r="E401" s="92" t="s">
        <v>300</v>
      </c>
      <c r="F401" s="88" t="s">
        <v>301</v>
      </c>
      <c r="G401" s="101">
        <v>12534292</v>
      </c>
      <c r="H401" s="109" t="str">
        <f>CONCATENATE(BDPADRES[[#This Row],[NOMBRES MADRE]]," ",BDPADRES[[#This Row],[APELLIDOS MADRE]])</f>
        <v>MARIA YANINE PRADO</v>
      </c>
      <c r="I401" s="105"/>
      <c r="J401" s="93">
        <v>62391309</v>
      </c>
    </row>
    <row r="402" spans="1:10" x14ac:dyDescent="0.3">
      <c r="A402" s="61">
        <v>414</v>
      </c>
      <c r="B402" s="79" t="s">
        <v>148</v>
      </c>
      <c r="C402" s="75" t="s">
        <v>149</v>
      </c>
      <c r="D402" s="84"/>
      <c r="E402" s="92" t="s">
        <v>150</v>
      </c>
      <c r="F402" s="88" t="s">
        <v>151</v>
      </c>
      <c r="G402" s="101">
        <v>5354619</v>
      </c>
      <c r="H402" s="109" t="str">
        <f>CONCATENATE(BDPADRES[[#This Row],[NOMBRES MADRE]]," ",BDPADRES[[#This Row],[APELLIDOS MADRE]])</f>
        <v>MARIA NELA BARROZO ANGULO</v>
      </c>
      <c r="I402" s="105"/>
      <c r="J402" s="93">
        <v>72164833</v>
      </c>
    </row>
    <row r="403" spans="1:10" x14ac:dyDescent="0.3">
      <c r="A403" s="61">
        <v>415</v>
      </c>
      <c r="B403" s="79" t="s">
        <v>1324</v>
      </c>
      <c r="C403" s="75" t="s">
        <v>1325</v>
      </c>
      <c r="D403" s="84">
        <v>8953553</v>
      </c>
      <c r="E403" s="92" t="s">
        <v>1326</v>
      </c>
      <c r="F403" s="88" t="s">
        <v>1327</v>
      </c>
      <c r="G403" s="101">
        <v>13302853</v>
      </c>
      <c r="H403" s="109" t="str">
        <f>CONCATENATE(BDPADRES[[#This Row],[NOMBRES MADRE]]," ",BDPADRES[[#This Row],[APELLIDOS MADRE]])</f>
        <v>CLAUDIA RAMIREZ CHOQUE</v>
      </c>
      <c r="I403" s="105"/>
      <c r="J403" s="93">
        <v>62055087</v>
      </c>
    </row>
    <row r="404" spans="1:10" x14ac:dyDescent="0.3">
      <c r="A404" s="61">
        <v>416</v>
      </c>
      <c r="B404" s="79" t="s">
        <v>1254</v>
      </c>
      <c r="C404" s="75" t="s">
        <v>1255</v>
      </c>
      <c r="D404" s="84">
        <v>6533438</v>
      </c>
      <c r="E404" s="92" t="s">
        <v>1256</v>
      </c>
      <c r="F404" s="88" t="s">
        <v>1257</v>
      </c>
      <c r="G404" s="101">
        <v>7779068</v>
      </c>
      <c r="H404" s="109" t="str">
        <f>CONCATENATE(BDPADRES[[#This Row],[NOMBRES MADRE]]," ",BDPADRES[[#This Row],[APELLIDOS MADRE]])</f>
        <v>PAULITA ORTIZ MENDEZ</v>
      </c>
      <c r="I404" s="105"/>
      <c r="J404" s="93">
        <v>78185563</v>
      </c>
    </row>
    <row r="405" spans="1:10" x14ac:dyDescent="0.3">
      <c r="A405" s="61">
        <v>417</v>
      </c>
      <c r="B405" s="79" t="s">
        <v>81</v>
      </c>
      <c r="C405" s="75" t="s">
        <v>2034</v>
      </c>
      <c r="D405" s="84"/>
      <c r="E405" s="94" t="s">
        <v>1488</v>
      </c>
      <c r="F405" s="88" t="s">
        <v>2035</v>
      </c>
      <c r="G405" s="101">
        <v>8129658</v>
      </c>
      <c r="H405" s="109" t="str">
        <f>CONCATENATE(BDPADRES[[#This Row],[NOMBRES MADRE]]," ",BDPADRES[[#This Row],[APELLIDOS MADRE]])</f>
        <v>MARIA MAGDALENA FERNANDEZ ROJAS</v>
      </c>
      <c r="I405" s="105"/>
      <c r="J405" s="93">
        <v>67156169</v>
      </c>
    </row>
    <row r="406" spans="1:10" x14ac:dyDescent="0.3">
      <c r="A406" s="61">
        <v>418</v>
      </c>
      <c r="B406" s="79" t="s">
        <v>802</v>
      </c>
      <c r="C406" s="75" t="s">
        <v>803</v>
      </c>
      <c r="D406" s="84">
        <v>9818629</v>
      </c>
      <c r="E406" s="94" t="s">
        <v>3104</v>
      </c>
      <c r="F406" s="88" t="s">
        <v>804</v>
      </c>
      <c r="G406" s="101">
        <v>12355099</v>
      </c>
      <c r="H406" s="109" t="str">
        <f>CONCATENATE(BDPADRES[[#This Row],[NOMBRES MADRE]]," ",BDPADRES[[#This Row],[APELLIDOS MADRE]])</f>
        <v>TANIA MARCELA DELGADILLO RAMOS</v>
      </c>
      <c r="I406" s="105"/>
      <c r="J406" s="93"/>
    </row>
    <row r="407" spans="1:10" x14ac:dyDescent="0.3">
      <c r="A407" s="61">
        <v>419</v>
      </c>
      <c r="B407" s="79" t="s">
        <v>323</v>
      </c>
      <c r="C407" s="75" t="s">
        <v>324</v>
      </c>
      <c r="D407" s="84"/>
      <c r="E407" s="92" t="s">
        <v>325</v>
      </c>
      <c r="F407" s="88" t="s">
        <v>326</v>
      </c>
      <c r="G407" s="101">
        <v>8221056</v>
      </c>
      <c r="H407" s="109" t="str">
        <f>CONCATENATE(BDPADRES[[#This Row],[NOMBRES MADRE]]," ",BDPADRES[[#This Row],[APELLIDOS MADRE]])</f>
        <v>CAROLITA GUZMAN GUZMAN</v>
      </c>
      <c r="I407" s="105"/>
      <c r="J407" s="93">
        <v>75060598</v>
      </c>
    </row>
    <row r="408" spans="1:10" x14ac:dyDescent="0.3">
      <c r="A408" s="61">
        <v>420</v>
      </c>
      <c r="B408" s="79" t="s">
        <v>2211</v>
      </c>
      <c r="C408" s="75" t="s">
        <v>2212</v>
      </c>
      <c r="D408" s="84">
        <v>5418543</v>
      </c>
      <c r="E408" s="92" t="s">
        <v>2213</v>
      </c>
      <c r="F408" s="88" t="s">
        <v>1431</v>
      </c>
      <c r="G408" s="101">
        <v>5357934</v>
      </c>
      <c r="H408" s="109" t="str">
        <f>CONCATENATE(BDPADRES[[#This Row],[NOMBRES MADRE]]," ",BDPADRES[[#This Row],[APELLIDOS MADRE]])</f>
        <v>YULEIDY FERNANDEZ OSINAGA</v>
      </c>
      <c r="I408" s="105"/>
      <c r="J408" s="93">
        <v>63558606</v>
      </c>
    </row>
    <row r="409" spans="1:10" x14ac:dyDescent="0.3">
      <c r="A409" s="61">
        <v>421</v>
      </c>
      <c r="B409" s="79" t="s">
        <v>1377</v>
      </c>
      <c r="C409" s="75" t="s">
        <v>2939</v>
      </c>
      <c r="D409" s="84">
        <v>5821986</v>
      </c>
      <c r="E409" s="92" t="s">
        <v>1378</v>
      </c>
      <c r="F409" s="88" t="s">
        <v>760</v>
      </c>
      <c r="G409" s="101">
        <v>8096343</v>
      </c>
      <c r="H409" s="109" t="str">
        <f>CONCATENATE(BDPADRES[[#This Row],[NOMBRES MADRE]]," ",BDPADRES[[#This Row],[APELLIDOS MADRE]])</f>
        <v>NELIDA MARTINEZ PEREZ</v>
      </c>
      <c r="I409" s="105"/>
      <c r="J409" s="93">
        <v>73896318</v>
      </c>
    </row>
    <row r="410" spans="1:10" x14ac:dyDescent="0.3">
      <c r="A410" s="61">
        <v>422</v>
      </c>
      <c r="B410" s="79" t="s">
        <v>1318</v>
      </c>
      <c r="C410" s="75" t="s">
        <v>1319</v>
      </c>
      <c r="D410" s="84"/>
      <c r="E410" s="92" t="s">
        <v>1320</v>
      </c>
      <c r="F410" s="88" t="s">
        <v>1267</v>
      </c>
      <c r="G410" s="101">
        <v>6386712</v>
      </c>
      <c r="H410" s="109" t="str">
        <f>CONCATENATE(BDPADRES[[#This Row],[NOMBRES MADRE]]," ",BDPADRES[[#This Row],[APELLIDOS MADRE]])</f>
        <v>ELFY MORALES MOSCOSO</v>
      </c>
      <c r="I410" s="105"/>
      <c r="J410" s="93">
        <v>69106695</v>
      </c>
    </row>
    <row r="411" spans="1:10" x14ac:dyDescent="0.3">
      <c r="A411" s="61">
        <v>423</v>
      </c>
      <c r="B411" s="79" t="s">
        <v>1484</v>
      </c>
      <c r="C411" s="75" t="s">
        <v>2361</v>
      </c>
      <c r="D411" s="84"/>
      <c r="E411" s="92" t="s">
        <v>2362</v>
      </c>
      <c r="F411" s="88" t="s">
        <v>2363</v>
      </c>
      <c r="G411" s="101">
        <v>8876200</v>
      </c>
      <c r="H411" s="109" t="str">
        <f>CONCATENATE(BDPADRES[[#This Row],[NOMBRES MADRE]]," ",BDPADRES[[#This Row],[APELLIDOS MADRE]])</f>
        <v>SILVIA  CHOQUE ESPINOZA</v>
      </c>
      <c r="I411" s="105"/>
      <c r="J411" s="93">
        <v>76670137</v>
      </c>
    </row>
    <row r="412" spans="1:10" x14ac:dyDescent="0.3">
      <c r="A412" s="61">
        <v>425</v>
      </c>
      <c r="B412" s="79" t="s">
        <v>2084</v>
      </c>
      <c r="C412" s="75" t="s">
        <v>2085</v>
      </c>
      <c r="D412" s="84"/>
      <c r="E412" s="92" t="s">
        <v>2086</v>
      </c>
      <c r="F412" s="88" t="s">
        <v>2087</v>
      </c>
      <c r="G412" s="101">
        <v>96000966</v>
      </c>
      <c r="H412" s="109" t="str">
        <f>CONCATENATE(BDPADRES[[#This Row],[NOMBRES MADRE]]," ",BDPADRES[[#This Row],[APELLIDOS MADRE]])</f>
        <v>ALICIA MAMANI GARCIA</v>
      </c>
      <c r="I412" s="105"/>
      <c r="J412" s="93">
        <v>62048317</v>
      </c>
    </row>
    <row r="413" spans="1:10" x14ac:dyDescent="0.3">
      <c r="A413" s="61">
        <v>426</v>
      </c>
      <c r="B413" s="79" t="s">
        <v>529</v>
      </c>
      <c r="C413" s="75" t="s">
        <v>530</v>
      </c>
      <c r="D413" s="84">
        <v>8944680</v>
      </c>
      <c r="E413" s="92" t="s">
        <v>531</v>
      </c>
      <c r="F413" s="88" t="s">
        <v>532</v>
      </c>
      <c r="G413" s="101">
        <v>6360535</v>
      </c>
      <c r="H413" s="109" t="str">
        <f>CONCATENATE(BDPADRES[[#This Row],[NOMBRES MADRE]]," ",BDPADRES[[#This Row],[APELLIDOS MADRE]])</f>
        <v>ELIANA CONDORI QUISPE</v>
      </c>
      <c r="I413" s="105"/>
      <c r="J413" s="93">
        <v>76632599</v>
      </c>
    </row>
    <row r="414" spans="1:10" x14ac:dyDescent="0.3">
      <c r="A414" s="61">
        <v>428</v>
      </c>
      <c r="B414" s="79" t="s">
        <v>269</v>
      </c>
      <c r="C414" s="75" t="s">
        <v>270</v>
      </c>
      <c r="D414" s="84">
        <v>8113127</v>
      </c>
      <c r="E414" s="92" t="s">
        <v>271</v>
      </c>
      <c r="F414" s="88" t="s">
        <v>272</v>
      </c>
      <c r="G414" s="101">
        <v>8146388</v>
      </c>
      <c r="H414" s="109" t="str">
        <f>CONCATENATE(BDPADRES[[#This Row],[NOMBRES MADRE]]," ",BDPADRES[[#This Row],[APELLIDOS MADRE]])</f>
        <v>VIVIANA RIVERA AVALOS</v>
      </c>
      <c r="I414" s="105"/>
      <c r="J414" s="95">
        <v>77688457</v>
      </c>
    </row>
    <row r="415" spans="1:10" x14ac:dyDescent="0.3">
      <c r="A415" s="61">
        <v>429</v>
      </c>
      <c r="B415" s="79" t="s">
        <v>2377</v>
      </c>
      <c r="C415" s="75" t="s">
        <v>2378</v>
      </c>
      <c r="D415" s="84">
        <v>5866323</v>
      </c>
      <c r="E415" s="92" t="s">
        <v>2379</v>
      </c>
      <c r="F415" s="88" t="s">
        <v>513</v>
      </c>
      <c r="G415" s="101">
        <v>6367374</v>
      </c>
      <c r="H415" s="109" t="str">
        <f>CONCATENATE(BDPADRES[[#This Row],[NOMBRES MADRE]]," ",BDPADRES[[#This Row],[APELLIDOS MADRE]])</f>
        <v>SALOME CASTRO PINTO</v>
      </c>
      <c r="I415" s="105"/>
      <c r="J415" s="93">
        <v>74685534</v>
      </c>
    </row>
    <row r="416" spans="1:10" x14ac:dyDescent="0.3">
      <c r="A416" s="61">
        <v>430</v>
      </c>
      <c r="B416" s="79" t="s">
        <v>732</v>
      </c>
      <c r="C416" s="75" t="s">
        <v>733</v>
      </c>
      <c r="D416" s="84">
        <v>8153626</v>
      </c>
      <c r="E416" s="92" t="s">
        <v>105</v>
      </c>
      <c r="F416" s="88" t="s">
        <v>734</v>
      </c>
      <c r="G416" s="101">
        <v>6223555</v>
      </c>
      <c r="H416" s="109" t="str">
        <f>CONCATENATE(BDPADRES[[#This Row],[NOMBRES MADRE]]," ",BDPADRES[[#This Row],[APELLIDOS MADRE]])</f>
        <v>SANDRA MATURANO GARCIA</v>
      </c>
      <c r="I416" s="105"/>
      <c r="J416" s="93">
        <v>63655371</v>
      </c>
    </row>
    <row r="417" spans="1:10" x14ac:dyDescent="0.3">
      <c r="A417" s="61">
        <v>431</v>
      </c>
      <c r="B417" s="79" t="s">
        <v>69</v>
      </c>
      <c r="C417" s="75" t="s">
        <v>70</v>
      </c>
      <c r="D417" s="84"/>
      <c r="E417" s="92" t="s">
        <v>71</v>
      </c>
      <c r="F417" s="88" t="s">
        <v>72</v>
      </c>
      <c r="G417" s="101">
        <v>4689833</v>
      </c>
      <c r="H417" s="109" t="str">
        <f>CONCATENATE(BDPADRES[[#This Row],[NOMBRES MADRE]]," ",BDPADRES[[#This Row],[APELLIDOS MADRE]])</f>
        <v>MARIBEL  ARROYO ESCOBAR</v>
      </c>
      <c r="I417" s="105"/>
      <c r="J417" s="93">
        <v>71300914</v>
      </c>
    </row>
    <row r="418" spans="1:10" x14ac:dyDescent="0.3">
      <c r="A418" s="61">
        <v>432</v>
      </c>
      <c r="B418" s="79" t="s">
        <v>1313</v>
      </c>
      <c r="C418" s="75" t="s">
        <v>1314</v>
      </c>
      <c r="D418" s="84">
        <v>8194275</v>
      </c>
      <c r="E418" s="92" t="s">
        <v>1315</v>
      </c>
      <c r="F418" s="88" t="s">
        <v>1316</v>
      </c>
      <c r="G418" s="101">
        <v>13402548</v>
      </c>
      <c r="H418" s="109" t="str">
        <f>CONCATENATE(BDPADRES[[#This Row],[NOMBRES MADRE]]," ",BDPADRES[[#This Row],[APELLIDOS MADRE]])</f>
        <v>CONSUELO VANESA GARCIA ALVAREZ</v>
      </c>
      <c r="I418" s="105"/>
      <c r="J418" s="93">
        <v>63381767</v>
      </c>
    </row>
    <row r="419" spans="1:10" x14ac:dyDescent="0.3">
      <c r="A419" s="61">
        <v>433</v>
      </c>
      <c r="B419" s="79" t="s">
        <v>1151</v>
      </c>
      <c r="C419" s="75" t="s">
        <v>1152</v>
      </c>
      <c r="D419" s="84">
        <v>76034580</v>
      </c>
      <c r="E419" s="92" t="s">
        <v>1153</v>
      </c>
      <c r="F419" s="88" t="s">
        <v>1154</v>
      </c>
      <c r="G419" s="101">
        <v>6232804</v>
      </c>
      <c r="H419" s="109" t="str">
        <f>CONCATENATE(BDPADRES[[#This Row],[NOMBRES MADRE]]," ",BDPADRES[[#This Row],[APELLIDOS MADRE]])</f>
        <v>ERCILIA PACHA ARCIBIA</v>
      </c>
      <c r="I419" s="105"/>
      <c r="J419" s="93"/>
    </row>
    <row r="420" spans="1:10" x14ac:dyDescent="0.3">
      <c r="A420" s="64">
        <v>434</v>
      </c>
      <c r="B420" s="79" t="s">
        <v>1244</v>
      </c>
      <c r="C420" s="75" t="s">
        <v>1245</v>
      </c>
      <c r="D420" s="84">
        <v>13668555</v>
      </c>
      <c r="E420" s="92" t="s">
        <v>1246</v>
      </c>
      <c r="F420" s="88" t="s">
        <v>1247</v>
      </c>
      <c r="G420" s="101">
        <v>11303815</v>
      </c>
      <c r="H420" s="109" t="str">
        <f>CONCATENATE(BDPADRES[[#This Row],[NOMBRES MADRE]]," ",BDPADRES[[#This Row],[APELLIDOS MADRE]])</f>
        <v>IDE RODRIGUEZ LIZO</v>
      </c>
      <c r="I420" s="105">
        <v>76055372</v>
      </c>
      <c r="J420" s="93"/>
    </row>
    <row r="421" spans="1:10" x14ac:dyDescent="0.3">
      <c r="A421" s="61">
        <v>435</v>
      </c>
      <c r="B421" s="79" t="s">
        <v>971</v>
      </c>
      <c r="C421" s="75" t="s">
        <v>2243</v>
      </c>
      <c r="D421" s="84">
        <v>6358768</v>
      </c>
      <c r="E421" s="92" t="s">
        <v>2244</v>
      </c>
      <c r="F421" s="88" t="s">
        <v>2245</v>
      </c>
      <c r="G421" s="101">
        <v>5841745</v>
      </c>
      <c r="H421" s="109" t="str">
        <f>CONCATENATE(BDPADRES[[#This Row],[NOMBRES MADRE]]," ",BDPADRES[[#This Row],[APELLIDOS MADRE]])</f>
        <v>RUTH VIDAL</v>
      </c>
      <c r="I421" s="105"/>
      <c r="J421" s="93">
        <v>77310319</v>
      </c>
    </row>
    <row r="422" spans="1:10" x14ac:dyDescent="0.3">
      <c r="A422" s="61">
        <v>436</v>
      </c>
      <c r="B422" s="79" t="s">
        <v>2207</v>
      </c>
      <c r="C422" s="75" t="s">
        <v>2208</v>
      </c>
      <c r="D422" s="84"/>
      <c r="E422" s="92" t="s">
        <v>312</v>
      </c>
      <c r="F422" s="88" t="s">
        <v>2209</v>
      </c>
      <c r="G422" s="101">
        <v>14161125</v>
      </c>
      <c r="H422" s="109" t="str">
        <f>CONCATENATE(BDPADRES[[#This Row],[NOMBRES MADRE]]," ",BDPADRES[[#This Row],[APELLIDOS MADRE]])</f>
        <v>MARTHA HUISA ROMAN</v>
      </c>
      <c r="I422" s="105"/>
      <c r="J422" s="93">
        <v>75687029</v>
      </c>
    </row>
    <row r="423" spans="1:10" x14ac:dyDescent="0.3">
      <c r="A423" s="61">
        <v>437</v>
      </c>
      <c r="B423" s="79" t="s">
        <v>323</v>
      </c>
      <c r="C423" s="75" t="s">
        <v>2937</v>
      </c>
      <c r="D423" s="84">
        <v>5658166</v>
      </c>
      <c r="E423" s="92" t="s">
        <v>975</v>
      </c>
      <c r="F423" s="88" t="s">
        <v>2396</v>
      </c>
      <c r="G423" s="101">
        <v>5674608</v>
      </c>
      <c r="H423" s="109" t="str">
        <f>CONCATENATE(BDPADRES[[#This Row],[NOMBRES MADRE]]," ",BDPADRES[[#This Row],[APELLIDOS MADRE]])</f>
        <v>SANTUSA MONCADA AMADOR</v>
      </c>
      <c r="I423" s="105"/>
      <c r="J423" s="93">
        <v>63744198</v>
      </c>
    </row>
    <row r="424" spans="1:10" x14ac:dyDescent="0.3">
      <c r="A424" s="61">
        <v>438</v>
      </c>
      <c r="B424" s="79" t="s">
        <v>319</v>
      </c>
      <c r="C424" s="75" t="s">
        <v>1477</v>
      </c>
      <c r="D424" s="84"/>
      <c r="E424" s="92" t="s">
        <v>1425</v>
      </c>
      <c r="F424" s="88" t="s">
        <v>1478</v>
      </c>
      <c r="G424" s="101">
        <v>7841282</v>
      </c>
      <c r="H424" s="109" t="str">
        <f>CONCATENATE(BDPADRES[[#This Row],[NOMBRES MADRE]]," ",BDPADRES[[#This Row],[APELLIDOS MADRE]])</f>
        <v>SABINA PADILLA ZENTENO</v>
      </c>
      <c r="I424" s="105"/>
      <c r="J424" s="93">
        <v>77658336</v>
      </c>
    </row>
    <row r="425" spans="1:10" x14ac:dyDescent="0.3">
      <c r="A425" s="61">
        <v>439</v>
      </c>
      <c r="B425" s="79" t="s">
        <v>971</v>
      </c>
      <c r="C425" s="75" t="s">
        <v>1570</v>
      </c>
      <c r="D425" s="84">
        <v>9049671</v>
      </c>
      <c r="E425" s="92" t="s">
        <v>1571</v>
      </c>
      <c r="F425" s="88" t="s">
        <v>1572</v>
      </c>
      <c r="G425" s="101">
        <v>7660801</v>
      </c>
      <c r="H425" s="109" t="str">
        <f>CONCATENATE(BDPADRES[[#This Row],[NOMBRES MADRE]]," ",BDPADRES[[#This Row],[APELLIDOS MADRE]])</f>
        <v>GIOVANA  MOREIRA VARGAS</v>
      </c>
      <c r="I425" s="105"/>
      <c r="J425" s="93">
        <v>67715087</v>
      </c>
    </row>
    <row r="426" spans="1:10" x14ac:dyDescent="0.3">
      <c r="A426" s="61">
        <v>440</v>
      </c>
      <c r="B426" s="79" t="s">
        <v>433</v>
      </c>
      <c r="C426" s="75" t="s">
        <v>434</v>
      </c>
      <c r="D426" s="84">
        <v>7133403</v>
      </c>
      <c r="E426" s="92" t="s">
        <v>435</v>
      </c>
      <c r="F426" s="88" t="s">
        <v>408</v>
      </c>
      <c r="G426" s="101">
        <v>9779802</v>
      </c>
      <c r="H426" s="109" t="str">
        <f>CONCATENATE(BDPADRES[[#This Row],[NOMBRES MADRE]]," ",BDPADRES[[#This Row],[APELLIDOS MADRE]])</f>
        <v>GETHZY IVETH MAMANI FIGUEROA</v>
      </c>
      <c r="I426" s="105"/>
      <c r="J426" s="93">
        <v>68864316</v>
      </c>
    </row>
    <row r="427" spans="1:10" x14ac:dyDescent="0.3">
      <c r="A427" s="61">
        <v>441</v>
      </c>
      <c r="B427" s="79" t="s">
        <v>93</v>
      </c>
      <c r="C427" s="75" t="s">
        <v>94</v>
      </c>
      <c r="D427" s="84">
        <v>5667674</v>
      </c>
      <c r="E427" s="92" t="s">
        <v>95</v>
      </c>
      <c r="F427" s="88" t="s">
        <v>96</v>
      </c>
      <c r="G427" s="101"/>
      <c r="H427" s="109" t="str">
        <f>CONCATENATE(BDPADRES[[#This Row],[NOMBRES MADRE]]," ",BDPADRES[[#This Row],[APELLIDOS MADRE]])</f>
        <v>DANIELA PEÑA PACHI</v>
      </c>
      <c r="I427" s="105">
        <v>63396876</v>
      </c>
      <c r="J427" s="93"/>
    </row>
    <row r="428" spans="1:10" x14ac:dyDescent="0.3">
      <c r="A428" s="61">
        <v>442</v>
      </c>
      <c r="B428" s="79" t="s">
        <v>175</v>
      </c>
      <c r="C428" s="75" t="s">
        <v>176</v>
      </c>
      <c r="D428" s="84"/>
      <c r="E428" s="92" t="s">
        <v>177</v>
      </c>
      <c r="F428" s="88" t="s">
        <v>178</v>
      </c>
      <c r="G428" s="101">
        <v>7857045</v>
      </c>
      <c r="H428" s="109" t="str">
        <f>CONCATENATE(BDPADRES[[#This Row],[NOMBRES MADRE]]," ",BDPADRES[[#This Row],[APELLIDOS MADRE]])</f>
        <v>RILMA FIGUEROA HINOJOSA</v>
      </c>
      <c r="I428" s="105"/>
      <c r="J428" s="93">
        <v>79077130</v>
      </c>
    </row>
    <row r="429" spans="1:10" x14ac:dyDescent="0.3">
      <c r="A429" s="63">
        <v>443</v>
      </c>
      <c r="B429" s="79" t="s">
        <v>1045</v>
      </c>
      <c r="C429" s="75" t="s">
        <v>1046</v>
      </c>
      <c r="D429" s="84">
        <v>73107791</v>
      </c>
      <c r="E429" s="92" t="s">
        <v>1047</v>
      </c>
      <c r="F429" s="88" t="s">
        <v>1048</v>
      </c>
      <c r="G429" s="101">
        <v>7699634</v>
      </c>
      <c r="H429" s="109" t="str">
        <f>CONCATENATE(BDPADRES[[#This Row],[NOMBRES MADRE]]," ",BDPADRES[[#This Row],[APELLIDOS MADRE]])</f>
        <v>KARINA CHURATA LAMAS</v>
      </c>
      <c r="I429" s="105"/>
      <c r="J429" s="93">
        <v>70448656</v>
      </c>
    </row>
    <row r="430" spans="1:10" x14ac:dyDescent="0.3">
      <c r="A430" s="61">
        <v>444</v>
      </c>
      <c r="B430" s="79" t="s">
        <v>1172</v>
      </c>
      <c r="C430" s="75" t="s">
        <v>595</v>
      </c>
      <c r="D430" s="84"/>
      <c r="E430" s="92" t="s">
        <v>263</v>
      </c>
      <c r="F430" s="88" t="s">
        <v>1149</v>
      </c>
      <c r="G430" s="101">
        <v>4013626</v>
      </c>
      <c r="H430" s="109" t="str">
        <f>CONCATENATE(BDPADRES[[#This Row],[NOMBRES MADRE]]," ",BDPADRES[[#This Row],[APELLIDOS MADRE]])</f>
        <v>JAHEL  ROMERO ACHO</v>
      </c>
      <c r="I430" s="105"/>
      <c r="J430" s="93">
        <v>75514687</v>
      </c>
    </row>
    <row r="431" spans="1:10" x14ac:dyDescent="0.3">
      <c r="A431" s="61">
        <v>445</v>
      </c>
      <c r="B431" s="79" t="s">
        <v>323</v>
      </c>
      <c r="C431" s="75" t="s">
        <v>1592</v>
      </c>
      <c r="D431" s="84">
        <v>5853074</v>
      </c>
      <c r="E431" s="92" t="s">
        <v>1305</v>
      </c>
      <c r="F431" s="88" t="s">
        <v>1593</v>
      </c>
      <c r="G431" s="101">
        <v>5487825</v>
      </c>
      <c r="H431" s="109" t="str">
        <f>CONCATENATE(BDPADRES[[#This Row],[NOMBRES MADRE]]," ",BDPADRES[[#This Row],[APELLIDOS MADRE]])</f>
        <v>MARISOL CHAVARRIA SANCHEZ</v>
      </c>
      <c r="I431" s="105">
        <v>726139001</v>
      </c>
      <c r="J431" s="93"/>
    </row>
    <row r="432" spans="1:10" x14ac:dyDescent="0.3">
      <c r="A432" s="61">
        <v>446</v>
      </c>
      <c r="B432" s="79" t="s">
        <v>1620</v>
      </c>
      <c r="C432" s="75" t="s">
        <v>2059</v>
      </c>
      <c r="D432" s="84"/>
      <c r="E432" s="92" t="s">
        <v>2060</v>
      </c>
      <c r="F432" s="88" t="s">
        <v>2061</v>
      </c>
      <c r="G432" s="101">
        <v>6336530</v>
      </c>
      <c r="H432" s="109" t="str">
        <f>CONCATENATE(BDPADRES[[#This Row],[NOMBRES MADRE]]," ",BDPADRES[[#This Row],[APELLIDOS MADRE]])</f>
        <v>JESIKA BONILLA GALVIZ</v>
      </c>
      <c r="I432" s="105"/>
      <c r="J432" s="93">
        <v>68758595</v>
      </c>
    </row>
    <row r="433" spans="1:10" x14ac:dyDescent="0.3">
      <c r="A433" s="61">
        <v>449</v>
      </c>
      <c r="B433" s="79" t="s">
        <v>806</v>
      </c>
      <c r="C433" s="75" t="s">
        <v>1670</v>
      </c>
      <c r="D433" s="84">
        <v>5358635</v>
      </c>
      <c r="E433" s="92" t="s">
        <v>1671</v>
      </c>
      <c r="F433" s="88" t="s">
        <v>1517</v>
      </c>
      <c r="G433" s="101">
        <v>5859093</v>
      </c>
      <c r="H433" s="109" t="str">
        <f>CONCATENATE(BDPADRES[[#This Row],[NOMBRES MADRE]]," ",BDPADRES[[#This Row],[APELLIDOS MADRE]])</f>
        <v>CINTHIA RODRIGUEZ MARISCAL</v>
      </c>
      <c r="I433" s="105"/>
      <c r="J433" s="95">
        <v>76082763</v>
      </c>
    </row>
    <row r="434" spans="1:10" x14ac:dyDescent="0.3">
      <c r="A434" s="63">
        <v>452</v>
      </c>
      <c r="B434" s="79" t="s">
        <v>208</v>
      </c>
      <c r="C434" s="75" t="s">
        <v>280</v>
      </c>
      <c r="D434" s="84">
        <v>7668520</v>
      </c>
      <c r="E434" s="92" t="s">
        <v>281</v>
      </c>
      <c r="F434" s="88" t="s">
        <v>282</v>
      </c>
      <c r="G434" s="101">
        <v>3925720</v>
      </c>
      <c r="H434" s="109" t="str">
        <f>CONCATENATE(BDPADRES[[#This Row],[NOMBRES MADRE]]," ",BDPADRES[[#This Row],[APELLIDOS MADRE]])</f>
        <v>LORENA RODRIGUEZ CAMACHO</v>
      </c>
      <c r="I434" s="105"/>
      <c r="J434" s="93">
        <v>63587804</v>
      </c>
    </row>
    <row r="435" spans="1:10" x14ac:dyDescent="0.3">
      <c r="A435" s="61">
        <v>454</v>
      </c>
      <c r="B435" s="79" t="s">
        <v>85</v>
      </c>
      <c r="C435" s="75" t="s">
        <v>2154</v>
      </c>
      <c r="D435" s="84">
        <v>7666191</v>
      </c>
      <c r="E435" s="92" t="s">
        <v>730</v>
      </c>
      <c r="F435" s="88" t="s">
        <v>2155</v>
      </c>
      <c r="G435" s="101">
        <v>8914423</v>
      </c>
      <c r="H435" s="109" t="str">
        <f>CONCATENATE(BDPADRES[[#This Row],[NOMBRES MADRE]]," ",BDPADRES[[#This Row],[APELLIDOS MADRE]])</f>
        <v>LOURDES ORIAS CALDERON</v>
      </c>
      <c r="I435" s="105"/>
      <c r="J435" s="93">
        <v>76640269</v>
      </c>
    </row>
    <row r="436" spans="1:10" x14ac:dyDescent="0.3">
      <c r="A436" s="61">
        <v>455</v>
      </c>
      <c r="B436" s="79" t="s">
        <v>1353</v>
      </c>
      <c r="C436" s="75" t="s">
        <v>2092</v>
      </c>
      <c r="D436" s="84">
        <v>4606279</v>
      </c>
      <c r="E436" s="92" t="s">
        <v>2093</v>
      </c>
      <c r="F436" s="88" t="s">
        <v>2094</v>
      </c>
      <c r="G436" s="101">
        <v>6570575</v>
      </c>
      <c r="H436" s="109" t="str">
        <f>CONCATENATE(BDPADRES[[#This Row],[NOMBRES MADRE]]," ",BDPADRES[[#This Row],[APELLIDOS MADRE]])</f>
        <v>DAMIANA COLQUE QUISPE</v>
      </c>
      <c r="I436" s="105"/>
      <c r="J436" s="93"/>
    </row>
    <row r="437" spans="1:10" x14ac:dyDescent="0.3">
      <c r="A437" s="61">
        <v>472</v>
      </c>
      <c r="B437" s="79" t="s">
        <v>433</v>
      </c>
      <c r="C437" s="75" t="s">
        <v>3004</v>
      </c>
      <c r="D437" s="84"/>
      <c r="E437" s="92" t="s">
        <v>3005</v>
      </c>
      <c r="F437" s="88" t="s">
        <v>3006</v>
      </c>
      <c r="G437" s="101">
        <v>6233237</v>
      </c>
      <c r="H437" s="109" t="str">
        <f>CONCATENATE(BDPADRES[[#This Row],[NOMBRES MADRE]]," ",BDPADRES[[#This Row],[APELLIDOS MADRE]])</f>
        <v>CATHIA ORTIZ CRUZ</v>
      </c>
      <c r="I437" s="105"/>
      <c r="J437" s="93">
        <v>75600418</v>
      </c>
    </row>
    <row r="438" spans="1:10" x14ac:dyDescent="0.3">
      <c r="A438" s="61" t="s">
        <v>3155</v>
      </c>
      <c r="B438" s="79" t="s">
        <v>1620</v>
      </c>
      <c r="C438" s="75" t="s">
        <v>1240</v>
      </c>
      <c r="D438" s="85">
        <v>8994762</v>
      </c>
      <c r="E438" s="92" t="s">
        <v>2268</v>
      </c>
      <c r="F438" s="88" t="s">
        <v>2269</v>
      </c>
      <c r="G438" s="101">
        <v>8148695</v>
      </c>
      <c r="H438" s="109" t="str">
        <f>CONCATENATE(BDPADRES[[#This Row],[NOMBRES MADRE]]," ",BDPADRES[[#This Row],[APELLIDOS MADRE]])</f>
        <v>MATILDE FLORES MAIZARES</v>
      </c>
      <c r="I438" s="105">
        <v>76036339</v>
      </c>
      <c r="J438" s="99"/>
    </row>
    <row r="439" spans="1:10" x14ac:dyDescent="0.3">
      <c r="A439" s="61" t="s">
        <v>3114</v>
      </c>
      <c r="B439" s="79" t="s">
        <v>211</v>
      </c>
      <c r="C439" s="75" t="s">
        <v>212</v>
      </c>
      <c r="D439" s="84">
        <v>8945195</v>
      </c>
      <c r="E439" s="92" t="s">
        <v>213</v>
      </c>
      <c r="F439" s="88" t="s">
        <v>214</v>
      </c>
      <c r="G439" s="101">
        <v>7831225</v>
      </c>
      <c r="H439" s="109" t="str">
        <f>CONCATENATE(BDPADRES[[#This Row],[NOMBRES MADRE]]," ",BDPADRES[[#This Row],[APELLIDOS MADRE]])</f>
        <v>ANA LUISA RIVERA MENESES</v>
      </c>
      <c r="I439" s="105">
        <v>69237659</v>
      </c>
      <c r="J439" s="93"/>
    </row>
    <row r="440" spans="1:10" x14ac:dyDescent="0.3">
      <c r="A440" s="61" t="s">
        <v>3123</v>
      </c>
      <c r="B440" s="79" t="s">
        <v>1480</v>
      </c>
      <c r="C440" s="75" t="s">
        <v>1481</v>
      </c>
      <c r="D440" s="84">
        <v>8112786</v>
      </c>
      <c r="E440" s="92" t="s">
        <v>730</v>
      </c>
      <c r="F440" s="88" t="s">
        <v>1482</v>
      </c>
      <c r="G440" s="101">
        <v>8990131</v>
      </c>
      <c r="H440" s="109" t="str">
        <f>CONCATENATE(BDPADRES[[#This Row],[NOMBRES MADRE]]," ",BDPADRES[[#This Row],[APELLIDOS MADRE]])</f>
        <v>LOURDES FERNANDEZ ORTIZ</v>
      </c>
      <c r="I440" s="105"/>
      <c r="J440" s="93">
        <v>76025531</v>
      </c>
    </row>
    <row r="441" spans="1:10" x14ac:dyDescent="0.3">
      <c r="A441" s="61" t="s">
        <v>3124</v>
      </c>
      <c r="B441" s="79" t="s">
        <v>1156</v>
      </c>
      <c r="C441" s="75" t="s">
        <v>1157</v>
      </c>
      <c r="D441" s="84">
        <v>6217149</v>
      </c>
      <c r="E441" s="92" t="s">
        <v>1158</v>
      </c>
      <c r="F441" s="88" t="s">
        <v>1159</v>
      </c>
      <c r="G441" s="101">
        <v>7826336</v>
      </c>
      <c r="H441" s="109" t="str">
        <f>CONCATENATE(BDPADRES[[#This Row],[NOMBRES MADRE]]," ",BDPADRES[[#This Row],[APELLIDOS MADRE]])</f>
        <v>DEYSY ROBLEDO AVALOS</v>
      </c>
      <c r="I441" s="105">
        <v>74445041</v>
      </c>
      <c r="J441" s="93"/>
    </row>
    <row r="442" spans="1:10" x14ac:dyDescent="0.3">
      <c r="A442" s="61" t="s">
        <v>3125</v>
      </c>
      <c r="B442" s="79" t="s">
        <v>2299</v>
      </c>
      <c r="C442" s="75" t="s">
        <v>2300</v>
      </c>
      <c r="D442" s="84">
        <v>6217244</v>
      </c>
      <c r="E442" s="92" t="s">
        <v>2301</v>
      </c>
      <c r="F442" s="88" t="s">
        <v>2302</v>
      </c>
      <c r="G442" s="101">
        <v>7805334</v>
      </c>
      <c r="H442" s="109" t="str">
        <f>CONCATENATE(BDPADRES[[#This Row],[NOMBRES MADRE]]," ",BDPADRES[[#This Row],[APELLIDOS MADRE]])</f>
        <v>MARIANA VACA NOVA</v>
      </c>
      <c r="I442" s="105"/>
      <c r="J442" s="93">
        <v>78579710</v>
      </c>
    </row>
    <row r="443" spans="1:10" x14ac:dyDescent="0.3">
      <c r="A443" s="61" t="s">
        <v>3126</v>
      </c>
      <c r="B443" s="79" t="s">
        <v>1213</v>
      </c>
      <c r="C443" s="75" t="s">
        <v>2373</v>
      </c>
      <c r="D443" s="84">
        <v>5496735</v>
      </c>
      <c r="E443" s="92" t="s">
        <v>2374</v>
      </c>
      <c r="F443" s="88" t="s">
        <v>2375</v>
      </c>
      <c r="G443" s="101">
        <v>7460968</v>
      </c>
      <c r="H443" s="109" t="str">
        <f>CONCATENATE(BDPADRES[[#This Row],[NOMBRES MADRE]]," ",BDPADRES[[#This Row],[APELLIDOS MADRE]])</f>
        <v>ADRIANA HUAILLA ORELLANA</v>
      </c>
      <c r="I443" s="105"/>
      <c r="J443" s="93">
        <v>78006490</v>
      </c>
    </row>
    <row r="444" spans="1:10" x14ac:dyDescent="0.3">
      <c r="A444" s="61" t="s">
        <v>3127</v>
      </c>
      <c r="B444" s="79" t="s">
        <v>1167</v>
      </c>
      <c r="C444" s="75" t="s">
        <v>1168</v>
      </c>
      <c r="D444" s="84">
        <v>5418092</v>
      </c>
      <c r="E444" s="92" t="s">
        <v>1169</v>
      </c>
      <c r="F444" s="88" t="s">
        <v>1170</v>
      </c>
      <c r="G444" s="101">
        <v>7706080</v>
      </c>
      <c r="H444" s="109" t="str">
        <f>CONCATENATE(BDPADRES[[#This Row],[NOMBRES MADRE]]," ",BDPADRES[[#This Row],[APELLIDOS MADRE]])</f>
        <v>MIRIAN MENDOZA RIVERA</v>
      </c>
      <c r="I444" s="105">
        <v>76344270</v>
      </c>
      <c r="J444" s="93"/>
    </row>
    <row r="445" spans="1:10" x14ac:dyDescent="0.3">
      <c r="A445" s="61" t="s">
        <v>3128</v>
      </c>
      <c r="B445" s="79" t="s">
        <v>547</v>
      </c>
      <c r="C445" s="75" t="s">
        <v>548</v>
      </c>
      <c r="D445" s="84">
        <v>4708373</v>
      </c>
      <c r="E445" s="92" t="s">
        <v>549</v>
      </c>
      <c r="F445" s="88" t="s">
        <v>550</v>
      </c>
      <c r="G445" s="101">
        <v>4624999</v>
      </c>
      <c r="H445" s="109" t="str">
        <f>CONCATENATE(BDPADRES[[#This Row],[NOMBRES MADRE]]," ",BDPADRES[[#This Row],[APELLIDOS MADRE]])</f>
        <v>HERMINIA QUEMAYA GARCIA</v>
      </c>
      <c r="I445" s="105"/>
      <c r="J445" s="93">
        <v>78099846</v>
      </c>
    </row>
    <row r="446" spans="1:10" x14ac:dyDescent="0.3">
      <c r="A446" s="61" t="s">
        <v>3129</v>
      </c>
      <c r="B446" s="79" t="s">
        <v>2306</v>
      </c>
      <c r="C446" s="75" t="s">
        <v>2307</v>
      </c>
      <c r="D446" s="84">
        <v>5388937</v>
      </c>
      <c r="E446" s="92" t="s">
        <v>712</v>
      </c>
      <c r="F446" s="88" t="s">
        <v>2308</v>
      </c>
      <c r="G446" s="101">
        <v>7676223</v>
      </c>
      <c r="H446" s="109" t="str">
        <f>CONCATENATE(BDPADRES[[#This Row],[NOMBRES MADRE]]," ",BDPADRES[[#This Row],[APELLIDOS MADRE]])</f>
        <v>DELMA MERUBIA AVILA</v>
      </c>
      <c r="I446" s="105"/>
      <c r="J446" s="93">
        <v>77044084</v>
      </c>
    </row>
    <row r="447" spans="1:10" x14ac:dyDescent="0.3">
      <c r="A447" s="61" t="s">
        <v>3130</v>
      </c>
      <c r="B447" s="79" t="s">
        <v>2042</v>
      </c>
      <c r="C447" s="75" t="s">
        <v>2310</v>
      </c>
      <c r="D447" s="84">
        <v>3864154</v>
      </c>
      <c r="E447" s="92" t="s">
        <v>2311</v>
      </c>
      <c r="F447" s="88" t="s">
        <v>279</v>
      </c>
      <c r="G447" s="101">
        <v>5398268</v>
      </c>
      <c r="H447" s="109" t="str">
        <f>CONCATENATE(BDPADRES[[#This Row],[NOMBRES MADRE]]," ",BDPADRES[[#This Row],[APELLIDOS MADRE]])</f>
        <v>YOVANA MARTINEZ ROMERO</v>
      </c>
      <c r="I447" s="105"/>
      <c r="J447" s="93">
        <v>71052437</v>
      </c>
    </row>
    <row r="448" spans="1:10" x14ac:dyDescent="0.3">
      <c r="A448" s="61">
        <v>465</v>
      </c>
      <c r="B448" s="79" t="s">
        <v>1009</v>
      </c>
      <c r="C448" s="75" t="s">
        <v>1657</v>
      </c>
      <c r="D448" s="84">
        <v>4684616</v>
      </c>
      <c r="E448" s="92" t="s">
        <v>1658</v>
      </c>
      <c r="F448" s="88" t="s">
        <v>1659</v>
      </c>
      <c r="G448" s="101">
        <v>4606151</v>
      </c>
      <c r="H448" s="109" t="str">
        <f>CONCATENATE(BDPADRES[[#This Row],[NOMBRES MADRE]]," ",BDPADRES[[#This Row],[APELLIDOS MADRE]])</f>
        <v>LINA SOLIS GARNICA</v>
      </c>
      <c r="I448" s="105"/>
      <c r="J448" s="93">
        <v>78199706</v>
      </c>
    </row>
    <row r="449" spans="1:10" x14ac:dyDescent="0.3">
      <c r="A449" s="61" t="s">
        <v>3132</v>
      </c>
      <c r="B449" s="79" t="s">
        <v>597</v>
      </c>
      <c r="C449" s="75" t="s">
        <v>598</v>
      </c>
      <c r="D449" s="84">
        <v>5373520</v>
      </c>
      <c r="E449" s="92" t="s">
        <v>599</v>
      </c>
      <c r="F449" s="88" t="s">
        <v>600</v>
      </c>
      <c r="G449" s="101">
        <v>9717821</v>
      </c>
      <c r="H449" s="109" t="str">
        <f>CONCATENATE(BDPADRES[[#This Row],[NOMBRES MADRE]]," ",BDPADRES[[#This Row],[APELLIDOS MADRE]])</f>
        <v>NORMA FLORES ABREGO</v>
      </c>
      <c r="I449" s="105"/>
      <c r="J449" s="95">
        <v>62122694</v>
      </c>
    </row>
    <row r="450" spans="1:10" x14ac:dyDescent="0.3">
      <c r="A450" s="61" t="s">
        <v>3115</v>
      </c>
      <c r="B450" s="79" t="s">
        <v>995</v>
      </c>
      <c r="C450" s="75" t="s">
        <v>1995</v>
      </c>
      <c r="D450" s="84"/>
      <c r="E450" s="92" t="s">
        <v>1996</v>
      </c>
      <c r="F450" s="88" t="s">
        <v>1997</v>
      </c>
      <c r="G450" s="101">
        <v>6301562</v>
      </c>
      <c r="H450" s="109" t="str">
        <f>CONCATENATE(BDPADRES[[#This Row],[NOMBRES MADRE]]," ",BDPADRES[[#This Row],[APELLIDOS MADRE]])</f>
        <v>BETANIA SICPORO RODRIGUEZ</v>
      </c>
      <c r="I450" s="105"/>
      <c r="J450" s="93">
        <v>71378871</v>
      </c>
    </row>
    <row r="451" spans="1:10" x14ac:dyDescent="0.3">
      <c r="A451" s="61" t="s">
        <v>3133</v>
      </c>
      <c r="B451" s="79" t="s">
        <v>2144</v>
      </c>
      <c r="C451" s="75" t="s">
        <v>2145</v>
      </c>
      <c r="D451" s="84">
        <v>3888121</v>
      </c>
      <c r="E451" s="92" t="s">
        <v>87</v>
      </c>
      <c r="F451" s="88" t="s">
        <v>2146</v>
      </c>
      <c r="G451" s="101">
        <v>4549578</v>
      </c>
      <c r="H451" s="109" t="str">
        <f>CONCATENATE(BDPADRES[[#This Row],[NOMBRES MADRE]]," ",BDPADRES[[#This Row],[APELLIDOS MADRE]])</f>
        <v>MARGARITA COIMBRA SOLIZ</v>
      </c>
      <c r="I451" s="105"/>
      <c r="J451" s="93">
        <v>69048992</v>
      </c>
    </row>
    <row r="452" spans="1:10" x14ac:dyDescent="0.3">
      <c r="A452" s="61" t="s">
        <v>3134</v>
      </c>
      <c r="B452" s="79" t="s">
        <v>2942</v>
      </c>
      <c r="C452" s="75" t="s">
        <v>2940</v>
      </c>
      <c r="D452" s="84"/>
      <c r="E452" s="92" t="s">
        <v>2942</v>
      </c>
      <c r="F452" s="88" t="s">
        <v>2941</v>
      </c>
      <c r="G452" s="101"/>
      <c r="H452" s="109" t="str">
        <f>CONCATENATE(BDPADRES[[#This Row],[NOMBRES MADRE]]," ",BDPADRES[[#This Row],[APELLIDOS MADRE]])</f>
        <v xml:space="preserve">NREG/NOMBRE PEREZ </v>
      </c>
      <c r="I452" s="105"/>
      <c r="J452" s="93"/>
    </row>
    <row r="453" spans="1:10" x14ac:dyDescent="0.3">
      <c r="A453" s="61" t="s">
        <v>3135</v>
      </c>
      <c r="B453" s="79" t="s">
        <v>2233</v>
      </c>
      <c r="C453" s="75" t="s">
        <v>2234</v>
      </c>
      <c r="D453" s="84">
        <v>8189083</v>
      </c>
      <c r="E453" s="92" t="s">
        <v>2235</v>
      </c>
      <c r="F453" s="88" t="s">
        <v>1700</v>
      </c>
      <c r="G453" s="101">
        <v>4687044</v>
      </c>
      <c r="H453" s="109" t="str">
        <f>CONCATENATE(BDPADRES[[#This Row],[NOMBRES MADRE]]," ",BDPADRES[[#This Row],[APELLIDOS MADRE]])</f>
        <v>CIERIDEY CEREZO GARCIA</v>
      </c>
      <c r="I453" s="105"/>
      <c r="J453" s="93">
        <v>67752174</v>
      </c>
    </row>
    <row r="454" spans="1:10" x14ac:dyDescent="0.3">
      <c r="A454" s="61" t="s">
        <v>3136</v>
      </c>
      <c r="B454" s="79" t="s">
        <v>625</v>
      </c>
      <c r="C454" s="75" t="s">
        <v>626</v>
      </c>
      <c r="D454" s="84">
        <v>6290117</v>
      </c>
      <c r="E454" s="94" t="s">
        <v>3107</v>
      </c>
      <c r="F454" s="88" t="s">
        <v>627</v>
      </c>
      <c r="G454" s="101">
        <v>5383814</v>
      </c>
      <c r="H454" s="109" t="str">
        <f>CONCATENATE(BDPADRES[[#This Row],[NOMBRES MADRE]]," ",BDPADRES[[#This Row],[APELLIDOS MADRE]])</f>
        <v>CONSUELO MILENKA RAMOS VILLEGAS</v>
      </c>
      <c r="I454" s="105"/>
      <c r="J454" s="93">
        <v>75629037</v>
      </c>
    </row>
    <row r="455" spans="1:10" x14ac:dyDescent="0.3">
      <c r="A455" s="61" t="s">
        <v>3137</v>
      </c>
      <c r="B455" s="79" t="s">
        <v>323</v>
      </c>
      <c r="C455" s="75" t="s">
        <v>2382</v>
      </c>
      <c r="D455" s="84">
        <v>3293857</v>
      </c>
      <c r="E455" s="92" t="s">
        <v>2383</v>
      </c>
      <c r="F455" s="88" t="s">
        <v>2384</v>
      </c>
      <c r="G455" s="101">
        <v>5835742</v>
      </c>
      <c r="H455" s="109" t="str">
        <f>CONCATENATE(BDPADRES[[#This Row],[NOMBRES MADRE]]," ",BDPADRES[[#This Row],[APELLIDOS MADRE]])</f>
        <v>NICOLAZA BONIFAZ ALVAREZ</v>
      </c>
      <c r="I455" s="105"/>
      <c r="J455" s="93">
        <v>70281169</v>
      </c>
    </row>
    <row r="456" spans="1:10" x14ac:dyDescent="0.3">
      <c r="A456" s="61" t="s">
        <v>3138</v>
      </c>
      <c r="B456" s="79" t="s">
        <v>323</v>
      </c>
      <c r="C456" s="75" t="s">
        <v>2386</v>
      </c>
      <c r="D456" s="84">
        <v>5894617</v>
      </c>
      <c r="E456" s="92" t="s">
        <v>2238</v>
      </c>
      <c r="F456" s="88" t="s">
        <v>2387</v>
      </c>
      <c r="G456" s="101">
        <v>8246767</v>
      </c>
      <c r="H456" s="109" t="str">
        <f>CONCATENATE(BDPADRES[[#This Row],[NOMBRES MADRE]]," ",BDPADRES[[#This Row],[APELLIDOS MADRE]])</f>
        <v>MARIA CUELLAR MOSCOSO</v>
      </c>
      <c r="I456" s="105"/>
      <c r="J456" s="93">
        <v>77042325</v>
      </c>
    </row>
    <row r="457" spans="1:10" x14ac:dyDescent="0.3">
      <c r="A457" s="61" t="s">
        <v>3139</v>
      </c>
      <c r="B457" s="79" t="s">
        <v>1287</v>
      </c>
      <c r="C457" s="75" t="s">
        <v>2056</v>
      </c>
      <c r="D457" s="84">
        <v>5868957</v>
      </c>
      <c r="E457" s="94" t="s">
        <v>3113</v>
      </c>
      <c r="F457" s="88" t="s">
        <v>2057</v>
      </c>
      <c r="G457" s="101">
        <v>5880222</v>
      </c>
      <c r="H457" s="109" t="str">
        <f>CONCATENATE(BDPADRES[[#This Row],[NOMBRES MADRE]]," ",BDPADRES[[#This Row],[APELLIDOS MADRE]])</f>
        <v>PATRICIA CLAUDIA SERRANO BANEGAS</v>
      </c>
      <c r="I457" s="105"/>
      <c r="J457" s="93">
        <v>77886043</v>
      </c>
    </row>
    <row r="458" spans="1:10" x14ac:dyDescent="0.3">
      <c r="A458" s="61" t="s">
        <v>3140</v>
      </c>
      <c r="B458" s="79" t="s">
        <v>294</v>
      </c>
      <c r="C458" s="75" t="s">
        <v>2331</v>
      </c>
      <c r="D458" s="84">
        <v>6307065</v>
      </c>
      <c r="E458" s="92" t="s">
        <v>2332</v>
      </c>
      <c r="F458" s="88" t="s">
        <v>1539</v>
      </c>
      <c r="G458" s="101">
        <v>5857801</v>
      </c>
      <c r="H458" s="109" t="str">
        <f>CONCATENATE(BDPADRES[[#This Row],[NOMBRES MADRE]]," ",BDPADRES[[#This Row],[APELLIDOS MADRE]])</f>
        <v>ISABELA CONDORI PATZI</v>
      </c>
      <c r="I458" s="105">
        <v>73685041</v>
      </c>
      <c r="J458" s="93"/>
    </row>
    <row r="459" spans="1:10" x14ac:dyDescent="0.3">
      <c r="A459" s="61" t="s">
        <v>3141</v>
      </c>
      <c r="B459" s="79" t="s">
        <v>208</v>
      </c>
      <c r="C459" s="75" t="s">
        <v>118</v>
      </c>
      <c r="D459" s="84">
        <v>7705466</v>
      </c>
      <c r="E459" s="92" t="s">
        <v>480</v>
      </c>
      <c r="F459" s="88" t="s">
        <v>481</v>
      </c>
      <c r="G459" s="101">
        <v>4144053</v>
      </c>
      <c r="H459" s="109" t="str">
        <f>CONCATENATE(BDPADRES[[#This Row],[NOMBRES MADRE]]," ",BDPADRES[[#This Row],[APELLIDOS MADRE]])</f>
        <v>YANIRA  CARVALHO ESCOBAR</v>
      </c>
      <c r="I459" s="105"/>
      <c r="J459" s="95">
        <v>62181252</v>
      </c>
    </row>
    <row r="460" spans="1:10" x14ac:dyDescent="0.3">
      <c r="A460" s="61" t="s">
        <v>3142</v>
      </c>
      <c r="B460" s="79" t="s">
        <v>482</v>
      </c>
      <c r="C460" s="75" t="s">
        <v>483</v>
      </c>
      <c r="D460" s="84"/>
      <c r="E460" s="92" t="s">
        <v>484</v>
      </c>
      <c r="F460" s="88" t="s">
        <v>485</v>
      </c>
      <c r="G460" s="101">
        <v>6602885</v>
      </c>
      <c r="H460" s="109" t="str">
        <f>CONCATENATE(BDPADRES[[#This Row],[NOMBRES MADRE]]," ",BDPADRES[[#This Row],[APELLIDOS MADRE]])</f>
        <v>CRISTINA  CRUZ OYOLA</v>
      </c>
      <c r="I460" s="105"/>
      <c r="J460" s="93">
        <v>68865348</v>
      </c>
    </row>
    <row r="461" spans="1:10" x14ac:dyDescent="0.3">
      <c r="A461" s="61">
        <v>57</v>
      </c>
      <c r="B461" s="79" t="s">
        <v>1484</v>
      </c>
      <c r="C461" s="75" t="s">
        <v>1548</v>
      </c>
      <c r="D461" s="84"/>
      <c r="E461" s="92" t="s">
        <v>1549</v>
      </c>
      <c r="F461" s="88" t="s">
        <v>476</v>
      </c>
      <c r="G461" s="101">
        <v>8943619</v>
      </c>
      <c r="H461" s="109" t="s">
        <v>3167</v>
      </c>
      <c r="I461" s="105"/>
      <c r="J461" s="93">
        <v>71063011</v>
      </c>
    </row>
    <row r="462" spans="1:10" x14ac:dyDescent="0.3">
      <c r="A462" s="61" t="s">
        <v>3143</v>
      </c>
      <c r="B462" s="80" t="s">
        <v>3106</v>
      </c>
      <c r="C462" s="75" t="s">
        <v>1521</v>
      </c>
      <c r="D462" s="84">
        <v>7827559</v>
      </c>
      <c r="E462" s="92" t="s">
        <v>1522</v>
      </c>
      <c r="F462" s="88" t="s">
        <v>1523</v>
      </c>
      <c r="G462" s="101">
        <v>7827569</v>
      </c>
      <c r="H462" s="109" t="str">
        <f>CONCATENATE(BDPADRES[[#This Row],[NOMBRES MADRE]]," ",BDPADRES[[#This Row],[APELLIDOS MADRE]])</f>
        <v>MARIELY HURTADO</v>
      </c>
      <c r="I462" s="105"/>
      <c r="J462" s="93">
        <v>69117089</v>
      </c>
    </row>
    <row r="463" spans="1:10" x14ac:dyDescent="0.3">
      <c r="A463" s="61" t="s">
        <v>3144</v>
      </c>
      <c r="B463" s="79" t="s">
        <v>319</v>
      </c>
      <c r="C463" s="75" t="s">
        <v>2256</v>
      </c>
      <c r="D463" s="84">
        <v>9004823</v>
      </c>
      <c r="E463" s="92" t="s">
        <v>281</v>
      </c>
      <c r="F463" s="88" t="s">
        <v>2257</v>
      </c>
      <c r="G463" s="101">
        <v>9044669</v>
      </c>
      <c r="H463" s="109" t="str">
        <f>CONCATENATE(BDPADRES[[#This Row],[NOMBRES MADRE]]," ",BDPADRES[[#This Row],[APELLIDOS MADRE]])</f>
        <v>LORENA SANDOVAL ALGARAÑAZ</v>
      </c>
      <c r="I463" s="105"/>
      <c r="J463" s="93">
        <v>62200306</v>
      </c>
    </row>
    <row r="464" spans="1:10" x14ac:dyDescent="0.3">
      <c r="A464" s="61" t="s">
        <v>3145</v>
      </c>
      <c r="B464" s="79" t="s">
        <v>2392</v>
      </c>
      <c r="C464" s="75" t="s">
        <v>2393</v>
      </c>
      <c r="D464" s="84">
        <v>8550231</v>
      </c>
      <c r="E464" s="94" t="s">
        <v>3105</v>
      </c>
      <c r="F464" s="88" t="s">
        <v>2394</v>
      </c>
      <c r="G464" s="101">
        <v>6694232</v>
      </c>
      <c r="H464" s="109" t="str">
        <f>CONCATENATE(BDPADRES[[#This Row],[NOMBRES MADRE]]," ",BDPADRES[[#This Row],[APELLIDOS MADRE]])</f>
        <v>MARLENI SOLEDAD ALDAPI GONZALES</v>
      </c>
      <c r="I464" s="105"/>
      <c r="J464" s="93">
        <v>75624741</v>
      </c>
    </row>
    <row r="465" spans="1:10" x14ac:dyDescent="0.3">
      <c r="A465" s="61" t="s">
        <v>3146</v>
      </c>
      <c r="B465" s="79" t="s">
        <v>834</v>
      </c>
      <c r="C465" s="75" t="s">
        <v>835</v>
      </c>
      <c r="D465" s="84">
        <v>4538930</v>
      </c>
      <c r="E465" s="92" t="s">
        <v>836</v>
      </c>
      <c r="F465" s="88" t="s">
        <v>837</v>
      </c>
      <c r="G465" s="101">
        <v>6201942</v>
      </c>
      <c r="H465" s="109" t="str">
        <f>CONCATENATE(BDPADRES[[#This Row],[NOMBRES PADRE]]," ",BDPADRES[[#This Row],[APELLIDOS PADRE]])</f>
        <v>RICHARD JOSE VARGAS TELLEZ</v>
      </c>
      <c r="I465" s="105">
        <v>60752428</v>
      </c>
      <c r="J465" s="93"/>
    </row>
    <row r="466" spans="1:10" x14ac:dyDescent="0.3">
      <c r="A466" s="61" t="s">
        <v>3147</v>
      </c>
      <c r="B466" s="79" t="s">
        <v>1287</v>
      </c>
      <c r="C466" s="75" t="s">
        <v>2399</v>
      </c>
      <c r="D466" s="84">
        <v>5887148</v>
      </c>
      <c r="E466" s="92" t="s">
        <v>2400</v>
      </c>
      <c r="F466" s="88" t="s">
        <v>2205</v>
      </c>
      <c r="G466" s="101">
        <v>5887118</v>
      </c>
      <c r="H466" s="109" t="str">
        <f>CONCATENATE(BDPADRES[[#This Row],[NOMBRES MADRE]]," ",BDPADRES[[#This Row],[APELLIDOS MADRE]])</f>
        <v>MARLENI   LAQUE RAMOS</v>
      </c>
      <c r="I466" s="105"/>
      <c r="J466" s="95">
        <v>69141904</v>
      </c>
    </row>
    <row r="467" spans="1:10" x14ac:dyDescent="0.3">
      <c r="A467" s="61" t="s">
        <v>3148</v>
      </c>
      <c r="B467" s="79" t="s">
        <v>1697</v>
      </c>
      <c r="C467" s="75" t="s">
        <v>1698</v>
      </c>
      <c r="D467" s="84">
        <v>7844306</v>
      </c>
      <c r="E467" s="92" t="s">
        <v>1699</v>
      </c>
      <c r="F467" s="88" t="s">
        <v>1700</v>
      </c>
      <c r="G467" s="101">
        <v>7838651</v>
      </c>
      <c r="H467" s="109" t="str">
        <f>CONCATENATE(BDPADRES[[#This Row],[NOMBRES MADRE]]," ",BDPADRES[[#This Row],[APELLIDOS MADRE]])</f>
        <v>MIOLET CEREZO GARCIA</v>
      </c>
      <c r="I467" s="105"/>
      <c r="J467" s="93"/>
    </row>
    <row r="468" spans="1:10" x14ac:dyDescent="0.3">
      <c r="A468" s="61" t="s">
        <v>3149</v>
      </c>
      <c r="B468" s="79" t="s">
        <v>1172</v>
      </c>
      <c r="C468" s="75" t="s">
        <v>2447</v>
      </c>
      <c r="D468" s="84"/>
      <c r="E468" s="92" t="s">
        <v>2448</v>
      </c>
      <c r="F468" s="88" t="s">
        <v>2449</v>
      </c>
      <c r="G468" s="102">
        <v>6336530</v>
      </c>
      <c r="H468" s="109" t="str">
        <f>CONCATENATE(BDPADRES[[#This Row],[NOMBRES MADRE]]," ",BDPADRES[[#This Row],[APELLIDOS MADRE]])</f>
        <v>MAIBER PESSOA GARCIA</v>
      </c>
      <c r="I468" s="105"/>
      <c r="J468" s="93">
        <v>68758595</v>
      </c>
    </row>
    <row r="469" spans="1:10" x14ac:dyDescent="0.3">
      <c r="A469" s="61" t="s">
        <v>3150</v>
      </c>
      <c r="B469" s="79" t="s">
        <v>824</v>
      </c>
      <c r="C469" s="75" t="s">
        <v>2328</v>
      </c>
      <c r="D469" s="84">
        <v>4708305</v>
      </c>
      <c r="E469" s="92" t="s">
        <v>494</v>
      </c>
      <c r="F469" s="88" t="s">
        <v>2329</v>
      </c>
      <c r="G469" s="101">
        <v>3924776</v>
      </c>
      <c r="H469" s="109" t="str">
        <f>CONCATENATE(BDPADRES[[#This Row],[NOMBRES MADRE]]," ",BDPADRES[[#This Row],[APELLIDOS MADRE]])</f>
        <v>ELSA ALVAREZ ORELLANA</v>
      </c>
      <c r="I469" s="105"/>
      <c r="J469" s="93">
        <v>77635883</v>
      </c>
    </row>
    <row r="470" spans="1:10" x14ac:dyDescent="0.3">
      <c r="A470" s="61" t="s">
        <v>3151</v>
      </c>
      <c r="B470" s="79" t="s">
        <v>2350</v>
      </c>
      <c r="C470" s="75" t="s">
        <v>2351</v>
      </c>
      <c r="D470" s="84"/>
      <c r="E470" s="92" t="s">
        <v>2352</v>
      </c>
      <c r="F470" s="88" t="s">
        <v>2353</v>
      </c>
      <c r="G470" s="101">
        <v>6304434</v>
      </c>
      <c r="H470" s="109" t="str">
        <f>CONCATENATE(BDPADRES[[#This Row],[NOMBRES MADRE]]," ",BDPADRES[[#This Row],[APELLIDOS MADRE]])</f>
        <v>MARY GULDING VILLAVICENCIO CONTRERAS</v>
      </c>
      <c r="I470" s="105"/>
      <c r="J470" s="93">
        <v>61393411</v>
      </c>
    </row>
    <row r="471" spans="1:10" x14ac:dyDescent="0.3">
      <c r="A471" s="61">
        <v>475</v>
      </c>
      <c r="B471" s="79" t="s">
        <v>103</v>
      </c>
      <c r="C471" s="75" t="s">
        <v>250</v>
      </c>
      <c r="D471" s="84">
        <v>5894659</v>
      </c>
      <c r="E471" s="92" t="s">
        <v>251</v>
      </c>
      <c r="F471" s="88" t="s">
        <v>252</v>
      </c>
      <c r="G471" s="101">
        <v>6242039</v>
      </c>
      <c r="H471" s="109" t="str">
        <f>CONCATENATE(BDPADRES[[#This Row],[NOMBRES MADRE]]," ",BDPADRES[[#This Row],[APELLIDOS MADRE]])</f>
        <v>SANDRA WILMA MAMANI YUCRA</v>
      </c>
      <c r="I471" s="105"/>
      <c r="J471" s="93">
        <v>68751468</v>
      </c>
    </row>
    <row r="472" spans="1:10" x14ac:dyDescent="0.3">
      <c r="A472" s="61" t="s">
        <v>3152</v>
      </c>
      <c r="B472" s="79" t="s">
        <v>2946</v>
      </c>
      <c r="C472" s="75" t="s">
        <v>2943</v>
      </c>
      <c r="D472" s="84"/>
      <c r="E472" s="92" t="s">
        <v>2946</v>
      </c>
      <c r="F472" s="88" t="s">
        <v>2944</v>
      </c>
      <c r="G472" s="101" t="s">
        <v>2945</v>
      </c>
      <c r="H472" s="109" t="str">
        <f>CONCATENATE(BDPADRES[[#This Row],[NOMBRES MADRE]]," ",BDPADRES[[#This Row],[APELLIDOS MADRE]])</f>
        <v>N/SINREGISTRO RODAS</v>
      </c>
      <c r="I472" s="105"/>
      <c r="J472" s="93"/>
    </row>
    <row r="473" spans="1:10" x14ac:dyDescent="0.3">
      <c r="A473" s="61" t="s">
        <v>3153</v>
      </c>
      <c r="B473" s="79" t="s">
        <v>2946</v>
      </c>
      <c r="C473" s="75" t="s">
        <v>2954</v>
      </c>
      <c r="D473" s="84"/>
      <c r="E473" s="92"/>
      <c r="F473" s="88" t="s">
        <v>2955</v>
      </c>
      <c r="G473" s="101" t="s">
        <v>2945</v>
      </c>
      <c r="H473" s="109" t="str">
        <f>CONCATENATE(BDPADRES[[#This Row],[NOMBRES MADRE]]," ",BDPADRES[[#This Row],[APELLIDOS MADRE]])</f>
        <v xml:space="preserve"> ROBLEDO</v>
      </c>
      <c r="I473" s="105"/>
      <c r="J473" s="93"/>
    </row>
    <row r="474" spans="1:10" x14ac:dyDescent="0.3">
      <c r="A474" s="61" t="s">
        <v>3154</v>
      </c>
      <c r="B474" s="79" t="s">
        <v>234</v>
      </c>
      <c r="C474" s="75" t="s">
        <v>981</v>
      </c>
      <c r="D474" s="84">
        <v>8989686</v>
      </c>
      <c r="E474" s="92" t="s">
        <v>54</v>
      </c>
      <c r="F474" s="88" t="s">
        <v>1259</v>
      </c>
      <c r="G474" s="101"/>
      <c r="H474" s="109" t="str">
        <f>CONCATENATE(BDPADRES[[#This Row],[NOMBRES MADRE]]," ",BDPADRES[[#This Row],[APELLIDOS MADRE]])</f>
        <v>TERESA JIMENEZ CARRIAZO</v>
      </c>
      <c r="I474" s="105">
        <v>76025702</v>
      </c>
      <c r="J474" s="93"/>
    </row>
    <row r="475" spans="1:10" x14ac:dyDescent="0.3">
      <c r="A475" s="61" t="s">
        <v>3118</v>
      </c>
      <c r="B475" s="79" t="s">
        <v>2202</v>
      </c>
      <c r="C475" s="75" t="s">
        <v>2203</v>
      </c>
      <c r="D475" s="84">
        <v>3288121</v>
      </c>
      <c r="E475" s="92" t="s">
        <v>2204</v>
      </c>
      <c r="F475" s="88" t="s">
        <v>2205</v>
      </c>
      <c r="G475" s="101">
        <v>3948326</v>
      </c>
      <c r="H475" s="109" t="str">
        <f>CONCATENATE(BDPADRES[[#This Row],[NOMBRES MADRE]]," ",BDPADRES[[#This Row],[APELLIDOS MADRE]])</f>
        <v>FIDELIA LAQUE RAMOS</v>
      </c>
      <c r="I475" s="105"/>
      <c r="J475" s="93">
        <v>74644173</v>
      </c>
    </row>
    <row r="476" spans="1:10" x14ac:dyDescent="0.3">
      <c r="A476" s="61" t="s">
        <v>3119</v>
      </c>
      <c r="B476" s="79" t="s">
        <v>73</v>
      </c>
      <c r="C476" s="75" t="s">
        <v>74</v>
      </c>
      <c r="D476" s="84">
        <v>9662845</v>
      </c>
      <c r="E476" s="92" t="s">
        <v>75</v>
      </c>
      <c r="F476" s="88" t="s">
        <v>76</v>
      </c>
      <c r="G476" s="101">
        <v>7826184</v>
      </c>
      <c r="H476" s="109" t="str">
        <f>CONCATENATE(BDPADRES[[#This Row],[NOMBRES MADRE]]," ",BDPADRES[[#This Row],[APELLIDOS MADRE]])</f>
        <v>MARINA USCAMAYTA CONDORI</v>
      </c>
      <c r="I476" s="105"/>
      <c r="J476" s="93">
        <v>74644173</v>
      </c>
    </row>
    <row r="477" spans="1:10" x14ac:dyDescent="0.3">
      <c r="A477" s="61" t="s">
        <v>3120</v>
      </c>
      <c r="B477" s="79" t="s">
        <v>569</v>
      </c>
      <c r="C477" s="75" t="s">
        <v>570</v>
      </c>
      <c r="D477" s="84">
        <v>6272973</v>
      </c>
      <c r="E477" s="92" t="s">
        <v>255</v>
      </c>
      <c r="F477" s="88" t="s">
        <v>571</v>
      </c>
      <c r="G477" s="101">
        <v>8105009</v>
      </c>
      <c r="H477" s="109" t="str">
        <f>CONCATENATE(BDPADRES[[#This Row],[NOMBRES MADRE]]," ",BDPADRES[[#This Row],[APELLIDOS MADRE]])</f>
        <v>PATRICIA SALVATIERRA JIMENEZ</v>
      </c>
      <c r="I477" s="105"/>
      <c r="J477" s="93">
        <v>63535274</v>
      </c>
    </row>
    <row r="478" spans="1:10" x14ac:dyDescent="0.3">
      <c r="A478" s="61" t="s">
        <v>3121</v>
      </c>
      <c r="B478" s="79" t="s">
        <v>2287</v>
      </c>
      <c r="C478" s="75" t="s">
        <v>2288</v>
      </c>
      <c r="D478" s="84">
        <v>4626612</v>
      </c>
      <c r="E478" s="92" t="s">
        <v>132</v>
      </c>
      <c r="F478" s="88" t="s">
        <v>1664</v>
      </c>
      <c r="G478" s="101">
        <v>4665008</v>
      </c>
      <c r="H478" s="109" t="str">
        <f>CONCATENATE(BDPADRES[[#This Row],[NOMBRES MADRE]]," ",BDPADRES[[#This Row],[APELLIDOS MADRE]])</f>
        <v>MARIELA MAMANI ACHAYA</v>
      </c>
      <c r="I478" s="105">
        <v>78127009</v>
      </c>
      <c r="J478" s="93"/>
    </row>
    <row r="479" spans="1:10" x14ac:dyDescent="0.3">
      <c r="A479" s="61" t="s">
        <v>3122</v>
      </c>
      <c r="B479" s="79" t="s">
        <v>986</v>
      </c>
      <c r="C479" s="75" t="s">
        <v>987</v>
      </c>
      <c r="D479" s="84">
        <v>11306453</v>
      </c>
      <c r="E479" s="92" t="s">
        <v>988</v>
      </c>
      <c r="F479" s="88" t="s">
        <v>989</v>
      </c>
      <c r="G479" s="101">
        <v>11394771</v>
      </c>
      <c r="H479" s="109" t="str">
        <f>CONCATENATE(BDPADRES[[#This Row],[NOMBRES MADRE]]," ",BDPADRES[[#This Row],[APELLIDOS MADRE]])</f>
        <v>IVET BELTRAN GONZALES</v>
      </c>
      <c r="I479" s="105"/>
      <c r="J479" s="95">
        <v>77372948</v>
      </c>
    </row>
    <row r="480" spans="1:10" x14ac:dyDescent="0.3">
      <c r="A480" s="61"/>
      <c r="B480" s="79"/>
      <c r="C480" s="75"/>
      <c r="D480" s="84"/>
      <c r="E480" s="92"/>
      <c r="F480" s="88"/>
      <c r="G480" s="101"/>
      <c r="H480" s="109" t="str">
        <f>CONCATENATE(BDPADRES[[#This Row],[NOMBRES MADRE]]," ",BDPADRES[[#This Row],[APELLIDOS MADRE]])</f>
        <v xml:space="preserve"> </v>
      </c>
      <c r="I480" s="105"/>
      <c r="J480" s="93"/>
    </row>
    <row r="481" spans="1:10" x14ac:dyDescent="0.3">
      <c r="A481" s="61"/>
      <c r="B481" s="79"/>
      <c r="C481" s="75"/>
      <c r="D481" s="84"/>
      <c r="E481" s="92"/>
      <c r="F481" s="88"/>
      <c r="G481" s="101"/>
      <c r="H481" s="109" t="str">
        <f>CONCATENATE(BDPADRES[[#This Row],[NOMBRES MADRE]]," ",BDPADRES[[#This Row],[APELLIDOS MADRE]])</f>
        <v xml:space="preserve"> </v>
      </c>
      <c r="I481" s="105"/>
      <c r="J481" s="93"/>
    </row>
    <row r="482" spans="1:10" ht="15" thickBot="1" x14ac:dyDescent="0.35">
      <c r="A482" s="61"/>
      <c r="B482" s="81"/>
      <c r="C482" s="82"/>
      <c r="D482" s="87"/>
      <c r="E482" s="96"/>
      <c r="F482" s="97"/>
      <c r="G482" s="103"/>
      <c r="H482" s="111" t="str">
        <f>CONCATENATE(BDPADRES[[#This Row],[NOMBRES MADRE]]," ",BDPADRES[[#This Row],[APELLIDOS MADRE]])</f>
        <v xml:space="preserve"> </v>
      </c>
      <c r="I482" s="107"/>
      <c r="J482" s="98"/>
    </row>
  </sheetData>
  <mergeCells count="1">
    <mergeCell ref="A2:J4"/>
  </mergeCells>
  <phoneticPr fontId="5" type="noConversion"/>
  <conditionalFormatting sqref="A6:A482">
    <cfRule type="duplicateValues" dxfId="5" priority="2"/>
  </conditionalFormatting>
  <conditionalFormatting sqref="A7">
    <cfRule type="duplicateValues" dxfId="4" priority="3"/>
  </conditionalFormatting>
  <pageMargins left="0.25" right="0.25" top="0.75" bottom="0.75" header="0.3" footer="0.3"/>
  <pageSetup paperSize="5" orientation="landscape" horizontalDpi="360" verticalDpi="360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88A35-F2E6-4D57-AC16-F2E0280D9190}">
  <sheetPr codeName="Hoja1"/>
  <dimension ref="A1:H47"/>
  <sheetViews>
    <sheetView workbookViewId="0">
      <selection activeCell="C5" sqref="C5"/>
    </sheetView>
  </sheetViews>
  <sheetFormatPr baseColWidth="10" defaultRowHeight="14.4" x14ac:dyDescent="0.3"/>
  <cols>
    <col min="1" max="1" width="18.21875" bestFit="1" customWidth="1"/>
    <col min="2" max="2" width="14.88671875" style="1" bestFit="1" customWidth="1"/>
    <col min="3" max="3" width="25.44140625" style="4" bestFit="1" customWidth="1"/>
    <col min="4" max="4" width="22.21875" bestFit="1" customWidth="1"/>
    <col min="5" max="5" width="8.21875" bestFit="1" customWidth="1"/>
    <col min="6" max="6" width="7" style="1" bestFit="1" customWidth="1"/>
    <col min="7" max="7" width="34.5546875" bestFit="1" customWidth="1"/>
  </cols>
  <sheetData>
    <row r="1" spans="1:8" x14ac:dyDescent="0.3">
      <c r="A1" s="174" t="s">
        <v>3056</v>
      </c>
      <c r="B1" s="174"/>
      <c r="C1" s="174"/>
      <c r="D1" s="174"/>
      <c r="E1" s="174"/>
      <c r="F1" s="174"/>
      <c r="G1" s="174"/>
      <c r="H1" s="174"/>
    </row>
    <row r="2" spans="1:8" x14ac:dyDescent="0.3">
      <c r="A2" s="174"/>
      <c r="B2" s="174"/>
      <c r="C2" s="174"/>
      <c r="D2" s="174"/>
      <c r="E2" s="174"/>
      <c r="F2" s="174"/>
      <c r="G2" s="174"/>
      <c r="H2" s="174"/>
    </row>
    <row r="4" spans="1:8" x14ac:dyDescent="0.3">
      <c r="B4" s="1" t="s">
        <v>3057</v>
      </c>
      <c r="C4" s="139" t="s">
        <v>3</v>
      </c>
    </row>
    <row r="6" spans="1:8" ht="15" thickBot="1" x14ac:dyDescent="0.35">
      <c r="B6" s="143" t="s">
        <v>3023</v>
      </c>
      <c r="C6" s="140" t="s">
        <v>3058</v>
      </c>
      <c r="D6" s="140" t="s">
        <v>1</v>
      </c>
      <c r="E6" s="141" t="s">
        <v>2932</v>
      </c>
      <c r="F6" s="141" t="s">
        <v>2</v>
      </c>
      <c r="G6" s="140" t="s">
        <v>3059</v>
      </c>
    </row>
    <row r="7" spans="1:8" ht="15" thickTop="1" x14ac:dyDescent="0.3">
      <c r="B7" s="1" t="e" cm="1">
        <f t="array" ref="B7">IF(C4="","",_xlfn._xlws.FILTER(#REF!,ISNUMBER(SEARCH(C4,#REF!)),""))</f>
        <v>#REF!</v>
      </c>
      <c r="D7" s="1"/>
      <c r="E7" s="1"/>
    </row>
    <row r="8" spans="1:8" x14ac:dyDescent="0.3">
      <c r="D8" s="1"/>
      <c r="E8" s="1"/>
    </row>
    <row r="9" spans="1:8" x14ac:dyDescent="0.3">
      <c r="D9" s="1"/>
      <c r="E9" s="1"/>
    </row>
    <row r="10" spans="1:8" x14ac:dyDescent="0.3">
      <c r="D10" s="1"/>
      <c r="E10" s="1"/>
    </row>
    <row r="11" spans="1:8" x14ac:dyDescent="0.3">
      <c r="D11" s="1"/>
      <c r="E11" s="1"/>
    </row>
    <row r="12" spans="1:8" x14ac:dyDescent="0.3">
      <c r="D12" s="1"/>
      <c r="E12" s="1"/>
    </row>
    <row r="13" spans="1:8" x14ac:dyDescent="0.3">
      <c r="D13" s="1"/>
      <c r="E13" s="1"/>
    </row>
    <row r="14" spans="1:8" x14ac:dyDescent="0.3">
      <c r="D14" s="1"/>
      <c r="E14" s="1"/>
    </row>
    <row r="15" spans="1:8" x14ac:dyDescent="0.3">
      <c r="D15" s="1"/>
      <c r="E15" s="1"/>
    </row>
    <row r="16" spans="1:8" x14ac:dyDescent="0.3">
      <c r="D16" s="1"/>
      <c r="E16" s="1"/>
    </row>
    <row r="17" spans="4:5" x14ac:dyDescent="0.3">
      <c r="D17" s="1"/>
      <c r="E17" s="1"/>
    </row>
    <row r="18" spans="4:5" x14ac:dyDescent="0.3">
      <c r="D18" s="1"/>
      <c r="E18" s="1"/>
    </row>
    <row r="19" spans="4:5" x14ac:dyDescent="0.3">
      <c r="D19" s="1"/>
      <c r="E19" s="1"/>
    </row>
    <row r="20" spans="4:5" x14ac:dyDescent="0.3">
      <c r="D20" s="1"/>
      <c r="E20" s="1"/>
    </row>
    <row r="21" spans="4:5" x14ac:dyDescent="0.3">
      <c r="D21" s="1"/>
      <c r="E21" s="1"/>
    </row>
    <row r="22" spans="4:5" x14ac:dyDescent="0.3">
      <c r="D22" s="1"/>
      <c r="E22" s="1"/>
    </row>
    <row r="23" spans="4:5" x14ac:dyDescent="0.3">
      <c r="D23" s="1"/>
      <c r="E23" s="1"/>
    </row>
    <row r="24" spans="4:5" x14ac:dyDescent="0.3">
      <c r="D24" s="1"/>
      <c r="E24" s="1"/>
    </row>
    <row r="25" spans="4:5" x14ac:dyDescent="0.3">
      <c r="D25" s="1"/>
      <c r="E25" s="1"/>
    </row>
    <row r="26" spans="4:5" x14ac:dyDescent="0.3">
      <c r="D26" s="1"/>
      <c r="E26" s="1"/>
    </row>
    <row r="27" spans="4:5" x14ac:dyDescent="0.3">
      <c r="D27" s="1"/>
      <c r="E27" s="1"/>
    </row>
    <row r="28" spans="4:5" x14ac:dyDescent="0.3">
      <c r="D28" s="1"/>
      <c r="E28" s="1"/>
    </row>
    <row r="29" spans="4:5" x14ac:dyDescent="0.3">
      <c r="D29" s="1"/>
      <c r="E29" s="1"/>
    </row>
    <row r="30" spans="4:5" x14ac:dyDescent="0.3">
      <c r="D30" s="1"/>
      <c r="E30" s="1"/>
    </row>
    <row r="31" spans="4:5" x14ac:dyDescent="0.3">
      <c r="D31" s="1"/>
      <c r="E31" s="1"/>
    </row>
    <row r="32" spans="4:5" x14ac:dyDescent="0.3">
      <c r="D32" s="1"/>
      <c r="E32" s="1"/>
    </row>
    <row r="33" spans="2:7" x14ac:dyDescent="0.3">
      <c r="D33" s="1"/>
      <c r="E33" s="1"/>
    </row>
    <row r="34" spans="2:7" x14ac:dyDescent="0.3">
      <c r="D34" s="1"/>
      <c r="E34" s="1"/>
    </row>
    <row r="35" spans="2:7" x14ac:dyDescent="0.3">
      <c r="D35" s="1"/>
      <c r="E35" s="1"/>
    </row>
    <row r="36" spans="2:7" x14ac:dyDescent="0.3">
      <c r="D36" s="1"/>
      <c r="E36" s="1"/>
    </row>
    <row r="37" spans="2:7" x14ac:dyDescent="0.3">
      <c r="D37" s="1"/>
      <c r="E37" s="1"/>
    </row>
    <row r="38" spans="2:7" x14ac:dyDescent="0.3">
      <c r="D38" s="1"/>
      <c r="E38" s="1"/>
    </row>
    <row r="39" spans="2:7" x14ac:dyDescent="0.3">
      <c r="D39" s="1"/>
      <c r="E39" s="1"/>
    </row>
    <row r="40" spans="2:7" x14ac:dyDescent="0.3">
      <c r="D40" s="1"/>
      <c r="E40" s="1"/>
    </row>
    <row r="41" spans="2:7" x14ac:dyDescent="0.3">
      <c r="D41" s="1"/>
      <c r="E41" s="1"/>
    </row>
    <row r="42" spans="2:7" x14ac:dyDescent="0.3">
      <c r="D42" s="1"/>
      <c r="E42" s="1"/>
    </row>
    <row r="43" spans="2:7" x14ac:dyDescent="0.3">
      <c r="D43" s="1"/>
      <c r="E43" s="1"/>
    </row>
    <row r="44" spans="2:7" x14ac:dyDescent="0.3">
      <c r="D44" s="1"/>
      <c r="E44" s="1"/>
    </row>
    <row r="45" spans="2:7" x14ac:dyDescent="0.3">
      <c r="D45" s="1"/>
      <c r="E45" s="1"/>
    </row>
    <row r="46" spans="2:7" x14ac:dyDescent="0.3">
      <c r="D46" s="1"/>
      <c r="E46" s="1"/>
    </row>
    <row r="47" spans="2:7" x14ac:dyDescent="0.3">
      <c r="B47" s="175"/>
      <c r="C47" s="175"/>
      <c r="D47" s="175"/>
      <c r="E47" s="175"/>
      <c r="F47" s="175"/>
      <c r="G47" s="175"/>
    </row>
  </sheetData>
  <mergeCells count="2">
    <mergeCell ref="A1:H2"/>
    <mergeCell ref="B47:G47"/>
  </mergeCells>
  <conditionalFormatting sqref="G1:G1048576">
    <cfRule type="containsText" dxfId="3" priority="1" operator="containsText" text="SIN REGISTRO">
      <formula>NOT(ISERROR(SEARCH("SIN REGISTRO",G1)))</formula>
    </cfRule>
  </conditionalFormatting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DAB8-09DD-4C58-9E49-BD2DC205A5C1}">
  <sheetPr codeName="Hoja10"/>
  <dimension ref="A1:H578"/>
  <sheetViews>
    <sheetView workbookViewId="0">
      <selection activeCell="G13" sqref="G13"/>
    </sheetView>
  </sheetViews>
  <sheetFormatPr baseColWidth="10" defaultRowHeight="14.4" x14ac:dyDescent="0.3"/>
  <cols>
    <col min="1" max="1" width="7" customWidth="1"/>
    <col min="2" max="2" width="14.44140625" bestFit="1" customWidth="1"/>
    <col min="3" max="3" width="20.109375" bestFit="1" customWidth="1"/>
    <col min="4" max="4" width="20" customWidth="1"/>
    <col min="5" max="5" width="11" bestFit="1" customWidth="1"/>
    <col min="6" max="6" width="3.109375" customWidth="1"/>
  </cols>
  <sheetData>
    <row r="1" spans="1:8" ht="14.4" customHeight="1" x14ac:dyDescent="0.3">
      <c r="A1" s="159" t="s">
        <v>3025</v>
      </c>
      <c r="B1" s="159"/>
      <c r="C1" s="159"/>
      <c r="D1" s="159"/>
      <c r="E1" s="159"/>
      <c r="F1" s="159"/>
      <c r="G1" s="159"/>
      <c r="H1" s="159"/>
    </row>
    <row r="2" spans="1:8" ht="14.4" customHeight="1" x14ac:dyDescent="0.3">
      <c r="A2" s="159"/>
      <c r="B2" s="159"/>
      <c r="C2" s="159"/>
      <c r="D2" s="159"/>
      <c r="E2" s="159"/>
      <c r="F2" s="159"/>
      <c r="G2" s="159"/>
      <c r="H2" s="159"/>
    </row>
    <row r="3" spans="1:8" ht="14.4" customHeight="1" x14ac:dyDescent="0.3">
      <c r="A3" s="159"/>
      <c r="B3" s="159"/>
      <c r="C3" s="159"/>
      <c r="D3" s="159"/>
      <c r="E3" s="159"/>
      <c r="F3" s="159"/>
      <c r="G3" s="159"/>
      <c r="H3" s="159"/>
    </row>
    <row r="5" spans="1:8" ht="21.6" customHeight="1" thickBot="1" x14ac:dyDescent="0.35">
      <c r="B5" s="116" t="s">
        <v>0</v>
      </c>
      <c r="C5" s="59" t="s">
        <v>24</v>
      </c>
      <c r="D5" s="66" t="s">
        <v>1</v>
      </c>
      <c r="E5" s="66" t="s">
        <v>2932</v>
      </c>
    </row>
    <row r="6" spans="1:8" ht="15" thickTop="1" x14ac:dyDescent="0.3">
      <c r="B6" s="67"/>
      <c r="C6" s="117" t="s">
        <v>2481</v>
      </c>
      <c r="D6" s="68" t="s">
        <v>190</v>
      </c>
      <c r="E6" s="69" t="s">
        <v>2933</v>
      </c>
    </row>
    <row r="7" spans="1:8" x14ac:dyDescent="0.3">
      <c r="B7" s="70"/>
      <c r="C7" s="115" t="s">
        <v>2493</v>
      </c>
      <c r="D7" s="71" t="s">
        <v>203</v>
      </c>
      <c r="E7" s="72" t="s">
        <v>2933</v>
      </c>
    </row>
    <row r="8" spans="1:8" x14ac:dyDescent="0.3">
      <c r="B8" s="70"/>
      <c r="C8" s="115" t="s">
        <v>2484</v>
      </c>
      <c r="D8" s="71" t="s">
        <v>193</v>
      </c>
      <c r="E8" s="72" t="s">
        <v>2933</v>
      </c>
    </row>
    <row r="9" spans="1:8" x14ac:dyDescent="0.3">
      <c r="B9" s="70"/>
      <c r="C9" s="115" t="s">
        <v>2485</v>
      </c>
      <c r="D9" s="71" t="s">
        <v>194</v>
      </c>
      <c r="E9" s="72" t="s">
        <v>2934</v>
      </c>
    </row>
    <row r="10" spans="1:8" x14ac:dyDescent="0.3">
      <c r="B10" s="70"/>
      <c r="C10" s="115" t="s">
        <v>2466</v>
      </c>
      <c r="D10" s="71" t="s">
        <v>33</v>
      </c>
      <c r="E10" s="72" t="s">
        <v>2933</v>
      </c>
    </row>
    <row r="11" spans="1:8" x14ac:dyDescent="0.3">
      <c r="B11" s="70"/>
      <c r="C11" s="115" t="s">
        <v>2476</v>
      </c>
      <c r="D11" s="71" t="s">
        <v>184</v>
      </c>
      <c r="E11" s="72" t="s">
        <v>2933</v>
      </c>
    </row>
    <row r="12" spans="1:8" x14ac:dyDescent="0.3">
      <c r="B12" s="70"/>
      <c r="C12" s="115" t="s">
        <v>2472</v>
      </c>
      <c r="D12" s="71" t="s">
        <v>39</v>
      </c>
      <c r="E12" s="72" t="s">
        <v>2933</v>
      </c>
    </row>
    <row r="13" spans="1:8" x14ac:dyDescent="0.3">
      <c r="B13" s="70"/>
      <c r="C13" s="115" t="s">
        <v>1326</v>
      </c>
      <c r="D13" s="71" t="s">
        <v>37</v>
      </c>
      <c r="E13" s="72" t="s">
        <v>2934</v>
      </c>
    </row>
    <row r="14" spans="1:8" x14ac:dyDescent="0.3">
      <c r="B14" s="70"/>
      <c r="C14" s="115" t="s">
        <v>95</v>
      </c>
      <c r="D14" s="71" t="s">
        <v>185</v>
      </c>
      <c r="E14" s="72" t="s">
        <v>2934</v>
      </c>
    </row>
    <row r="15" spans="1:8" x14ac:dyDescent="0.3">
      <c r="B15" s="70"/>
      <c r="C15" s="115" t="s">
        <v>2490</v>
      </c>
      <c r="D15" s="71" t="s">
        <v>200</v>
      </c>
      <c r="E15" s="72" t="s">
        <v>2934</v>
      </c>
    </row>
    <row r="16" spans="1:8" x14ac:dyDescent="0.3">
      <c r="B16" s="70"/>
      <c r="C16" s="115" t="s">
        <v>2495</v>
      </c>
      <c r="D16" s="71" t="s">
        <v>205</v>
      </c>
      <c r="E16" s="72" t="s">
        <v>2934</v>
      </c>
    </row>
    <row r="17" spans="2:5" x14ac:dyDescent="0.3">
      <c r="B17" s="70"/>
      <c r="C17" s="115" t="s">
        <v>2496</v>
      </c>
      <c r="D17" s="71" t="s">
        <v>205</v>
      </c>
      <c r="E17" s="72" t="s">
        <v>2934</v>
      </c>
    </row>
    <row r="18" spans="2:5" x14ac:dyDescent="0.3">
      <c r="B18" s="70"/>
      <c r="C18" s="115" t="s">
        <v>2477</v>
      </c>
      <c r="D18" s="71" t="s">
        <v>186</v>
      </c>
      <c r="E18" s="72" t="s">
        <v>2934</v>
      </c>
    </row>
    <row r="19" spans="2:5" x14ac:dyDescent="0.3">
      <c r="B19" s="70"/>
      <c r="C19" s="73" t="s">
        <v>219</v>
      </c>
      <c r="D19" s="71" t="s">
        <v>207</v>
      </c>
      <c r="E19" s="72" t="s">
        <v>2933</v>
      </c>
    </row>
    <row r="20" spans="2:5" x14ac:dyDescent="0.3">
      <c r="B20" s="70"/>
      <c r="C20" s="115" t="s">
        <v>331</v>
      </c>
      <c r="D20" s="71" t="s">
        <v>197</v>
      </c>
      <c r="E20" s="72" t="s">
        <v>2933</v>
      </c>
    </row>
    <row r="21" spans="2:5" x14ac:dyDescent="0.3">
      <c r="B21" s="70"/>
      <c r="C21" s="115" t="s">
        <v>2494</v>
      </c>
      <c r="D21" s="71" t="s">
        <v>204</v>
      </c>
      <c r="E21" s="72" t="s">
        <v>2933</v>
      </c>
    </row>
    <row r="22" spans="2:5" x14ac:dyDescent="0.3">
      <c r="B22" s="70"/>
      <c r="C22" s="115" t="s">
        <v>2471</v>
      </c>
      <c r="D22" s="71" t="s">
        <v>38</v>
      </c>
      <c r="E22" s="72" t="s">
        <v>2933</v>
      </c>
    </row>
    <row r="23" spans="2:5" x14ac:dyDescent="0.3">
      <c r="B23" s="70"/>
      <c r="C23" s="115" t="s">
        <v>2475</v>
      </c>
      <c r="D23" s="71" t="s">
        <v>183</v>
      </c>
      <c r="E23" s="72" t="s">
        <v>2933</v>
      </c>
    </row>
    <row r="24" spans="2:5" x14ac:dyDescent="0.3">
      <c r="B24" s="70"/>
      <c r="C24" s="115" t="s">
        <v>2479</v>
      </c>
      <c r="D24" s="71" t="s">
        <v>188</v>
      </c>
      <c r="E24" s="72" t="s">
        <v>2934</v>
      </c>
    </row>
    <row r="25" spans="2:5" x14ac:dyDescent="0.3">
      <c r="B25" s="70"/>
      <c r="C25" s="115" t="s">
        <v>2480</v>
      </c>
      <c r="D25" s="71" t="s">
        <v>189</v>
      </c>
      <c r="E25" s="72" t="s">
        <v>2933</v>
      </c>
    </row>
    <row r="26" spans="2:5" x14ac:dyDescent="0.3">
      <c r="B26" s="70"/>
      <c r="C26" s="115" t="s">
        <v>2492</v>
      </c>
      <c r="D26" s="71" t="s">
        <v>202</v>
      </c>
      <c r="E26" s="72" t="s">
        <v>2934</v>
      </c>
    </row>
    <row r="27" spans="2:5" ht="16.2" customHeight="1" x14ac:dyDescent="0.3">
      <c r="B27" s="70"/>
      <c r="C27" s="115" t="s">
        <v>2482</v>
      </c>
      <c r="D27" s="71" t="s">
        <v>191</v>
      </c>
      <c r="E27" s="72" t="s">
        <v>2934</v>
      </c>
    </row>
    <row r="28" spans="2:5" x14ac:dyDescent="0.3">
      <c r="B28" s="70"/>
      <c r="C28" s="115" t="s">
        <v>2467</v>
      </c>
      <c r="D28" s="71" t="s">
        <v>34</v>
      </c>
      <c r="E28" s="72" t="s">
        <v>2934</v>
      </c>
    </row>
    <row r="29" spans="2:5" ht="16.2" customHeight="1" x14ac:dyDescent="0.3">
      <c r="B29" s="70"/>
      <c r="C29" s="115" t="s">
        <v>2478</v>
      </c>
      <c r="D29" s="71" t="s">
        <v>187</v>
      </c>
      <c r="E29" s="72" t="s">
        <v>2934</v>
      </c>
    </row>
    <row r="30" spans="2:5" x14ac:dyDescent="0.3">
      <c r="B30" s="70"/>
      <c r="C30" s="115" t="s">
        <v>2489</v>
      </c>
      <c r="D30" s="71" t="s">
        <v>199</v>
      </c>
      <c r="E30" s="72" t="s">
        <v>2934</v>
      </c>
    </row>
    <row r="31" spans="2:5" x14ac:dyDescent="0.3">
      <c r="B31" s="70"/>
      <c r="C31" s="115" t="s">
        <v>2468</v>
      </c>
      <c r="D31" s="71" t="s">
        <v>35</v>
      </c>
      <c r="E31" s="72" t="s">
        <v>2933</v>
      </c>
    </row>
    <row r="32" spans="2:5" x14ac:dyDescent="0.3">
      <c r="B32" s="70"/>
      <c r="C32" s="115" t="s">
        <v>2473</v>
      </c>
      <c r="D32" s="71" t="s">
        <v>40</v>
      </c>
      <c r="E32" s="72" t="s">
        <v>2934</v>
      </c>
    </row>
    <row r="33" spans="2:5" x14ac:dyDescent="0.3">
      <c r="B33" s="70"/>
      <c r="C33" s="115" t="s">
        <v>73</v>
      </c>
      <c r="D33" s="71" t="s">
        <v>41</v>
      </c>
      <c r="E33" s="72" t="s">
        <v>2933</v>
      </c>
    </row>
    <row r="34" spans="2:5" x14ac:dyDescent="0.3">
      <c r="B34" s="70"/>
      <c r="C34" s="115" t="s">
        <v>2483</v>
      </c>
      <c r="D34" s="73" t="s">
        <v>192</v>
      </c>
      <c r="E34" s="72" t="s">
        <v>2933</v>
      </c>
    </row>
    <row r="35" spans="2:5" x14ac:dyDescent="0.3">
      <c r="B35" s="70"/>
      <c r="C35" s="115" t="s">
        <v>2486</v>
      </c>
      <c r="D35" s="71" t="s">
        <v>195</v>
      </c>
      <c r="E35" s="72" t="s">
        <v>2934</v>
      </c>
    </row>
    <row r="36" spans="2:5" x14ac:dyDescent="0.3">
      <c r="B36" s="70"/>
      <c r="C36" s="115" t="s">
        <v>2487</v>
      </c>
      <c r="D36" s="71" t="s">
        <v>196</v>
      </c>
      <c r="E36" s="72" t="s">
        <v>2933</v>
      </c>
    </row>
    <row r="37" spans="2:5" x14ac:dyDescent="0.3">
      <c r="B37" s="70"/>
      <c r="C37" s="115" t="s">
        <v>2465</v>
      </c>
      <c r="D37" s="71" t="s">
        <v>32</v>
      </c>
      <c r="E37" s="72" t="s">
        <v>2933</v>
      </c>
    </row>
    <row r="38" spans="2:5" x14ac:dyDescent="0.3">
      <c r="B38" s="70"/>
      <c r="C38" s="115" t="s">
        <v>2488</v>
      </c>
      <c r="D38" s="71" t="s">
        <v>198</v>
      </c>
      <c r="E38" s="72" t="s">
        <v>2934</v>
      </c>
    </row>
    <row r="39" spans="2:5" x14ac:dyDescent="0.3">
      <c r="B39" s="70"/>
      <c r="C39" s="115" t="s">
        <v>2469</v>
      </c>
      <c r="D39" s="71" t="s">
        <v>43</v>
      </c>
      <c r="E39" s="72" t="s">
        <v>2934</v>
      </c>
    </row>
    <row r="40" spans="2:5" x14ac:dyDescent="0.3">
      <c r="B40" s="70"/>
      <c r="C40" s="115" t="s">
        <v>2491</v>
      </c>
      <c r="D40" s="71" t="s">
        <v>201</v>
      </c>
      <c r="E40" s="72" t="s">
        <v>2934</v>
      </c>
    </row>
    <row r="41" spans="2:5" x14ac:dyDescent="0.3">
      <c r="B41" s="70"/>
      <c r="C41" s="115" t="s">
        <v>2474</v>
      </c>
      <c r="D41" s="71" t="s">
        <v>42</v>
      </c>
      <c r="E41" s="72" t="s">
        <v>2933</v>
      </c>
    </row>
    <row r="42" spans="2:5" x14ac:dyDescent="0.3">
      <c r="B42" s="70"/>
      <c r="C42" s="115" t="s">
        <v>2497</v>
      </c>
      <c r="D42" s="71" t="s">
        <v>206</v>
      </c>
      <c r="E42" s="72" t="s">
        <v>2934</v>
      </c>
    </row>
    <row r="43" spans="2:5" x14ac:dyDescent="0.3">
      <c r="B43" s="70"/>
      <c r="C43" s="115" t="s">
        <v>2470</v>
      </c>
      <c r="D43" s="71" t="s">
        <v>36</v>
      </c>
      <c r="E43" s="72" t="s">
        <v>2934</v>
      </c>
    </row>
    <row r="44" spans="2:5" x14ac:dyDescent="0.3">
      <c r="B44" s="70"/>
      <c r="C44" s="115" t="s">
        <v>2503</v>
      </c>
      <c r="D44" s="71" t="s">
        <v>348</v>
      </c>
      <c r="E44" s="72" t="s">
        <v>2934</v>
      </c>
    </row>
    <row r="45" spans="2:5" x14ac:dyDescent="0.3">
      <c r="B45" s="70"/>
      <c r="C45" s="115" t="s">
        <v>2513</v>
      </c>
      <c r="D45" s="71" t="s">
        <v>359</v>
      </c>
      <c r="E45" s="72" t="s">
        <v>2934</v>
      </c>
    </row>
    <row r="46" spans="2:5" x14ac:dyDescent="0.3">
      <c r="B46" s="70"/>
      <c r="C46" s="115" t="s">
        <v>496</v>
      </c>
      <c r="D46" s="71" t="s">
        <v>354</v>
      </c>
      <c r="E46" s="72" t="s">
        <v>2933</v>
      </c>
    </row>
    <row r="47" spans="2:5" x14ac:dyDescent="0.3">
      <c r="B47" s="70"/>
      <c r="C47" s="115" t="s">
        <v>2504</v>
      </c>
      <c r="D47" s="71" t="s">
        <v>349</v>
      </c>
      <c r="E47" s="72" t="s">
        <v>2934</v>
      </c>
    </row>
    <row r="48" spans="2:5" x14ac:dyDescent="0.3">
      <c r="B48" s="70"/>
      <c r="C48" s="115" t="s">
        <v>2509</v>
      </c>
      <c r="D48" s="71" t="s">
        <v>409</v>
      </c>
      <c r="E48" s="72" t="s">
        <v>2933</v>
      </c>
    </row>
    <row r="49" spans="2:5" x14ac:dyDescent="0.3">
      <c r="B49" s="70"/>
      <c r="C49" s="115" t="s">
        <v>2524</v>
      </c>
      <c r="D49" s="71" t="s">
        <v>410</v>
      </c>
      <c r="E49" s="72" t="s">
        <v>2933</v>
      </c>
    </row>
    <row r="50" spans="2:5" ht="13.8" customHeight="1" x14ac:dyDescent="0.3">
      <c r="B50" s="70"/>
      <c r="C50" s="115" t="s">
        <v>2498</v>
      </c>
      <c r="D50" s="71" t="s">
        <v>343</v>
      </c>
      <c r="E50" s="72" t="s">
        <v>2933</v>
      </c>
    </row>
    <row r="51" spans="2:5" x14ac:dyDescent="0.3">
      <c r="B51" s="70"/>
      <c r="C51" s="115" t="s">
        <v>2505</v>
      </c>
      <c r="D51" s="71" t="s">
        <v>350</v>
      </c>
      <c r="E51" s="72" t="s">
        <v>2934</v>
      </c>
    </row>
    <row r="52" spans="2:5" x14ac:dyDescent="0.3">
      <c r="B52" s="70"/>
      <c r="C52" s="115" t="s">
        <v>2508</v>
      </c>
      <c r="D52" s="71" t="s">
        <v>353</v>
      </c>
      <c r="E52" s="72" t="s">
        <v>2933</v>
      </c>
    </row>
    <row r="53" spans="2:5" x14ac:dyDescent="0.3">
      <c r="B53" s="70"/>
      <c r="C53" s="115" t="s">
        <v>2520</v>
      </c>
      <c r="D53" s="71" t="s">
        <v>368</v>
      </c>
      <c r="E53" s="72" t="s">
        <v>2933</v>
      </c>
    </row>
    <row r="54" spans="2:5" x14ac:dyDescent="0.3">
      <c r="B54" s="70"/>
      <c r="C54" s="115" t="s">
        <v>2529</v>
      </c>
      <c r="D54" s="71" t="s">
        <v>376</v>
      </c>
      <c r="E54" s="72" t="s">
        <v>2934</v>
      </c>
    </row>
    <row r="55" spans="2:5" x14ac:dyDescent="0.3">
      <c r="B55" s="70"/>
      <c r="C55" s="115" t="s">
        <v>2516</v>
      </c>
      <c r="D55" s="71" t="s">
        <v>362</v>
      </c>
      <c r="E55" s="72" t="s">
        <v>2934</v>
      </c>
    </row>
    <row r="56" spans="2:5" x14ac:dyDescent="0.3">
      <c r="B56" s="70"/>
      <c r="C56" s="115" t="s">
        <v>2518</v>
      </c>
      <c r="D56" s="71" t="s">
        <v>364</v>
      </c>
      <c r="E56" s="72" t="s">
        <v>2934</v>
      </c>
    </row>
    <row r="57" spans="2:5" x14ac:dyDescent="0.3">
      <c r="B57" s="70"/>
      <c r="C57" s="74" t="s">
        <v>2249</v>
      </c>
      <c r="D57" s="71" t="s">
        <v>345</v>
      </c>
      <c r="E57" s="72" t="s">
        <v>2934</v>
      </c>
    </row>
    <row r="58" spans="2:5" x14ac:dyDescent="0.3">
      <c r="B58" s="70"/>
      <c r="C58" s="118" t="s">
        <v>2528</v>
      </c>
      <c r="D58" s="71" t="s">
        <v>375</v>
      </c>
      <c r="E58" s="72" t="s">
        <v>2934</v>
      </c>
    </row>
    <row r="59" spans="2:5" x14ac:dyDescent="0.3">
      <c r="B59" s="70"/>
      <c r="C59" s="115" t="s">
        <v>2470</v>
      </c>
      <c r="D59" s="71" t="s">
        <v>358</v>
      </c>
      <c r="E59" s="72" t="s">
        <v>2934</v>
      </c>
    </row>
    <row r="60" spans="2:5" x14ac:dyDescent="0.3">
      <c r="B60" s="70"/>
      <c r="C60" s="115" t="s">
        <v>2525</v>
      </c>
      <c r="D60" s="71" t="s">
        <v>372</v>
      </c>
      <c r="E60" s="72" t="s">
        <v>2934</v>
      </c>
    </row>
    <row r="61" spans="2:5" x14ac:dyDescent="0.3">
      <c r="B61" s="70"/>
      <c r="C61" s="115" t="s">
        <v>1595</v>
      </c>
      <c r="D61" s="71" t="s">
        <v>365</v>
      </c>
      <c r="E61" s="72" t="s">
        <v>2933</v>
      </c>
    </row>
    <row r="62" spans="2:5" x14ac:dyDescent="0.3">
      <c r="B62" s="70"/>
      <c r="C62" s="115" t="s">
        <v>2500</v>
      </c>
      <c r="D62" s="71" t="s">
        <v>346</v>
      </c>
      <c r="E62" s="72" t="s">
        <v>2933</v>
      </c>
    </row>
    <row r="63" spans="2:5" x14ac:dyDescent="0.3">
      <c r="B63" s="70"/>
      <c r="C63" s="115" t="s">
        <v>2511</v>
      </c>
      <c r="D63" s="71" t="s">
        <v>356</v>
      </c>
      <c r="E63" s="72" t="s">
        <v>2933</v>
      </c>
    </row>
    <row r="64" spans="2:5" x14ac:dyDescent="0.3">
      <c r="B64" s="70"/>
      <c r="C64" s="115" t="s">
        <v>2502</v>
      </c>
      <c r="D64" s="71" t="s">
        <v>231</v>
      </c>
      <c r="E64" s="72" t="s">
        <v>2934</v>
      </c>
    </row>
    <row r="65" spans="2:5" x14ac:dyDescent="0.3">
      <c r="B65" s="70"/>
      <c r="C65" s="115" t="s">
        <v>2522</v>
      </c>
      <c r="D65" s="71" t="s">
        <v>370</v>
      </c>
      <c r="E65" s="72" t="s">
        <v>2934</v>
      </c>
    </row>
    <row r="66" spans="2:5" x14ac:dyDescent="0.3">
      <c r="B66" s="70"/>
      <c r="C66" s="115" t="s">
        <v>2523</v>
      </c>
      <c r="D66" s="71" t="s">
        <v>371</v>
      </c>
      <c r="E66" s="72" t="s">
        <v>2933</v>
      </c>
    </row>
    <row r="67" spans="2:5" x14ac:dyDescent="0.3">
      <c r="B67" s="70"/>
      <c r="C67" s="115" t="s">
        <v>2510</v>
      </c>
      <c r="D67" s="71" t="s">
        <v>355</v>
      </c>
      <c r="E67" s="72" t="s">
        <v>2934</v>
      </c>
    </row>
    <row r="68" spans="2:5" x14ac:dyDescent="0.3">
      <c r="B68" s="70"/>
      <c r="C68" s="115" t="s">
        <v>2506</v>
      </c>
      <c r="D68" s="71" t="s">
        <v>351</v>
      </c>
      <c r="E68" s="72" t="s">
        <v>2934</v>
      </c>
    </row>
    <row r="69" spans="2:5" x14ac:dyDescent="0.3">
      <c r="B69" s="70"/>
      <c r="C69" s="115" t="s">
        <v>2517</v>
      </c>
      <c r="D69" s="71" t="s">
        <v>363</v>
      </c>
      <c r="E69" s="72" t="s">
        <v>2934</v>
      </c>
    </row>
    <row r="70" spans="2:5" x14ac:dyDescent="0.3">
      <c r="B70" s="70"/>
      <c r="C70" s="115" t="s">
        <v>2527</v>
      </c>
      <c r="D70" s="71" t="s">
        <v>289</v>
      </c>
      <c r="E70" s="72" t="s">
        <v>2933</v>
      </c>
    </row>
    <row r="71" spans="2:5" x14ac:dyDescent="0.3">
      <c r="B71" s="70"/>
      <c r="C71" s="115" t="s">
        <v>2521</v>
      </c>
      <c r="D71" s="71" t="s">
        <v>369</v>
      </c>
      <c r="E71" s="72" t="s">
        <v>2933</v>
      </c>
    </row>
    <row r="72" spans="2:5" x14ac:dyDescent="0.3">
      <c r="B72" s="70"/>
      <c r="C72" s="115" t="s">
        <v>1496</v>
      </c>
      <c r="D72" s="71" t="s">
        <v>374</v>
      </c>
      <c r="E72" s="72" t="s">
        <v>2933</v>
      </c>
    </row>
    <row r="73" spans="2:5" x14ac:dyDescent="0.3">
      <c r="B73" s="70"/>
      <c r="C73" s="115" t="s">
        <v>2501</v>
      </c>
      <c r="D73" s="71" t="s">
        <v>347</v>
      </c>
      <c r="E73" s="72" t="s">
        <v>2934</v>
      </c>
    </row>
    <row r="74" spans="2:5" x14ac:dyDescent="0.3">
      <c r="B74" s="70"/>
      <c r="C74" s="115" t="s">
        <v>234</v>
      </c>
      <c r="D74" s="71" t="s">
        <v>367</v>
      </c>
      <c r="E74" s="72" t="s">
        <v>2933</v>
      </c>
    </row>
    <row r="75" spans="2:5" x14ac:dyDescent="0.3">
      <c r="B75" s="70"/>
      <c r="C75" s="115" t="s">
        <v>2519</v>
      </c>
      <c r="D75" s="71" t="s">
        <v>366</v>
      </c>
      <c r="E75" s="72" t="s">
        <v>2933</v>
      </c>
    </row>
    <row r="76" spans="2:5" x14ac:dyDescent="0.3">
      <c r="B76" s="70"/>
      <c r="C76" s="118" t="s">
        <v>2526</v>
      </c>
      <c r="D76" s="71" t="s">
        <v>373</v>
      </c>
      <c r="E76" s="72" t="s">
        <v>2933</v>
      </c>
    </row>
    <row r="77" spans="2:5" x14ac:dyDescent="0.3">
      <c r="B77" s="70"/>
      <c r="C77" s="115" t="s">
        <v>2512</v>
      </c>
      <c r="D77" s="71" t="s">
        <v>357</v>
      </c>
      <c r="E77" s="72" t="s">
        <v>2934</v>
      </c>
    </row>
    <row r="78" spans="2:5" x14ac:dyDescent="0.3">
      <c r="B78" s="70"/>
      <c r="C78" s="115" t="s">
        <v>2514</v>
      </c>
      <c r="D78" s="71" t="s">
        <v>360</v>
      </c>
      <c r="E78" s="72" t="s">
        <v>2933</v>
      </c>
    </row>
    <row r="79" spans="2:5" x14ac:dyDescent="0.3">
      <c r="B79" s="70"/>
      <c r="C79" s="115" t="s">
        <v>2499</v>
      </c>
      <c r="D79" s="71" t="s">
        <v>344</v>
      </c>
      <c r="E79" s="72" t="s">
        <v>2934</v>
      </c>
    </row>
    <row r="80" spans="2:5" x14ac:dyDescent="0.3">
      <c r="B80" s="70"/>
      <c r="C80" s="115" t="s">
        <v>2515</v>
      </c>
      <c r="D80" s="71" t="s">
        <v>361</v>
      </c>
      <c r="E80" s="72" t="s">
        <v>2934</v>
      </c>
    </row>
    <row r="81" spans="2:5" x14ac:dyDescent="0.3">
      <c r="B81" s="70"/>
      <c r="C81" s="115" t="s">
        <v>2507</v>
      </c>
      <c r="D81" s="71" t="s">
        <v>352</v>
      </c>
      <c r="E81" s="72" t="s">
        <v>2934</v>
      </c>
    </row>
    <row r="82" spans="2:5" x14ac:dyDescent="0.3">
      <c r="B82" s="70"/>
      <c r="C82" s="115" t="s">
        <v>2543</v>
      </c>
      <c r="D82" s="71" t="s">
        <v>388</v>
      </c>
      <c r="E82" s="72" t="s">
        <v>2934</v>
      </c>
    </row>
    <row r="83" spans="2:5" x14ac:dyDescent="0.3">
      <c r="B83" s="70"/>
      <c r="C83" s="115" t="s">
        <v>2541</v>
      </c>
      <c r="D83" s="71" t="s">
        <v>386</v>
      </c>
      <c r="E83" s="72" t="s">
        <v>2933</v>
      </c>
    </row>
    <row r="84" spans="2:5" x14ac:dyDescent="0.3">
      <c r="B84" s="70"/>
      <c r="C84" s="118" t="s">
        <v>2157</v>
      </c>
      <c r="D84" s="71" t="s">
        <v>396</v>
      </c>
      <c r="E84" s="72" t="s">
        <v>2933</v>
      </c>
    </row>
    <row r="85" spans="2:5" x14ac:dyDescent="0.3">
      <c r="B85" s="70"/>
      <c r="C85" s="118" t="s">
        <v>2558</v>
      </c>
      <c r="D85" s="71" t="s">
        <v>404</v>
      </c>
      <c r="E85" s="72" t="s">
        <v>2934</v>
      </c>
    </row>
    <row r="86" spans="2:5" x14ac:dyDescent="0.3">
      <c r="B86" s="70"/>
      <c r="C86" s="118" t="s">
        <v>2547</v>
      </c>
      <c r="D86" s="71" t="s">
        <v>392</v>
      </c>
      <c r="E86" s="72" t="s">
        <v>2934</v>
      </c>
    </row>
    <row r="87" spans="2:5" x14ac:dyDescent="0.3">
      <c r="B87" s="70"/>
      <c r="C87" s="115" t="s">
        <v>2559</v>
      </c>
      <c r="D87" s="71" t="s">
        <v>405</v>
      </c>
      <c r="E87" s="72" t="s">
        <v>2933</v>
      </c>
    </row>
    <row r="88" spans="2:5" x14ac:dyDescent="0.3">
      <c r="B88" s="70"/>
      <c r="C88" s="118" t="s">
        <v>2555</v>
      </c>
      <c r="D88" s="71" t="s">
        <v>401</v>
      </c>
      <c r="E88" s="72" t="s">
        <v>2934</v>
      </c>
    </row>
    <row r="89" spans="2:5" x14ac:dyDescent="0.3">
      <c r="B89" s="70"/>
      <c r="C89" s="115" t="s">
        <v>2537</v>
      </c>
      <c r="D89" s="71" t="s">
        <v>383</v>
      </c>
      <c r="E89" s="72" t="s">
        <v>2934</v>
      </c>
    </row>
    <row r="90" spans="2:5" x14ac:dyDescent="0.3">
      <c r="B90" s="70"/>
      <c r="C90" s="118" t="s">
        <v>2544</v>
      </c>
      <c r="D90" s="71" t="s">
        <v>389</v>
      </c>
      <c r="E90" s="72" t="s">
        <v>2933</v>
      </c>
    </row>
    <row r="91" spans="2:5" x14ac:dyDescent="0.3">
      <c r="B91" s="70"/>
      <c r="C91" s="115" t="s">
        <v>2538</v>
      </c>
      <c r="D91" s="71" t="s">
        <v>384</v>
      </c>
      <c r="E91" s="72" t="s">
        <v>2934</v>
      </c>
    </row>
    <row r="92" spans="2:5" x14ac:dyDescent="0.3">
      <c r="B92" s="70"/>
      <c r="C92" s="115" t="s">
        <v>2533</v>
      </c>
      <c r="D92" s="71" t="s">
        <v>535</v>
      </c>
      <c r="E92" s="72" t="s">
        <v>2934</v>
      </c>
    </row>
    <row r="93" spans="2:5" x14ac:dyDescent="0.3">
      <c r="B93" s="70"/>
      <c r="C93" s="118" t="s">
        <v>2534</v>
      </c>
      <c r="D93" s="71" t="s">
        <v>536</v>
      </c>
      <c r="E93" s="72" t="s">
        <v>2933</v>
      </c>
    </row>
    <row r="94" spans="2:5" x14ac:dyDescent="0.3">
      <c r="B94" s="70"/>
      <c r="C94" s="115" t="s">
        <v>2551</v>
      </c>
      <c r="D94" s="71" t="s">
        <v>398</v>
      </c>
      <c r="E94" s="72" t="s">
        <v>2934</v>
      </c>
    </row>
    <row r="95" spans="2:5" x14ac:dyDescent="0.3">
      <c r="B95" s="70"/>
      <c r="C95" s="118" t="s">
        <v>2552</v>
      </c>
      <c r="D95" s="71" t="s">
        <v>398</v>
      </c>
      <c r="E95" s="72" t="s">
        <v>2933</v>
      </c>
    </row>
    <row r="96" spans="2:5" x14ac:dyDescent="0.3">
      <c r="B96" s="70"/>
      <c r="C96" s="118" t="s">
        <v>2530</v>
      </c>
      <c r="D96" s="71" t="s">
        <v>377</v>
      </c>
      <c r="E96" s="72" t="s">
        <v>2933</v>
      </c>
    </row>
    <row r="97" spans="2:5" x14ac:dyDescent="0.3">
      <c r="B97" s="70"/>
      <c r="C97" s="115" t="s">
        <v>2542</v>
      </c>
      <c r="D97" s="71" t="s">
        <v>387</v>
      </c>
      <c r="E97" s="72" t="s">
        <v>2934</v>
      </c>
    </row>
    <row r="98" spans="2:5" x14ac:dyDescent="0.3">
      <c r="B98" s="70"/>
      <c r="C98" s="118" t="s">
        <v>2531</v>
      </c>
      <c r="D98" s="71" t="s">
        <v>378</v>
      </c>
      <c r="E98" s="72" t="s">
        <v>2933</v>
      </c>
    </row>
    <row r="99" spans="2:5" x14ac:dyDescent="0.3">
      <c r="B99" s="70"/>
      <c r="C99" s="118" t="s">
        <v>768</v>
      </c>
      <c r="D99" s="71" t="s">
        <v>2947</v>
      </c>
      <c r="E99" s="72" t="s">
        <v>2934</v>
      </c>
    </row>
    <row r="100" spans="2:5" x14ac:dyDescent="0.3">
      <c r="B100" s="70"/>
      <c r="C100" s="118" t="s">
        <v>2560</v>
      </c>
      <c r="D100" s="71" t="s">
        <v>406</v>
      </c>
      <c r="E100" s="72" t="s">
        <v>2934</v>
      </c>
    </row>
    <row r="101" spans="2:5" x14ac:dyDescent="0.3">
      <c r="B101" s="70"/>
      <c r="C101" s="118" t="s">
        <v>2562</v>
      </c>
      <c r="D101" s="71" t="s">
        <v>407</v>
      </c>
      <c r="E101" s="72" t="s">
        <v>2934</v>
      </c>
    </row>
    <row r="102" spans="2:5" x14ac:dyDescent="0.3">
      <c r="B102" s="70"/>
      <c r="C102" s="115" t="s">
        <v>2554</v>
      </c>
      <c r="D102" s="71" t="s">
        <v>400</v>
      </c>
      <c r="E102" s="72" t="s">
        <v>2934</v>
      </c>
    </row>
    <row r="103" spans="2:5" x14ac:dyDescent="0.3">
      <c r="B103" s="70"/>
      <c r="C103" s="118" t="s">
        <v>2532</v>
      </c>
      <c r="D103" s="71" t="s">
        <v>379</v>
      </c>
      <c r="E103" s="72" t="s">
        <v>2933</v>
      </c>
    </row>
    <row r="104" spans="2:5" x14ac:dyDescent="0.3">
      <c r="B104" s="70"/>
      <c r="C104" s="118" t="s">
        <v>2540</v>
      </c>
      <c r="D104" s="71" t="s">
        <v>537</v>
      </c>
      <c r="E104" s="72" t="s">
        <v>2934</v>
      </c>
    </row>
    <row r="105" spans="2:5" x14ac:dyDescent="0.3">
      <c r="B105" s="70"/>
      <c r="C105" s="118" t="s">
        <v>128</v>
      </c>
      <c r="D105" s="71" t="s">
        <v>380</v>
      </c>
      <c r="E105" s="72" t="s">
        <v>2934</v>
      </c>
    </row>
    <row r="106" spans="2:5" x14ac:dyDescent="0.3">
      <c r="B106" s="70"/>
      <c r="C106" s="118" t="s">
        <v>2546</v>
      </c>
      <c r="D106" s="71" t="s">
        <v>391</v>
      </c>
      <c r="E106" s="72" t="s">
        <v>2934</v>
      </c>
    </row>
    <row r="107" spans="2:5" x14ac:dyDescent="0.3">
      <c r="B107" s="70"/>
      <c r="C107" s="118" t="s">
        <v>2553</v>
      </c>
      <c r="D107" s="71" t="s">
        <v>399</v>
      </c>
      <c r="E107" s="72" t="s">
        <v>2934</v>
      </c>
    </row>
    <row r="108" spans="2:5" x14ac:dyDescent="0.3">
      <c r="B108" s="70"/>
      <c r="C108" s="115" t="s">
        <v>2501</v>
      </c>
      <c r="D108" s="71" t="s">
        <v>397</v>
      </c>
      <c r="E108" s="72" t="s">
        <v>2934</v>
      </c>
    </row>
    <row r="109" spans="2:5" x14ac:dyDescent="0.3">
      <c r="B109" s="70"/>
      <c r="C109" s="118" t="s">
        <v>2539</v>
      </c>
      <c r="D109" s="71" t="s">
        <v>385</v>
      </c>
      <c r="E109" s="72" t="s">
        <v>2934</v>
      </c>
    </row>
    <row r="110" spans="2:5" x14ac:dyDescent="0.3">
      <c r="B110" s="70"/>
      <c r="C110" s="115" t="s">
        <v>2556</v>
      </c>
      <c r="D110" s="71" t="s">
        <v>402</v>
      </c>
      <c r="E110" s="72" t="s">
        <v>2934</v>
      </c>
    </row>
    <row r="111" spans="2:5" x14ac:dyDescent="0.3">
      <c r="B111" s="70"/>
      <c r="C111" s="118" t="s">
        <v>2557</v>
      </c>
      <c r="D111" s="71" t="s">
        <v>403</v>
      </c>
      <c r="E111" s="72" t="s">
        <v>2933</v>
      </c>
    </row>
    <row r="112" spans="2:5" x14ac:dyDescent="0.3">
      <c r="B112" s="70"/>
      <c r="C112" s="115" t="s">
        <v>2535</v>
      </c>
      <c r="D112" s="71" t="s">
        <v>381</v>
      </c>
      <c r="E112" s="72" t="s">
        <v>2933</v>
      </c>
    </row>
    <row r="113" spans="2:5" x14ac:dyDescent="0.3">
      <c r="B113" s="70"/>
      <c r="C113" s="118" t="s">
        <v>2548</v>
      </c>
      <c r="D113" s="71" t="s">
        <v>393</v>
      </c>
      <c r="E113" s="72" t="s">
        <v>2933</v>
      </c>
    </row>
    <row r="114" spans="2:5" x14ac:dyDescent="0.3">
      <c r="B114" s="70"/>
      <c r="C114" s="115" t="s">
        <v>2545</v>
      </c>
      <c r="D114" s="71" t="s">
        <v>390</v>
      </c>
      <c r="E114" s="72" t="s">
        <v>2933</v>
      </c>
    </row>
    <row r="115" spans="2:5" x14ac:dyDescent="0.3">
      <c r="B115" s="70"/>
      <c r="C115" s="115" t="s">
        <v>2561</v>
      </c>
      <c r="D115" s="71" t="s">
        <v>538</v>
      </c>
      <c r="E115" s="72" t="s">
        <v>2934</v>
      </c>
    </row>
    <row r="116" spans="2:5" x14ac:dyDescent="0.3">
      <c r="B116" s="70"/>
      <c r="C116" s="118" t="s">
        <v>2536</v>
      </c>
      <c r="D116" s="71" t="s">
        <v>382</v>
      </c>
      <c r="E116" s="72" t="s">
        <v>2934</v>
      </c>
    </row>
    <row r="117" spans="2:5" x14ac:dyDescent="0.3">
      <c r="B117" s="70"/>
      <c r="C117" s="118" t="s">
        <v>2549</v>
      </c>
      <c r="D117" s="71" t="s">
        <v>394</v>
      </c>
      <c r="E117" s="72" t="s">
        <v>2933</v>
      </c>
    </row>
    <row r="118" spans="2:5" x14ac:dyDescent="0.3">
      <c r="B118" s="70"/>
      <c r="C118" s="118" t="s">
        <v>2550</v>
      </c>
      <c r="D118" s="71" t="s">
        <v>395</v>
      </c>
      <c r="E118" s="72" t="s">
        <v>2933</v>
      </c>
    </row>
    <row r="119" spans="2:5" x14ac:dyDescent="0.3">
      <c r="B119" s="70" t="s">
        <v>689</v>
      </c>
      <c r="C119" s="115" t="s">
        <v>2590</v>
      </c>
      <c r="D119" s="71" t="s">
        <v>2950</v>
      </c>
      <c r="E119" s="72" t="s">
        <v>2933</v>
      </c>
    </row>
    <row r="120" spans="2:5" x14ac:dyDescent="0.3">
      <c r="B120" s="70"/>
      <c r="C120" s="115" t="s">
        <v>2565</v>
      </c>
      <c r="D120" s="71" t="s">
        <v>867</v>
      </c>
      <c r="E120" s="72" t="s">
        <v>2933</v>
      </c>
    </row>
    <row r="121" spans="2:5" x14ac:dyDescent="0.3">
      <c r="B121" s="70" t="s">
        <v>699</v>
      </c>
      <c r="C121" s="115" t="s">
        <v>2591</v>
      </c>
      <c r="D121" s="71" t="s">
        <v>885</v>
      </c>
      <c r="E121" s="72" t="s">
        <v>2934</v>
      </c>
    </row>
    <row r="122" spans="2:5" x14ac:dyDescent="0.3">
      <c r="B122" s="70" t="s">
        <v>667</v>
      </c>
      <c r="C122" s="115" t="s">
        <v>2586</v>
      </c>
      <c r="D122" s="71" t="s">
        <v>878</v>
      </c>
      <c r="E122" s="72" t="s">
        <v>2934</v>
      </c>
    </row>
    <row r="123" spans="2:5" x14ac:dyDescent="0.3">
      <c r="B123" s="70" t="s">
        <v>678</v>
      </c>
      <c r="C123" s="115" t="s">
        <v>2588</v>
      </c>
      <c r="D123" s="71" t="s">
        <v>881</v>
      </c>
      <c r="E123" s="72" t="s">
        <v>2934</v>
      </c>
    </row>
    <row r="124" spans="2:5" x14ac:dyDescent="0.3">
      <c r="B124" s="70"/>
      <c r="C124" s="115" t="s">
        <v>2564</v>
      </c>
      <c r="D124" s="71" t="s">
        <v>858</v>
      </c>
      <c r="E124" s="72" t="s">
        <v>2934</v>
      </c>
    </row>
    <row r="125" spans="2:5" x14ac:dyDescent="0.3">
      <c r="B125" s="70" t="s">
        <v>660</v>
      </c>
      <c r="C125" s="115" t="s">
        <v>2585</v>
      </c>
      <c r="D125" s="71" t="s">
        <v>877</v>
      </c>
      <c r="E125" s="72" t="s">
        <v>2934</v>
      </c>
    </row>
    <row r="126" spans="2:5" x14ac:dyDescent="0.3">
      <c r="B126" s="70" t="s">
        <v>648</v>
      </c>
      <c r="C126" s="115" t="s">
        <v>2582</v>
      </c>
      <c r="D126" s="71" t="s">
        <v>874</v>
      </c>
      <c r="E126" s="72" t="s">
        <v>2934</v>
      </c>
    </row>
    <row r="127" spans="2:5" x14ac:dyDescent="0.3">
      <c r="B127" s="70" t="s">
        <v>643</v>
      </c>
      <c r="C127" s="115" t="s">
        <v>99</v>
      </c>
      <c r="D127" s="71" t="s">
        <v>873</v>
      </c>
      <c r="E127" s="72" t="s">
        <v>2934</v>
      </c>
    </row>
    <row r="128" spans="2:5" x14ac:dyDescent="0.3">
      <c r="B128" s="70" t="s">
        <v>704</v>
      </c>
      <c r="C128" s="115" t="s">
        <v>2592</v>
      </c>
      <c r="D128" s="71" t="s">
        <v>886</v>
      </c>
      <c r="E128" s="72" t="s">
        <v>2933</v>
      </c>
    </row>
    <row r="129" spans="2:5" x14ac:dyDescent="0.3">
      <c r="B129" s="70" t="s">
        <v>694</v>
      </c>
      <c r="C129" s="115" t="s">
        <v>496</v>
      </c>
      <c r="D129" s="71" t="s">
        <v>884</v>
      </c>
      <c r="E129" s="72" t="s">
        <v>2933</v>
      </c>
    </row>
    <row r="130" spans="2:5" x14ac:dyDescent="0.3">
      <c r="B130" s="70" t="s">
        <v>682</v>
      </c>
      <c r="C130" s="115" t="s">
        <v>979</v>
      </c>
      <c r="D130" s="71" t="s">
        <v>882</v>
      </c>
      <c r="E130" s="72" t="s">
        <v>2933</v>
      </c>
    </row>
    <row r="131" spans="2:5" x14ac:dyDescent="0.3">
      <c r="B131" s="70" t="s">
        <v>607</v>
      </c>
      <c r="C131" s="115" t="s">
        <v>2575</v>
      </c>
      <c r="D131" s="71" t="s">
        <v>864</v>
      </c>
      <c r="E131" s="72" t="s">
        <v>2933</v>
      </c>
    </row>
    <row r="132" spans="2:5" x14ac:dyDescent="0.3">
      <c r="B132" s="70" t="s">
        <v>668</v>
      </c>
      <c r="C132" s="115" t="s">
        <v>2587</v>
      </c>
      <c r="D132" s="71" t="s">
        <v>879</v>
      </c>
      <c r="E132" s="72" t="s">
        <v>2934</v>
      </c>
    </row>
    <row r="133" spans="2:5" x14ac:dyDescent="0.3">
      <c r="B133" s="70" t="s">
        <v>554</v>
      </c>
      <c r="C133" s="115" t="s">
        <v>2563</v>
      </c>
      <c r="D133" s="71" t="s">
        <v>852</v>
      </c>
      <c r="E133" s="72" t="s">
        <v>2934</v>
      </c>
    </row>
    <row r="134" spans="2:5" x14ac:dyDescent="0.3">
      <c r="B134" s="70" t="s">
        <v>638</v>
      </c>
      <c r="C134" s="115" t="s">
        <v>2480</v>
      </c>
      <c r="D134" s="71" t="s">
        <v>872</v>
      </c>
      <c r="E134" s="72" t="s">
        <v>2933</v>
      </c>
    </row>
    <row r="135" spans="2:5" x14ac:dyDescent="0.3">
      <c r="B135" s="70" t="s">
        <v>623</v>
      </c>
      <c r="C135" s="115" t="s">
        <v>2578</v>
      </c>
      <c r="D135" s="71" t="s">
        <v>866</v>
      </c>
      <c r="E135" s="72" t="s">
        <v>2934</v>
      </c>
    </row>
    <row r="136" spans="2:5" x14ac:dyDescent="0.3">
      <c r="B136" s="70" t="s">
        <v>686</v>
      </c>
      <c r="C136" s="115" t="s">
        <v>2589</v>
      </c>
      <c r="D136" s="71" t="s">
        <v>883</v>
      </c>
      <c r="E136" s="72" t="s">
        <v>2934</v>
      </c>
    </row>
    <row r="137" spans="2:5" x14ac:dyDescent="0.3">
      <c r="B137" s="70" t="s">
        <v>576</v>
      </c>
      <c r="C137" s="115" t="s">
        <v>2568</v>
      </c>
      <c r="D137" s="71" t="s">
        <v>860</v>
      </c>
      <c r="E137" s="72" t="s">
        <v>2934</v>
      </c>
    </row>
    <row r="138" spans="2:5" x14ac:dyDescent="0.3">
      <c r="B138" s="70" t="s">
        <v>673</v>
      </c>
      <c r="C138" s="115" t="s">
        <v>2534</v>
      </c>
      <c r="D138" s="71" t="s">
        <v>880</v>
      </c>
      <c r="E138" s="72" t="s">
        <v>2933</v>
      </c>
    </row>
    <row r="139" spans="2:5" x14ac:dyDescent="0.3">
      <c r="B139" s="70" t="s">
        <v>596</v>
      </c>
      <c r="C139" s="115" t="s">
        <v>2572</v>
      </c>
      <c r="D139" s="71" t="s">
        <v>862</v>
      </c>
      <c r="E139" s="72" t="s">
        <v>2934</v>
      </c>
    </row>
    <row r="140" spans="2:5" x14ac:dyDescent="0.3">
      <c r="B140" s="70" t="s">
        <v>617</v>
      </c>
      <c r="C140" s="115" t="s">
        <v>1303</v>
      </c>
      <c r="D140" s="71" t="s">
        <v>857</v>
      </c>
      <c r="E140" s="72" t="s">
        <v>2933</v>
      </c>
    </row>
    <row r="141" spans="2:5" x14ac:dyDescent="0.3">
      <c r="B141" s="70" t="s">
        <v>587</v>
      </c>
      <c r="C141" s="73" t="s">
        <v>2570</v>
      </c>
      <c r="D141" s="71" t="s">
        <v>855</v>
      </c>
      <c r="E141" s="72" t="s">
        <v>2934</v>
      </c>
    </row>
    <row r="142" spans="2:5" x14ac:dyDescent="0.3">
      <c r="B142" s="70" t="s">
        <v>604</v>
      </c>
      <c r="C142" s="115" t="s">
        <v>2574</v>
      </c>
      <c r="D142" s="71" t="s">
        <v>863</v>
      </c>
      <c r="E142" s="72" t="s">
        <v>2934</v>
      </c>
    </row>
    <row r="143" spans="2:5" x14ac:dyDescent="0.3">
      <c r="B143" s="70" t="s">
        <v>591</v>
      </c>
      <c r="C143" s="115" t="s">
        <v>2571</v>
      </c>
      <c r="D143" s="71" t="s">
        <v>861</v>
      </c>
      <c r="E143" s="72" t="s">
        <v>2934</v>
      </c>
    </row>
    <row r="144" spans="2:5" x14ac:dyDescent="0.3">
      <c r="B144" s="70" t="s">
        <v>580</v>
      </c>
      <c r="C144" s="115" t="s">
        <v>1638</v>
      </c>
      <c r="D144" s="71" t="s">
        <v>868</v>
      </c>
      <c r="E144" s="72" t="s">
        <v>2933</v>
      </c>
    </row>
    <row r="145" spans="2:5" x14ac:dyDescent="0.3">
      <c r="B145" s="70" t="s">
        <v>633</v>
      </c>
      <c r="C145" s="115" t="s">
        <v>2581</v>
      </c>
      <c r="D145" s="71" t="s">
        <v>871</v>
      </c>
      <c r="E145" s="72" t="s">
        <v>2933</v>
      </c>
    </row>
    <row r="146" spans="2:5" x14ac:dyDescent="0.3">
      <c r="B146" s="70" t="s">
        <v>615</v>
      </c>
      <c r="C146" s="115" t="s">
        <v>2577</v>
      </c>
      <c r="D146" s="71" t="s">
        <v>865</v>
      </c>
      <c r="E146" s="72" t="s">
        <v>2933</v>
      </c>
    </row>
    <row r="147" spans="2:5" x14ac:dyDescent="0.3">
      <c r="B147" s="70"/>
      <c r="C147" s="115" t="s">
        <v>2566</v>
      </c>
      <c r="D147" s="71" t="s">
        <v>853</v>
      </c>
      <c r="E147" s="72" t="s">
        <v>2934</v>
      </c>
    </row>
    <row r="148" spans="2:5" x14ac:dyDescent="0.3">
      <c r="B148" s="70" t="s">
        <v>611</v>
      </c>
      <c r="C148" s="115" t="s">
        <v>2576</v>
      </c>
      <c r="D148" s="71" t="s">
        <v>408</v>
      </c>
      <c r="E148" s="72" t="s">
        <v>2933</v>
      </c>
    </row>
    <row r="149" spans="2:5" x14ac:dyDescent="0.3">
      <c r="B149" s="70" t="s">
        <v>650</v>
      </c>
      <c r="C149" s="115" t="s">
        <v>2583</v>
      </c>
      <c r="D149" s="71" t="s">
        <v>875</v>
      </c>
      <c r="E149" s="72" t="s">
        <v>2934</v>
      </c>
    </row>
    <row r="150" spans="2:5" x14ac:dyDescent="0.3">
      <c r="B150" s="70" t="s">
        <v>583</v>
      </c>
      <c r="C150" s="115" t="s">
        <v>2569</v>
      </c>
      <c r="D150" s="71" t="s">
        <v>854</v>
      </c>
      <c r="E150" s="72" t="s">
        <v>2933</v>
      </c>
    </row>
    <row r="151" spans="2:5" x14ac:dyDescent="0.3">
      <c r="B151" s="70" t="s">
        <v>655</v>
      </c>
      <c r="C151" s="118" t="s">
        <v>2584</v>
      </c>
      <c r="D151" s="71" t="s">
        <v>876</v>
      </c>
      <c r="E151" s="72" t="s">
        <v>2933</v>
      </c>
    </row>
    <row r="152" spans="2:5" x14ac:dyDescent="0.3">
      <c r="B152" s="70" t="s">
        <v>628</v>
      </c>
      <c r="C152" s="115" t="s">
        <v>2579</v>
      </c>
      <c r="D152" s="71" t="s">
        <v>869</v>
      </c>
      <c r="E152" s="72" t="s">
        <v>2934</v>
      </c>
    </row>
    <row r="153" spans="2:5" x14ac:dyDescent="0.3">
      <c r="B153" s="70" t="s">
        <v>601</v>
      </c>
      <c r="C153" s="115" t="s">
        <v>2573</v>
      </c>
      <c r="D153" s="71" t="s">
        <v>856</v>
      </c>
      <c r="E153" s="72" t="s">
        <v>2934</v>
      </c>
    </row>
    <row r="154" spans="2:5" x14ac:dyDescent="0.3">
      <c r="B154" s="70" t="s">
        <v>632</v>
      </c>
      <c r="C154" s="115" t="s">
        <v>2580</v>
      </c>
      <c r="D154" s="71" t="s">
        <v>870</v>
      </c>
      <c r="E154" s="72" t="s">
        <v>2933</v>
      </c>
    </row>
    <row r="155" spans="2:5" x14ac:dyDescent="0.3">
      <c r="B155" s="70" t="s">
        <v>572</v>
      </c>
      <c r="C155" s="115" t="s">
        <v>2567</v>
      </c>
      <c r="D155" s="71" t="s">
        <v>859</v>
      </c>
      <c r="E155" s="72" t="s">
        <v>2934</v>
      </c>
    </row>
    <row r="156" spans="2:5" x14ac:dyDescent="0.3">
      <c r="B156" s="70" t="s">
        <v>722</v>
      </c>
      <c r="C156" s="115" t="s">
        <v>2597</v>
      </c>
      <c r="D156" s="71" t="s">
        <v>890</v>
      </c>
      <c r="E156" s="72" t="s">
        <v>2934</v>
      </c>
    </row>
    <row r="157" spans="2:5" x14ac:dyDescent="0.3">
      <c r="B157" s="70" t="s">
        <v>809</v>
      </c>
      <c r="C157" s="115" t="s">
        <v>2618</v>
      </c>
      <c r="D157" s="71" t="s">
        <v>912</v>
      </c>
      <c r="E157" s="72" t="s">
        <v>2934</v>
      </c>
    </row>
    <row r="158" spans="2:5" x14ac:dyDescent="0.3">
      <c r="B158" s="70" t="s">
        <v>745</v>
      </c>
      <c r="C158" s="115" t="s">
        <v>2602</v>
      </c>
      <c r="D158" s="71" t="s">
        <v>895</v>
      </c>
      <c r="E158" s="72" t="s">
        <v>2934</v>
      </c>
    </row>
    <row r="159" spans="2:5" x14ac:dyDescent="0.3">
      <c r="B159" s="70" t="s">
        <v>801</v>
      </c>
      <c r="C159" s="115" t="s">
        <v>2616</v>
      </c>
      <c r="D159" s="71" t="s">
        <v>910</v>
      </c>
      <c r="E159" s="72" t="s">
        <v>2933</v>
      </c>
    </row>
    <row r="160" spans="2:5" x14ac:dyDescent="0.3">
      <c r="B160" s="70" t="s">
        <v>735</v>
      </c>
      <c r="C160" s="118" t="s">
        <v>2599</v>
      </c>
      <c r="D160" s="71" t="s">
        <v>892</v>
      </c>
      <c r="E160" s="72" t="s">
        <v>2934</v>
      </c>
    </row>
    <row r="161" spans="2:5" x14ac:dyDescent="0.3">
      <c r="B161" s="70" t="s">
        <v>775</v>
      </c>
      <c r="C161" s="74" t="s">
        <v>2609</v>
      </c>
      <c r="D161" s="71" t="s">
        <v>903</v>
      </c>
      <c r="E161" s="72" t="s">
        <v>2934</v>
      </c>
    </row>
    <row r="162" spans="2:5" x14ac:dyDescent="0.3">
      <c r="B162" s="70" t="s">
        <v>828</v>
      </c>
      <c r="C162" s="115" t="s">
        <v>2623</v>
      </c>
      <c r="D162" s="71" t="s">
        <v>917</v>
      </c>
      <c r="E162" s="72" t="s">
        <v>2934</v>
      </c>
    </row>
    <row r="163" spans="2:5" x14ac:dyDescent="0.3">
      <c r="B163" s="70" t="s">
        <v>741</v>
      </c>
      <c r="C163" s="115" t="s">
        <v>2601</v>
      </c>
      <c r="D163" s="71" t="s">
        <v>894</v>
      </c>
      <c r="E163" s="72" t="s">
        <v>2934</v>
      </c>
    </row>
    <row r="164" spans="2:5" x14ac:dyDescent="0.3">
      <c r="B164" s="70" t="s">
        <v>850</v>
      </c>
      <c r="C164" s="115" t="s">
        <v>2628</v>
      </c>
      <c r="D164" s="71" t="s">
        <v>922</v>
      </c>
      <c r="E164" s="72" t="s">
        <v>2933</v>
      </c>
    </row>
    <row r="165" spans="2:5" x14ac:dyDescent="0.3">
      <c r="B165" s="70" t="s">
        <v>774</v>
      </c>
      <c r="C165" s="115" t="s">
        <v>2608</v>
      </c>
      <c r="D165" s="71" t="s">
        <v>902</v>
      </c>
      <c r="E165" s="72" t="s">
        <v>2933</v>
      </c>
    </row>
    <row r="166" spans="2:5" x14ac:dyDescent="0.3">
      <c r="B166" s="70" t="s">
        <v>752</v>
      </c>
      <c r="C166" s="115" t="s">
        <v>2604</v>
      </c>
      <c r="D166" s="71" t="s">
        <v>897</v>
      </c>
      <c r="E166" s="72" t="s">
        <v>2934</v>
      </c>
    </row>
    <row r="167" spans="2:5" x14ac:dyDescent="0.3">
      <c r="B167" s="70" t="s">
        <v>709</v>
      </c>
      <c r="C167" s="115" t="s">
        <v>2593</v>
      </c>
      <c r="D167" s="71" t="s">
        <v>887</v>
      </c>
      <c r="E167" s="72" t="s">
        <v>2934</v>
      </c>
    </row>
    <row r="168" spans="2:5" x14ac:dyDescent="0.3">
      <c r="B168" s="70" t="s">
        <v>643</v>
      </c>
      <c r="C168" s="115" t="s">
        <v>2621</v>
      </c>
      <c r="D168" s="71" t="s">
        <v>915</v>
      </c>
      <c r="E168" s="72" t="s">
        <v>2933</v>
      </c>
    </row>
    <row r="169" spans="2:5" x14ac:dyDescent="0.3">
      <c r="B169" s="70" t="s">
        <v>765</v>
      </c>
      <c r="C169" s="115" t="s">
        <v>2607</v>
      </c>
      <c r="D169" s="71" t="s">
        <v>901</v>
      </c>
      <c r="E169" s="72" t="s">
        <v>2934</v>
      </c>
    </row>
    <row r="170" spans="2:5" x14ac:dyDescent="0.3">
      <c r="B170" s="70" t="s">
        <v>718</v>
      </c>
      <c r="C170" s="115" t="s">
        <v>2595</v>
      </c>
      <c r="D170" s="71" t="s">
        <v>889</v>
      </c>
      <c r="E170" s="72" t="s">
        <v>2934</v>
      </c>
    </row>
    <row r="171" spans="2:5" x14ac:dyDescent="0.3">
      <c r="B171" s="70" t="s">
        <v>793</v>
      </c>
      <c r="C171" s="115" t="s">
        <v>2613</v>
      </c>
      <c r="D171" s="71" t="s">
        <v>907</v>
      </c>
      <c r="E171" s="72" t="s">
        <v>2933</v>
      </c>
    </row>
    <row r="172" spans="2:5" x14ac:dyDescent="0.3">
      <c r="B172" s="70" t="s">
        <v>780</v>
      </c>
      <c r="C172" s="115" t="s">
        <v>2610</v>
      </c>
      <c r="D172" s="71" t="s">
        <v>904</v>
      </c>
      <c r="E172" s="72" t="s">
        <v>2934</v>
      </c>
    </row>
    <row r="173" spans="2:5" x14ac:dyDescent="0.3">
      <c r="B173" s="70" t="s">
        <v>815</v>
      </c>
      <c r="C173" s="115" t="s">
        <v>2620</v>
      </c>
      <c r="D173" s="71" t="s">
        <v>914</v>
      </c>
      <c r="E173" s="72" t="s">
        <v>2934</v>
      </c>
    </row>
    <row r="174" spans="2:5" x14ac:dyDescent="0.3">
      <c r="B174" s="70" t="s">
        <v>761</v>
      </c>
      <c r="C174" s="115" t="s">
        <v>2606</v>
      </c>
      <c r="D174" s="71" t="s">
        <v>900</v>
      </c>
      <c r="E174" s="72" t="s">
        <v>2934</v>
      </c>
    </row>
    <row r="175" spans="2:5" x14ac:dyDescent="0.3">
      <c r="B175" s="70" t="s">
        <v>813</v>
      </c>
      <c r="C175" s="118" t="s">
        <v>2619</v>
      </c>
      <c r="D175" s="71" t="s">
        <v>913</v>
      </c>
      <c r="E175" s="72" t="s">
        <v>2934</v>
      </c>
    </row>
    <row r="176" spans="2:5" x14ac:dyDescent="0.3">
      <c r="B176" s="70" t="s">
        <v>755</v>
      </c>
      <c r="C176" s="115" t="s">
        <v>2605</v>
      </c>
      <c r="D176" s="71" t="s">
        <v>898</v>
      </c>
      <c r="E176" s="72" t="s">
        <v>2934</v>
      </c>
    </row>
    <row r="177" spans="2:5" x14ac:dyDescent="0.3">
      <c r="B177" s="70" t="s">
        <v>846</v>
      </c>
      <c r="C177" s="115" t="s">
        <v>2627</v>
      </c>
      <c r="D177" s="71" t="s">
        <v>921</v>
      </c>
      <c r="E177" s="72" t="s">
        <v>2933</v>
      </c>
    </row>
    <row r="178" spans="2:5" x14ac:dyDescent="0.3">
      <c r="B178" s="70" t="s">
        <v>759</v>
      </c>
      <c r="C178" s="115" t="s">
        <v>111</v>
      </c>
      <c r="D178" s="71" t="s">
        <v>899</v>
      </c>
      <c r="E178" s="72" t="s">
        <v>2933</v>
      </c>
    </row>
    <row r="179" spans="2:5" x14ac:dyDescent="0.3">
      <c r="B179" s="70" t="s">
        <v>823</v>
      </c>
      <c r="C179" s="115" t="s">
        <v>2622</v>
      </c>
      <c r="D179" s="71" t="s">
        <v>916</v>
      </c>
      <c r="E179" s="72" t="s">
        <v>2933</v>
      </c>
    </row>
    <row r="180" spans="2:5" x14ac:dyDescent="0.3">
      <c r="B180" s="70" t="s">
        <v>842</v>
      </c>
      <c r="C180" s="115" t="s">
        <v>2626</v>
      </c>
      <c r="D180" s="71" t="s">
        <v>920</v>
      </c>
      <c r="E180" s="72" t="s">
        <v>2933</v>
      </c>
    </row>
    <row r="181" spans="2:5" x14ac:dyDescent="0.3">
      <c r="B181" s="70" t="s">
        <v>833</v>
      </c>
      <c r="C181" s="115" t="s">
        <v>2624</v>
      </c>
      <c r="D181" s="71" t="s">
        <v>918</v>
      </c>
      <c r="E181" s="72" t="s">
        <v>2933</v>
      </c>
    </row>
    <row r="182" spans="2:5" x14ac:dyDescent="0.3">
      <c r="B182" s="70" t="s">
        <v>727</v>
      </c>
      <c r="C182" s="115" t="s">
        <v>2598</v>
      </c>
      <c r="D182" s="71" t="s">
        <v>891</v>
      </c>
      <c r="E182" s="72" t="s">
        <v>2933</v>
      </c>
    </row>
    <row r="183" spans="2:5" x14ac:dyDescent="0.3">
      <c r="B183" s="70" t="s">
        <v>788</v>
      </c>
      <c r="C183" s="115" t="s">
        <v>2612</v>
      </c>
      <c r="D183" s="71" t="s">
        <v>906</v>
      </c>
      <c r="E183" s="72" t="s">
        <v>2933</v>
      </c>
    </row>
    <row r="184" spans="2:5" x14ac:dyDescent="0.3">
      <c r="B184" s="70" t="s">
        <v>749</v>
      </c>
      <c r="C184" s="115" t="s">
        <v>2603</v>
      </c>
      <c r="D184" s="71" t="s">
        <v>896</v>
      </c>
      <c r="E184" s="72" t="s">
        <v>2934</v>
      </c>
    </row>
    <row r="185" spans="2:5" x14ac:dyDescent="0.3">
      <c r="B185" s="70" t="s">
        <v>794</v>
      </c>
      <c r="C185" s="115" t="s">
        <v>2614</v>
      </c>
      <c r="D185" s="71" t="s">
        <v>908</v>
      </c>
      <c r="E185" s="72" t="s">
        <v>2933</v>
      </c>
    </row>
    <row r="186" spans="2:5" x14ac:dyDescent="0.3">
      <c r="B186" s="70" t="s">
        <v>714</v>
      </c>
      <c r="C186" s="115" t="s">
        <v>2594</v>
      </c>
      <c r="D186" s="71" t="s">
        <v>888</v>
      </c>
      <c r="E186" s="72" t="s">
        <v>2934</v>
      </c>
    </row>
    <row r="187" spans="2:5" x14ac:dyDescent="0.3">
      <c r="B187" s="70" t="s">
        <v>799</v>
      </c>
      <c r="C187" s="115" t="s">
        <v>2615</v>
      </c>
      <c r="D187" s="71" t="s">
        <v>909</v>
      </c>
      <c r="E187" s="72" t="s">
        <v>2934</v>
      </c>
    </row>
    <row r="188" spans="2:5" x14ac:dyDescent="0.3">
      <c r="B188" s="70" t="s">
        <v>784</v>
      </c>
      <c r="C188" s="115" t="s">
        <v>2611</v>
      </c>
      <c r="D188" s="71" t="s">
        <v>905</v>
      </c>
      <c r="E188" s="72" t="s">
        <v>2933</v>
      </c>
    </row>
    <row r="189" spans="2:5" x14ac:dyDescent="0.3">
      <c r="B189" s="70" t="s">
        <v>805</v>
      </c>
      <c r="C189" s="115" t="s">
        <v>2617</v>
      </c>
      <c r="D189" s="71" t="s">
        <v>911</v>
      </c>
      <c r="E189" s="72" t="s">
        <v>2934</v>
      </c>
    </row>
    <row r="190" spans="2:5" x14ac:dyDescent="0.3">
      <c r="B190" s="70" t="s">
        <v>736</v>
      </c>
      <c r="C190" s="115" t="s">
        <v>2600</v>
      </c>
      <c r="D190" s="71" t="s">
        <v>893</v>
      </c>
      <c r="E190" s="72" t="s">
        <v>2934</v>
      </c>
    </row>
    <row r="191" spans="2:5" x14ac:dyDescent="0.3">
      <c r="B191" s="70" t="s">
        <v>838</v>
      </c>
      <c r="C191" s="115" t="s">
        <v>2625</v>
      </c>
      <c r="D191" s="71" t="s">
        <v>919</v>
      </c>
      <c r="E191" s="72" t="s">
        <v>2933</v>
      </c>
    </row>
    <row r="192" spans="2:5" x14ac:dyDescent="0.3">
      <c r="B192" s="70" t="s">
        <v>719</v>
      </c>
      <c r="C192" s="115" t="s">
        <v>2596</v>
      </c>
      <c r="D192" s="71" t="s">
        <v>36</v>
      </c>
      <c r="E192" s="72" t="s">
        <v>2933</v>
      </c>
    </row>
    <row r="193" spans="2:5" x14ac:dyDescent="0.3">
      <c r="B193" s="70" t="s">
        <v>1103</v>
      </c>
      <c r="C193" s="118" t="s">
        <v>2660</v>
      </c>
      <c r="D193" s="71" t="s">
        <v>958</v>
      </c>
      <c r="E193" s="72" t="s">
        <v>2934</v>
      </c>
    </row>
    <row r="194" spans="2:5" x14ac:dyDescent="0.3">
      <c r="B194" s="70" t="s">
        <v>1017</v>
      </c>
      <c r="C194" s="118" t="s">
        <v>2641</v>
      </c>
      <c r="D194" s="71" t="s">
        <v>936</v>
      </c>
      <c r="E194" s="72" t="s">
        <v>2933</v>
      </c>
    </row>
    <row r="195" spans="2:5" x14ac:dyDescent="0.3">
      <c r="B195" s="70" t="s">
        <v>1096</v>
      </c>
      <c r="C195" s="118" t="s">
        <v>146</v>
      </c>
      <c r="D195" s="71" t="s">
        <v>956</v>
      </c>
      <c r="E195" s="72" t="s">
        <v>2934</v>
      </c>
    </row>
    <row r="196" spans="2:5" x14ac:dyDescent="0.3">
      <c r="B196" s="70" t="s">
        <v>1092</v>
      </c>
      <c r="C196" s="118" t="s">
        <v>2659</v>
      </c>
      <c r="D196" s="71" t="s">
        <v>955</v>
      </c>
      <c r="E196" s="72" t="s">
        <v>2934</v>
      </c>
    </row>
    <row r="197" spans="2:5" x14ac:dyDescent="0.3">
      <c r="B197" s="70" t="s">
        <v>1031</v>
      </c>
      <c r="C197" s="118" t="s">
        <v>2374</v>
      </c>
      <c r="D197" s="71" t="s">
        <v>939</v>
      </c>
      <c r="E197" s="72" t="s">
        <v>2934</v>
      </c>
    </row>
    <row r="198" spans="2:5" x14ac:dyDescent="0.3">
      <c r="B198" s="70" t="s">
        <v>1062</v>
      </c>
      <c r="C198" s="115" t="s">
        <v>2651</v>
      </c>
      <c r="D198" s="71" t="s">
        <v>947</v>
      </c>
      <c r="E198" s="72" t="s">
        <v>2933</v>
      </c>
    </row>
    <row r="199" spans="2:5" x14ac:dyDescent="0.3">
      <c r="B199" s="70" t="s">
        <v>1058</v>
      </c>
      <c r="C199" s="118" t="s">
        <v>2650</v>
      </c>
      <c r="D199" s="71" t="s">
        <v>946</v>
      </c>
      <c r="E199" s="72" t="s">
        <v>2934</v>
      </c>
    </row>
    <row r="200" spans="2:5" x14ac:dyDescent="0.3">
      <c r="B200" s="70" t="s">
        <v>1008</v>
      </c>
      <c r="C200" s="118" t="s">
        <v>2639</v>
      </c>
      <c r="D200" s="71" t="s">
        <v>934</v>
      </c>
      <c r="E200" s="72" t="s">
        <v>2934</v>
      </c>
    </row>
    <row r="201" spans="2:5" x14ac:dyDescent="0.3">
      <c r="B201" s="70" t="s">
        <v>994</v>
      </c>
      <c r="C201" s="115" t="s">
        <v>2636</v>
      </c>
      <c r="D201" s="71" t="s">
        <v>931</v>
      </c>
      <c r="E201" s="72" t="s">
        <v>2933</v>
      </c>
    </row>
    <row r="202" spans="2:5" x14ac:dyDescent="0.3">
      <c r="B202" s="70" t="s">
        <v>978</v>
      </c>
      <c r="C202" s="118" t="s">
        <v>2632</v>
      </c>
      <c r="D202" s="71" t="s">
        <v>927</v>
      </c>
      <c r="E202" s="72" t="s">
        <v>2934</v>
      </c>
    </row>
    <row r="203" spans="2:5" x14ac:dyDescent="0.3">
      <c r="B203" s="70" t="s">
        <v>1073</v>
      </c>
      <c r="C203" s="118" t="s">
        <v>2654</v>
      </c>
      <c r="D203" s="71" t="s">
        <v>950</v>
      </c>
      <c r="E203" s="72" t="s">
        <v>2933</v>
      </c>
    </row>
    <row r="204" spans="2:5" x14ac:dyDescent="0.3">
      <c r="B204" s="70" t="s">
        <v>1055</v>
      </c>
      <c r="C204" s="118" t="s">
        <v>2649</v>
      </c>
      <c r="D204" s="71" t="s">
        <v>945</v>
      </c>
      <c r="E204" s="72" t="s">
        <v>2933</v>
      </c>
    </row>
    <row r="205" spans="2:5" x14ac:dyDescent="0.3">
      <c r="B205" s="70" t="s">
        <v>1086</v>
      </c>
      <c r="C205" s="118" t="s">
        <v>2657</v>
      </c>
      <c r="D205" s="71" t="s">
        <v>953</v>
      </c>
      <c r="E205" s="72" t="s">
        <v>2934</v>
      </c>
    </row>
    <row r="206" spans="2:5" x14ac:dyDescent="0.3">
      <c r="B206" s="70" t="s">
        <v>1052</v>
      </c>
      <c r="C206" s="118" t="s">
        <v>2648</v>
      </c>
      <c r="D206" s="71" t="s">
        <v>944</v>
      </c>
      <c r="E206" s="72" t="s">
        <v>2933</v>
      </c>
    </row>
    <row r="207" spans="2:5" x14ac:dyDescent="0.3">
      <c r="B207" s="70" t="s">
        <v>966</v>
      </c>
      <c r="C207" s="118" t="s">
        <v>2630</v>
      </c>
      <c r="D207" s="71" t="s">
        <v>924</v>
      </c>
      <c r="E207" s="72" t="s">
        <v>2933</v>
      </c>
    </row>
    <row r="208" spans="2:5" x14ac:dyDescent="0.3">
      <c r="B208" s="70" t="s">
        <v>1040</v>
      </c>
      <c r="C208" s="115" t="s">
        <v>2645</v>
      </c>
      <c r="D208" s="71" t="s">
        <v>941</v>
      </c>
      <c r="E208" s="72" t="s">
        <v>2933</v>
      </c>
    </row>
    <row r="209" spans="2:5" x14ac:dyDescent="0.3">
      <c r="B209" s="70" t="s">
        <v>1003</v>
      </c>
      <c r="C209" s="115" t="s">
        <v>2638</v>
      </c>
      <c r="D209" s="71" t="s">
        <v>933</v>
      </c>
      <c r="E209" s="72" t="s">
        <v>2934</v>
      </c>
    </row>
    <row r="210" spans="2:5" x14ac:dyDescent="0.3">
      <c r="B210" s="70" t="s">
        <v>1077</v>
      </c>
      <c r="C210" s="115" t="s">
        <v>2655</v>
      </c>
      <c r="D210" s="71" t="s">
        <v>951</v>
      </c>
      <c r="E210" s="72" t="s">
        <v>2933</v>
      </c>
    </row>
    <row r="211" spans="2:5" x14ac:dyDescent="0.3">
      <c r="B211" s="70" t="s">
        <v>999</v>
      </c>
      <c r="C211" s="115" t="s">
        <v>2637</v>
      </c>
      <c r="D211" s="71" t="s">
        <v>932</v>
      </c>
      <c r="E211" s="72" t="s">
        <v>2933</v>
      </c>
    </row>
    <row r="212" spans="2:5" x14ac:dyDescent="0.3">
      <c r="B212" s="70" t="s">
        <v>982</v>
      </c>
      <c r="C212" s="118" t="s">
        <v>2633</v>
      </c>
      <c r="D212" s="71" t="s">
        <v>928</v>
      </c>
      <c r="E212" s="72" t="s">
        <v>2934</v>
      </c>
    </row>
    <row r="213" spans="2:5" x14ac:dyDescent="0.3">
      <c r="B213" s="70" t="s">
        <v>1044</v>
      </c>
      <c r="C213" s="118" t="s">
        <v>2646</v>
      </c>
      <c r="D213" s="71" t="s">
        <v>942</v>
      </c>
      <c r="E213" s="72" t="s">
        <v>2934</v>
      </c>
    </row>
    <row r="214" spans="2:5" x14ac:dyDescent="0.3">
      <c r="B214" s="70" t="s">
        <v>1012</v>
      </c>
      <c r="C214" s="118" t="s">
        <v>2640</v>
      </c>
      <c r="D214" s="71" t="s">
        <v>935</v>
      </c>
      <c r="E214" s="72" t="s">
        <v>2934</v>
      </c>
    </row>
    <row r="215" spans="2:5" x14ac:dyDescent="0.3">
      <c r="B215" s="70" t="s">
        <v>1089</v>
      </c>
      <c r="C215" s="118" t="s">
        <v>2658</v>
      </c>
      <c r="D215" s="71" t="s">
        <v>954</v>
      </c>
      <c r="E215" s="72" t="s">
        <v>2934</v>
      </c>
    </row>
    <row r="216" spans="2:5" x14ac:dyDescent="0.3">
      <c r="B216" s="70" t="s">
        <v>985</v>
      </c>
      <c r="C216" s="118" t="s">
        <v>2634</v>
      </c>
      <c r="D216" s="71" t="s">
        <v>929</v>
      </c>
      <c r="E216" s="72" t="s">
        <v>2934</v>
      </c>
    </row>
    <row r="217" spans="2:5" x14ac:dyDescent="0.3">
      <c r="B217" s="70"/>
      <c r="C217" s="115" t="s">
        <v>2290</v>
      </c>
      <c r="D217" s="71" t="s">
        <v>957</v>
      </c>
      <c r="E217" s="72" t="s">
        <v>2933</v>
      </c>
    </row>
    <row r="218" spans="2:5" x14ac:dyDescent="0.3">
      <c r="B218" s="70" t="s">
        <v>977</v>
      </c>
      <c r="C218" s="119" t="s">
        <v>2631</v>
      </c>
      <c r="D218" s="71" t="s">
        <v>926</v>
      </c>
      <c r="E218" s="72" t="s">
        <v>2934</v>
      </c>
    </row>
    <row r="219" spans="2:5" x14ac:dyDescent="0.3">
      <c r="B219" s="70" t="s">
        <v>1025</v>
      </c>
      <c r="C219" s="119" t="s">
        <v>2643</v>
      </c>
      <c r="D219" s="71" t="s">
        <v>938</v>
      </c>
      <c r="E219" s="72" t="s">
        <v>2933</v>
      </c>
    </row>
    <row r="220" spans="2:5" x14ac:dyDescent="0.3">
      <c r="B220" s="70" t="s">
        <v>1026</v>
      </c>
      <c r="C220" s="118" t="s">
        <v>577</v>
      </c>
      <c r="D220" s="71" t="s">
        <v>938</v>
      </c>
      <c r="E220" s="72" t="s">
        <v>2933</v>
      </c>
    </row>
    <row r="221" spans="2:5" x14ac:dyDescent="0.3">
      <c r="B221" s="70" t="s">
        <v>1021</v>
      </c>
      <c r="C221" s="118" t="s">
        <v>2642</v>
      </c>
      <c r="D221" s="71" t="s">
        <v>937</v>
      </c>
      <c r="E221" s="72" t="s">
        <v>2934</v>
      </c>
    </row>
    <row r="222" spans="2:5" x14ac:dyDescent="0.3">
      <c r="B222" s="70" t="s">
        <v>1036</v>
      </c>
      <c r="C222" s="118" t="s">
        <v>2644</v>
      </c>
      <c r="D222" s="71" t="s">
        <v>940</v>
      </c>
      <c r="E222" s="72" t="s">
        <v>2933</v>
      </c>
    </row>
    <row r="223" spans="2:5" x14ac:dyDescent="0.3">
      <c r="B223" s="70" t="s">
        <v>962</v>
      </c>
      <c r="C223" s="115" t="s">
        <v>2629</v>
      </c>
      <c r="D223" s="71" t="s">
        <v>923</v>
      </c>
      <c r="E223" s="72" t="s">
        <v>2934</v>
      </c>
    </row>
    <row r="224" spans="2:5" x14ac:dyDescent="0.3">
      <c r="B224" s="70" t="s">
        <v>970</v>
      </c>
      <c r="C224" s="118" t="s">
        <v>808</v>
      </c>
      <c r="D224" s="71" t="s">
        <v>925</v>
      </c>
      <c r="E224" s="72" t="s">
        <v>2934</v>
      </c>
    </row>
    <row r="225" spans="2:5" x14ac:dyDescent="0.3">
      <c r="B225" s="70" t="s">
        <v>1066</v>
      </c>
      <c r="C225" s="118" t="s">
        <v>2652</v>
      </c>
      <c r="D225" s="71" t="s">
        <v>948</v>
      </c>
      <c r="E225" s="72" t="s">
        <v>2933</v>
      </c>
    </row>
    <row r="226" spans="2:5" x14ac:dyDescent="0.3">
      <c r="B226" s="70" t="s">
        <v>1069</v>
      </c>
      <c r="C226" s="115" t="s">
        <v>2653</v>
      </c>
      <c r="D226" s="71" t="s">
        <v>949</v>
      </c>
      <c r="E226" s="72" t="s">
        <v>2933</v>
      </c>
    </row>
    <row r="227" spans="2:5" x14ac:dyDescent="0.3">
      <c r="B227" s="70" t="s">
        <v>1081</v>
      </c>
      <c r="C227" s="115" t="s">
        <v>2656</v>
      </c>
      <c r="D227" s="71" t="s">
        <v>952</v>
      </c>
      <c r="E227" s="72" t="s">
        <v>2934</v>
      </c>
    </row>
    <row r="228" spans="2:5" x14ac:dyDescent="0.3">
      <c r="B228" s="70" t="s">
        <v>1049</v>
      </c>
      <c r="C228" s="115" t="s">
        <v>2647</v>
      </c>
      <c r="D228" s="71" t="s">
        <v>943</v>
      </c>
      <c r="E228" s="72" t="s">
        <v>2933</v>
      </c>
    </row>
    <row r="229" spans="2:5" x14ac:dyDescent="0.3">
      <c r="B229" s="70" t="s">
        <v>990</v>
      </c>
      <c r="C229" s="118" t="s">
        <v>2635</v>
      </c>
      <c r="D229" s="71" t="s">
        <v>930</v>
      </c>
      <c r="E229" s="72" t="s">
        <v>2934</v>
      </c>
    </row>
    <row r="230" spans="2:5" x14ac:dyDescent="0.3">
      <c r="B230" s="70" t="s">
        <v>1224</v>
      </c>
      <c r="C230" s="121" t="s">
        <v>2686</v>
      </c>
      <c r="D230" s="71" t="s">
        <v>404</v>
      </c>
      <c r="E230" s="72" t="s">
        <v>2934</v>
      </c>
    </row>
    <row r="231" spans="2:5" x14ac:dyDescent="0.3">
      <c r="B231" s="70" t="s">
        <v>1177</v>
      </c>
      <c r="C231" s="121" t="s">
        <v>219</v>
      </c>
      <c r="D231" s="71" t="s">
        <v>1719</v>
      </c>
      <c r="E231" s="72" t="s">
        <v>2933</v>
      </c>
    </row>
    <row r="232" spans="2:5" x14ac:dyDescent="0.3">
      <c r="B232" s="70" t="s">
        <v>1140</v>
      </c>
      <c r="C232" s="121" t="s">
        <v>2667</v>
      </c>
      <c r="D232" s="71" t="s">
        <v>1711</v>
      </c>
      <c r="E232" s="72" t="s">
        <v>2934</v>
      </c>
    </row>
    <row r="233" spans="2:5" x14ac:dyDescent="0.3">
      <c r="B233" s="70" t="s">
        <v>1116</v>
      </c>
      <c r="C233" s="121" t="s">
        <v>2663</v>
      </c>
      <c r="D233" s="71" t="s">
        <v>1706</v>
      </c>
      <c r="E233" s="72" t="s">
        <v>2934</v>
      </c>
    </row>
    <row r="234" spans="2:5" x14ac:dyDescent="0.3">
      <c r="B234" s="70" t="s">
        <v>1229</v>
      </c>
      <c r="C234" s="120" t="s">
        <v>2687</v>
      </c>
      <c r="D234" s="71" t="s">
        <v>1731</v>
      </c>
      <c r="E234" s="72" t="s">
        <v>2934</v>
      </c>
    </row>
    <row r="235" spans="2:5" x14ac:dyDescent="0.3">
      <c r="B235" s="70" t="s">
        <v>1189</v>
      </c>
      <c r="C235" s="121" t="s">
        <v>2678</v>
      </c>
      <c r="D235" s="71" t="s">
        <v>391</v>
      </c>
      <c r="E235" s="72" t="s">
        <v>2933</v>
      </c>
    </row>
    <row r="236" spans="2:5" x14ac:dyDescent="0.3">
      <c r="B236" s="70" t="s">
        <v>1165</v>
      </c>
      <c r="C236" s="121" t="s">
        <v>2672</v>
      </c>
      <c r="D236" s="71" t="s">
        <v>1716</v>
      </c>
      <c r="E236" s="72" t="s">
        <v>2933</v>
      </c>
    </row>
    <row r="237" spans="2:5" x14ac:dyDescent="0.3">
      <c r="B237" s="70" t="s">
        <v>1121</v>
      </c>
      <c r="C237" s="120" t="s">
        <v>319</v>
      </c>
      <c r="D237" s="71" t="s">
        <v>1707</v>
      </c>
      <c r="E237" s="72" t="s">
        <v>2933</v>
      </c>
    </row>
    <row r="238" spans="2:5" x14ac:dyDescent="0.3">
      <c r="B238" s="70" t="s">
        <v>1182</v>
      </c>
      <c r="C238" s="120" t="s">
        <v>2676</v>
      </c>
      <c r="D238" s="71" t="s">
        <v>1720</v>
      </c>
      <c r="E238" s="72" t="s">
        <v>2933</v>
      </c>
    </row>
    <row r="239" spans="2:5" x14ac:dyDescent="0.3">
      <c r="B239" s="70" t="s">
        <v>1136</v>
      </c>
      <c r="C239" s="121" t="s">
        <v>2666</v>
      </c>
      <c r="D239" s="71" t="s">
        <v>1710</v>
      </c>
      <c r="E239" s="72" t="s">
        <v>2934</v>
      </c>
    </row>
    <row r="240" spans="2:5" x14ac:dyDescent="0.3">
      <c r="B240" s="70" t="s">
        <v>1201</v>
      </c>
      <c r="C240" s="121" t="s">
        <v>2681</v>
      </c>
      <c r="D240" s="71" t="s">
        <v>1724</v>
      </c>
      <c r="E240" s="72" t="s">
        <v>2933</v>
      </c>
    </row>
    <row r="241" spans="2:5" x14ac:dyDescent="0.3">
      <c r="B241" s="70" t="s">
        <v>1205</v>
      </c>
      <c r="C241" s="120" t="s">
        <v>2646</v>
      </c>
      <c r="D241" s="71" t="s">
        <v>1725</v>
      </c>
      <c r="E241" s="72" t="s">
        <v>2934</v>
      </c>
    </row>
    <row r="242" spans="2:5" x14ac:dyDescent="0.3">
      <c r="B242" s="70" t="s">
        <v>1197</v>
      </c>
      <c r="C242" s="115" t="s">
        <v>2680</v>
      </c>
      <c r="D242" s="71" t="s">
        <v>1723</v>
      </c>
      <c r="E242" s="72" t="s">
        <v>2934</v>
      </c>
    </row>
    <row r="243" spans="2:5" x14ac:dyDescent="0.3">
      <c r="B243" s="70" t="s">
        <v>1166</v>
      </c>
      <c r="C243" s="121" t="s">
        <v>2673</v>
      </c>
      <c r="D243" s="71" t="s">
        <v>40</v>
      </c>
      <c r="E243" s="72" t="s">
        <v>2933</v>
      </c>
    </row>
    <row r="244" spans="2:5" x14ac:dyDescent="0.3">
      <c r="B244" s="70" t="s">
        <v>1188</v>
      </c>
      <c r="C244" s="120" t="s">
        <v>2677</v>
      </c>
      <c r="D244" s="71" t="s">
        <v>898</v>
      </c>
      <c r="E244" s="72" t="s">
        <v>2934</v>
      </c>
    </row>
    <row r="245" spans="2:5" x14ac:dyDescent="0.3">
      <c r="B245" s="70" t="s">
        <v>1126</v>
      </c>
      <c r="C245" s="121" t="s">
        <v>2664</v>
      </c>
      <c r="D245" s="71" t="s">
        <v>1708</v>
      </c>
      <c r="E245" s="72" t="s">
        <v>2934</v>
      </c>
    </row>
    <row r="246" spans="2:5" x14ac:dyDescent="0.3">
      <c r="B246" s="70" t="s">
        <v>1131</v>
      </c>
      <c r="C246" s="121" t="s">
        <v>2665</v>
      </c>
      <c r="D246" s="71" t="s">
        <v>1709</v>
      </c>
      <c r="E246" s="72" t="s">
        <v>2934</v>
      </c>
    </row>
    <row r="247" spans="2:5" x14ac:dyDescent="0.3">
      <c r="B247" s="70" t="s">
        <v>1150</v>
      </c>
      <c r="C247" s="115" t="s">
        <v>2669</v>
      </c>
      <c r="D247" s="71" t="s">
        <v>1713</v>
      </c>
      <c r="E247" s="72" t="s">
        <v>2934</v>
      </c>
    </row>
    <row r="248" spans="2:5" x14ac:dyDescent="0.3">
      <c r="B248" s="70" t="s">
        <v>1209</v>
      </c>
      <c r="C248" s="121" t="s">
        <v>2474</v>
      </c>
      <c r="D248" s="71" t="s">
        <v>1726</v>
      </c>
      <c r="E248" s="72" t="s">
        <v>2933</v>
      </c>
    </row>
    <row r="249" spans="2:5" x14ac:dyDescent="0.3">
      <c r="B249" s="70" t="s">
        <v>1112</v>
      </c>
      <c r="C249" s="120" t="s">
        <v>2661</v>
      </c>
      <c r="D249" s="71" t="s">
        <v>1705</v>
      </c>
      <c r="E249" s="72" t="s">
        <v>2934</v>
      </c>
    </row>
    <row r="250" spans="2:5" x14ac:dyDescent="0.3">
      <c r="B250" s="70" t="s">
        <v>1233</v>
      </c>
      <c r="C250" s="120" t="s">
        <v>29</v>
      </c>
      <c r="D250" s="71" t="s">
        <v>1732</v>
      </c>
      <c r="E250" s="72" t="s">
        <v>2933</v>
      </c>
    </row>
    <row r="251" spans="2:5" x14ac:dyDescent="0.3">
      <c r="B251" s="70" t="s">
        <v>1187</v>
      </c>
      <c r="C251" s="120" t="s">
        <v>2622</v>
      </c>
      <c r="D251" s="71" t="s">
        <v>1721</v>
      </c>
      <c r="E251" s="72" t="s">
        <v>2933</v>
      </c>
    </row>
    <row r="252" spans="2:5" x14ac:dyDescent="0.3">
      <c r="B252" s="70" t="s">
        <v>1216</v>
      </c>
      <c r="C252" s="121" t="s">
        <v>2683</v>
      </c>
      <c r="D252" s="71" t="s">
        <v>1728</v>
      </c>
      <c r="E252" s="72" t="s">
        <v>2934</v>
      </c>
    </row>
    <row r="253" spans="2:5" x14ac:dyDescent="0.3">
      <c r="B253" s="70" t="s">
        <v>1223</v>
      </c>
      <c r="C253" s="120" t="s">
        <v>2685</v>
      </c>
      <c r="D253" s="71" t="s">
        <v>1730</v>
      </c>
      <c r="E253" s="72" t="s">
        <v>2934</v>
      </c>
    </row>
    <row r="254" spans="2:5" x14ac:dyDescent="0.3">
      <c r="B254" s="70" t="s">
        <v>1220</v>
      </c>
      <c r="C254" s="121" t="s">
        <v>2684</v>
      </c>
      <c r="D254" s="71" t="s">
        <v>1729</v>
      </c>
      <c r="E254" s="72" t="s">
        <v>2934</v>
      </c>
    </row>
    <row r="255" spans="2:5" x14ac:dyDescent="0.3">
      <c r="B255" s="70" t="s">
        <v>1145</v>
      </c>
      <c r="C255" s="120" t="s">
        <v>2668</v>
      </c>
      <c r="D255" s="71" t="s">
        <v>1712</v>
      </c>
      <c r="E255" s="72" t="s">
        <v>2934</v>
      </c>
    </row>
    <row r="256" spans="2:5" x14ac:dyDescent="0.3">
      <c r="B256" s="70" t="s">
        <v>1212</v>
      </c>
      <c r="C256" s="121" t="s">
        <v>2682</v>
      </c>
      <c r="D256" s="71" t="s">
        <v>1727</v>
      </c>
      <c r="E256" s="72" t="s">
        <v>2934</v>
      </c>
    </row>
    <row r="257" spans="2:5" x14ac:dyDescent="0.3">
      <c r="B257" s="70" t="s">
        <v>1193</v>
      </c>
      <c r="C257" s="73" t="s">
        <v>2679</v>
      </c>
      <c r="D257" s="71" t="s">
        <v>1722</v>
      </c>
      <c r="E257" s="72" t="s">
        <v>2934</v>
      </c>
    </row>
    <row r="258" spans="2:5" x14ac:dyDescent="0.3">
      <c r="B258" s="70" t="s">
        <v>1155</v>
      </c>
      <c r="C258" s="120" t="s">
        <v>2670</v>
      </c>
      <c r="D258" s="71" t="s">
        <v>1714</v>
      </c>
      <c r="E258" s="72" t="s">
        <v>2933</v>
      </c>
    </row>
    <row r="259" spans="2:5" x14ac:dyDescent="0.3">
      <c r="B259" s="70" t="s">
        <v>1173</v>
      </c>
      <c r="C259" s="121" t="s">
        <v>2675</v>
      </c>
      <c r="D259" s="71" t="s">
        <v>1718</v>
      </c>
      <c r="E259" s="72" t="s">
        <v>2934</v>
      </c>
    </row>
    <row r="260" spans="2:5" x14ac:dyDescent="0.3">
      <c r="B260" s="70" t="s">
        <v>1160</v>
      </c>
      <c r="C260" s="121" t="s">
        <v>2671</v>
      </c>
      <c r="D260" s="71" t="s">
        <v>1715</v>
      </c>
      <c r="E260" s="72" t="s">
        <v>2934</v>
      </c>
    </row>
    <row r="261" spans="2:5" x14ac:dyDescent="0.3">
      <c r="B261" s="70" t="s">
        <v>1171</v>
      </c>
      <c r="C261" s="121" t="s">
        <v>2674</v>
      </c>
      <c r="D261" s="71" t="s">
        <v>1717</v>
      </c>
      <c r="E261" s="72" t="s">
        <v>2933</v>
      </c>
    </row>
    <row r="262" spans="2:5" x14ac:dyDescent="0.3">
      <c r="B262" s="70" t="s">
        <v>719</v>
      </c>
      <c r="C262" s="115" t="s">
        <v>2710</v>
      </c>
      <c r="D262" s="71" t="s">
        <v>1758</v>
      </c>
      <c r="E262" s="72" t="s">
        <v>2933</v>
      </c>
    </row>
    <row r="263" spans="2:5" x14ac:dyDescent="0.3">
      <c r="B263" s="70" t="s">
        <v>1250</v>
      </c>
      <c r="C263" s="115" t="s">
        <v>2691</v>
      </c>
      <c r="D263" s="71" t="s">
        <v>351</v>
      </c>
      <c r="E263" s="72" t="s">
        <v>2933</v>
      </c>
    </row>
    <row r="264" spans="2:5" x14ac:dyDescent="0.3">
      <c r="B264" s="70" t="s">
        <v>1322</v>
      </c>
      <c r="C264" s="115" t="s">
        <v>2706</v>
      </c>
      <c r="D264" s="71" t="s">
        <v>394</v>
      </c>
      <c r="E264" s="72" t="s">
        <v>2934</v>
      </c>
    </row>
    <row r="265" spans="2:5" x14ac:dyDescent="0.3">
      <c r="B265" s="70" t="s">
        <v>1323</v>
      </c>
      <c r="C265" s="122" t="s">
        <v>2501</v>
      </c>
      <c r="D265" s="71" t="s">
        <v>877</v>
      </c>
      <c r="E265" s="72" t="s">
        <v>2934</v>
      </c>
    </row>
    <row r="266" spans="2:5" x14ac:dyDescent="0.3">
      <c r="B266" s="70" t="s">
        <v>1286</v>
      </c>
      <c r="C266" s="122" t="s">
        <v>2699</v>
      </c>
      <c r="D266" s="71" t="s">
        <v>1744</v>
      </c>
      <c r="E266" s="72" t="s">
        <v>2933</v>
      </c>
    </row>
    <row r="267" spans="2:5" x14ac:dyDescent="0.3">
      <c r="B267" s="70" t="s">
        <v>1282</v>
      </c>
      <c r="C267" s="115" t="s">
        <v>2698</v>
      </c>
      <c r="D267" s="71" t="s">
        <v>1743</v>
      </c>
      <c r="E267" s="72" t="s">
        <v>2933</v>
      </c>
    </row>
    <row r="268" spans="2:5" x14ac:dyDescent="0.3">
      <c r="B268" s="70" t="s">
        <v>1265</v>
      </c>
      <c r="C268" s="115" t="s">
        <v>2694</v>
      </c>
      <c r="D268" s="71" t="s">
        <v>1739</v>
      </c>
      <c r="E268" s="72" t="s">
        <v>2934</v>
      </c>
    </row>
    <row r="269" spans="2:5" x14ac:dyDescent="0.3">
      <c r="B269" s="70" t="s">
        <v>1331</v>
      </c>
      <c r="C269" s="122" t="s">
        <v>2707</v>
      </c>
      <c r="D269" s="71" t="s">
        <v>1755</v>
      </c>
      <c r="E269" s="72" t="s">
        <v>2934</v>
      </c>
    </row>
    <row r="270" spans="2:5" x14ac:dyDescent="0.3">
      <c r="B270" s="70" t="s">
        <v>1243</v>
      </c>
      <c r="C270" s="115" t="s">
        <v>2689</v>
      </c>
      <c r="D270" s="71" t="s">
        <v>1734</v>
      </c>
      <c r="E270" s="72" t="s">
        <v>2934</v>
      </c>
    </row>
    <row r="271" spans="2:5" x14ac:dyDescent="0.3">
      <c r="B271" s="70" t="s">
        <v>1294</v>
      </c>
      <c r="C271" s="115" t="s">
        <v>2702</v>
      </c>
      <c r="D271" s="71" t="s">
        <v>1747</v>
      </c>
      <c r="E271" s="72" t="s">
        <v>2933</v>
      </c>
    </row>
    <row r="272" spans="2:5" x14ac:dyDescent="0.3">
      <c r="B272" s="70" t="s">
        <v>1299</v>
      </c>
      <c r="C272" s="115" t="s">
        <v>2441</v>
      </c>
      <c r="D272" s="71" t="s">
        <v>1748</v>
      </c>
      <c r="E272" s="72" t="s">
        <v>2933</v>
      </c>
    </row>
    <row r="273" spans="2:5" x14ac:dyDescent="0.3">
      <c r="B273" s="70" t="s">
        <v>1253</v>
      </c>
      <c r="C273" s="115" t="s">
        <v>73</v>
      </c>
      <c r="D273" s="71" t="s">
        <v>1736</v>
      </c>
      <c r="E273" s="72" t="s">
        <v>2933</v>
      </c>
    </row>
    <row r="274" spans="2:5" x14ac:dyDescent="0.3">
      <c r="B274" s="70" t="s">
        <v>1278</v>
      </c>
      <c r="C274" s="115" t="s">
        <v>2697</v>
      </c>
      <c r="D274" s="71" t="s">
        <v>1742</v>
      </c>
      <c r="E274" s="72" t="s">
        <v>2933</v>
      </c>
    </row>
    <row r="275" spans="2:5" x14ac:dyDescent="0.3">
      <c r="B275" s="70" t="s">
        <v>1249</v>
      </c>
      <c r="C275" s="71" t="s">
        <v>2690</v>
      </c>
      <c r="D275" s="71" t="s">
        <v>568</v>
      </c>
      <c r="E275" s="72" t="s">
        <v>2934</v>
      </c>
    </row>
    <row r="276" spans="2:5" x14ac:dyDescent="0.3">
      <c r="B276" s="70" t="s">
        <v>1241</v>
      </c>
      <c r="C276" s="122" t="s">
        <v>2688</v>
      </c>
      <c r="D276" s="71" t="s">
        <v>1733</v>
      </c>
      <c r="E276" s="72" t="s">
        <v>2934</v>
      </c>
    </row>
    <row r="277" spans="2:5" x14ac:dyDescent="0.3">
      <c r="B277" s="70" t="s">
        <v>1274</v>
      </c>
      <c r="C277" s="115" t="s">
        <v>2696</v>
      </c>
      <c r="D277" s="71" t="s">
        <v>1741</v>
      </c>
      <c r="E277" s="72" t="s">
        <v>2934</v>
      </c>
    </row>
    <row r="278" spans="2:5" x14ac:dyDescent="0.3">
      <c r="B278" s="70" t="s">
        <v>1236</v>
      </c>
      <c r="C278" s="115" t="s">
        <v>95</v>
      </c>
      <c r="D278" s="71" t="s">
        <v>1234</v>
      </c>
      <c r="E278" s="72" t="s">
        <v>2934</v>
      </c>
    </row>
    <row r="279" spans="2:5" x14ac:dyDescent="0.3">
      <c r="B279" s="70" t="s">
        <v>1269</v>
      </c>
      <c r="C279" s="115" t="s">
        <v>2695</v>
      </c>
      <c r="D279" s="71" t="s">
        <v>1740</v>
      </c>
      <c r="E279" s="72" t="s">
        <v>2933</v>
      </c>
    </row>
    <row r="280" spans="2:5" x14ac:dyDescent="0.3">
      <c r="B280" s="70" t="s">
        <v>1337</v>
      </c>
      <c r="C280" s="115" t="s">
        <v>2709</v>
      </c>
      <c r="D280" s="71" t="s">
        <v>1757</v>
      </c>
      <c r="E280" s="72" t="s">
        <v>2934</v>
      </c>
    </row>
    <row r="281" spans="2:5" x14ac:dyDescent="0.3">
      <c r="B281" s="70" t="s">
        <v>1311</v>
      </c>
      <c r="C281" s="115" t="s">
        <v>2705</v>
      </c>
      <c r="D281" s="71" t="s">
        <v>1751</v>
      </c>
      <c r="E281" s="72" t="s">
        <v>2934</v>
      </c>
    </row>
    <row r="282" spans="2:5" x14ac:dyDescent="0.3">
      <c r="B282" s="70" t="s">
        <v>1312</v>
      </c>
      <c r="C282" s="115" t="s">
        <v>2704</v>
      </c>
      <c r="D282" s="71" t="s">
        <v>1750</v>
      </c>
      <c r="E282" s="72" t="s">
        <v>2933</v>
      </c>
    </row>
    <row r="283" spans="2:5" x14ac:dyDescent="0.3">
      <c r="B283" s="70" t="s">
        <v>1302</v>
      </c>
      <c r="C283" s="115" t="s">
        <v>2703</v>
      </c>
      <c r="D283" s="71" t="s">
        <v>1749</v>
      </c>
      <c r="E283" s="72" t="s">
        <v>2934</v>
      </c>
    </row>
    <row r="284" spans="2:5" x14ac:dyDescent="0.3">
      <c r="B284" s="70" t="s">
        <v>1290</v>
      </c>
      <c r="C284" s="122" t="s">
        <v>2701</v>
      </c>
      <c r="D284" s="71" t="s">
        <v>1746</v>
      </c>
      <c r="E284" s="72" t="s">
        <v>2934</v>
      </c>
    </row>
    <row r="285" spans="2:5" x14ac:dyDescent="0.3">
      <c r="B285" s="70" t="s">
        <v>1334</v>
      </c>
      <c r="C285" s="115" t="s">
        <v>2708</v>
      </c>
      <c r="D285" s="71" t="s">
        <v>1756</v>
      </c>
      <c r="E285" s="72" t="s">
        <v>2933</v>
      </c>
    </row>
    <row r="286" spans="2:5" x14ac:dyDescent="0.3">
      <c r="B286" s="70" t="s">
        <v>1328</v>
      </c>
      <c r="C286" s="115" t="s">
        <v>316</v>
      </c>
      <c r="D286" s="71" t="s">
        <v>1754</v>
      </c>
      <c r="E286" s="72" t="s">
        <v>2933</v>
      </c>
    </row>
    <row r="287" spans="2:5" x14ac:dyDescent="0.3">
      <c r="B287" s="70" t="s">
        <v>1258</v>
      </c>
      <c r="C287" s="115" t="s">
        <v>2692</v>
      </c>
      <c r="D287" s="71" t="s">
        <v>1737</v>
      </c>
      <c r="E287" s="72" t="s">
        <v>2933</v>
      </c>
    </row>
    <row r="288" spans="2:5" x14ac:dyDescent="0.3">
      <c r="B288" s="70" t="s">
        <v>1321</v>
      </c>
      <c r="C288" s="115" t="s">
        <v>99</v>
      </c>
      <c r="D288" s="71" t="s">
        <v>1753</v>
      </c>
      <c r="E288" s="72" t="s">
        <v>2933</v>
      </c>
    </row>
    <row r="289" spans="2:5" x14ac:dyDescent="0.3">
      <c r="B289" s="70" t="s">
        <v>1339</v>
      </c>
      <c r="C289" s="115" t="s">
        <v>2711</v>
      </c>
      <c r="D289" s="71" t="s">
        <v>538</v>
      </c>
      <c r="E289" s="72" t="s">
        <v>2933</v>
      </c>
    </row>
    <row r="290" spans="2:5" x14ac:dyDescent="0.3">
      <c r="B290" s="70" t="s">
        <v>1317</v>
      </c>
      <c r="C290" s="115" t="s">
        <v>563</v>
      </c>
      <c r="D290" s="71" t="s">
        <v>1752</v>
      </c>
      <c r="E290" s="72" t="s">
        <v>2933</v>
      </c>
    </row>
    <row r="291" spans="2:5" x14ac:dyDescent="0.3">
      <c r="B291" s="70" t="s">
        <v>1248</v>
      </c>
      <c r="C291" s="120" t="s">
        <v>2301</v>
      </c>
      <c r="D291" s="71" t="s">
        <v>1735</v>
      </c>
      <c r="E291" s="72" t="s">
        <v>2934</v>
      </c>
    </row>
    <row r="292" spans="2:5" x14ac:dyDescent="0.3">
      <c r="B292" s="70" t="s">
        <v>1260</v>
      </c>
      <c r="C292" s="115" t="s">
        <v>2693</v>
      </c>
      <c r="D292" s="71" t="s">
        <v>1738</v>
      </c>
      <c r="E292" s="72" t="s">
        <v>2933</v>
      </c>
    </row>
    <row r="293" spans="2:5" x14ac:dyDescent="0.3">
      <c r="B293" s="70"/>
      <c r="C293" s="115" t="s">
        <v>2700</v>
      </c>
      <c r="D293" s="71" t="s">
        <v>1745</v>
      </c>
      <c r="E293" s="72" t="s">
        <v>2934</v>
      </c>
    </row>
    <row r="294" spans="2:5" x14ac:dyDescent="0.3">
      <c r="B294" s="70" t="s">
        <v>1340</v>
      </c>
      <c r="C294" s="115" t="s">
        <v>1074</v>
      </c>
      <c r="D294" s="71" t="s">
        <v>345</v>
      </c>
      <c r="E294" s="72" t="s">
        <v>2933</v>
      </c>
    </row>
    <row r="295" spans="2:5" x14ac:dyDescent="0.3">
      <c r="B295" s="70" t="s">
        <v>1384</v>
      </c>
      <c r="C295" s="120" t="s">
        <v>2721</v>
      </c>
      <c r="D295" s="71" t="s">
        <v>183</v>
      </c>
      <c r="E295" s="72" t="s">
        <v>2934</v>
      </c>
    </row>
    <row r="296" spans="2:5" x14ac:dyDescent="0.3">
      <c r="B296" s="70" t="s">
        <v>1366</v>
      </c>
      <c r="C296" s="122" t="s">
        <v>1303</v>
      </c>
      <c r="D296" s="71" t="s">
        <v>1764</v>
      </c>
      <c r="E296" s="72" t="s">
        <v>2933</v>
      </c>
    </row>
    <row r="297" spans="2:5" x14ac:dyDescent="0.3">
      <c r="B297" s="70" t="s">
        <v>1371</v>
      </c>
      <c r="C297" s="115" t="s">
        <v>2717</v>
      </c>
      <c r="D297" s="71" t="s">
        <v>1765</v>
      </c>
      <c r="E297" s="72" t="s">
        <v>2933</v>
      </c>
    </row>
    <row r="298" spans="2:5" x14ac:dyDescent="0.3">
      <c r="B298" s="70" t="s">
        <v>1344</v>
      </c>
      <c r="C298" s="122" t="s">
        <v>2712</v>
      </c>
      <c r="D298" s="71" t="s">
        <v>1759</v>
      </c>
      <c r="E298" s="72" t="s">
        <v>2933</v>
      </c>
    </row>
    <row r="299" spans="2:5" x14ac:dyDescent="0.3">
      <c r="B299" s="70" t="s">
        <v>1418</v>
      </c>
      <c r="C299" s="115" t="s">
        <v>2731</v>
      </c>
      <c r="D299" s="71" t="s">
        <v>1776</v>
      </c>
      <c r="E299" s="72" t="s">
        <v>2933</v>
      </c>
    </row>
    <row r="300" spans="2:5" x14ac:dyDescent="0.3">
      <c r="B300" s="70" t="s">
        <v>1352</v>
      </c>
      <c r="C300" s="115" t="s">
        <v>2714</v>
      </c>
      <c r="D300" s="71" t="s">
        <v>1761</v>
      </c>
      <c r="E300" s="72" t="s">
        <v>2934</v>
      </c>
    </row>
    <row r="301" spans="2:5" x14ac:dyDescent="0.3">
      <c r="B301" s="70" t="s">
        <v>1383</v>
      </c>
      <c r="C301" s="115" t="s">
        <v>2720</v>
      </c>
      <c r="D301" s="71" t="s">
        <v>1768</v>
      </c>
      <c r="E301" s="72" t="s">
        <v>2934</v>
      </c>
    </row>
    <row r="302" spans="2:5" x14ac:dyDescent="0.3">
      <c r="B302" s="70" t="s">
        <v>1402</v>
      </c>
      <c r="C302" s="122" t="s">
        <v>2726</v>
      </c>
      <c r="D302" s="71" t="s">
        <v>897</v>
      </c>
      <c r="E302" s="72" t="s">
        <v>2934</v>
      </c>
    </row>
    <row r="303" spans="2:5" x14ac:dyDescent="0.3">
      <c r="B303" s="70" t="s">
        <v>1404</v>
      </c>
      <c r="C303" s="115" t="s">
        <v>2727</v>
      </c>
      <c r="D303" s="71" t="s">
        <v>897</v>
      </c>
      <c r="E303" s="72" t="s">
        <v>2934</v>
      </c>
    </row>
    <row r="304" spans="2:5" x14ac:dyDescent="0.3">
      <c r="B304" s="70" t="s">
        <v>1413</v>
      </c>
      <c r="C304" s="115" t="s">
        <v>2729</v>
      </c>
      <c r="D304" s="71" t="s">
        <v>1774</v>
      </c>
      <c r="E304" s="72" t="s">
        <v>2933</v>
      </c>
    </row>
    <row r="305" spans="2:5" x14ac:dyDescent="0.3">
      <c r="B305" s="70" t="s">
        <v>1437</v>
      </c>
      <c r="C305" s="122" t="s">
        <v>2734</v>
      </c>
      <c r="D305" s="71" t="s">
        <v>1779</v>
      </c>
      <c r="E305" s="72" t="s">
        <v>2934</v>
      </c>
    </row>
    <row r="306" spans="2:5" x14ac:dyDescent="0.3">
      <c r="B306" s="70" t="s">
        <v>1423</v>
      </c>
      <c r="C306" s="115" t="s">
        <v>2696</v>
      </c>
      <c r="D306" s="71" t="s">
        <v>2662</v>
      </c>
      <c r="E306" s="72" t="s">
        <v>2934</v>
      </c>
    </row>
    <row r="307" spans="2:5" x14ac:dyDescent="0.3">
      <c r="B307" s="70" t="s">
        <v>1401</v>
      </c>
      <c r="C307" s="122" t="s">
        <v>2725</v>
      </c>
      <c r="D307" s="71" t="s">
        <v>1772</v>
      </c>
      <c r="E307" s="72" t="s">
        <v>2934</v>
      </c>
    </row>
    <row r="308" spans="2:5" x14ac:dyDescent="0.3">
      <c r="B308" s="70" t="s">
        <v>1409</v>
      </c>
      <c r="C308" s="115" t="s">
        <v>2728</v>
      </c>
      <c r="D308" s="71" t="s">
        <v>1773</v>
      </c>
      <c r="E308" s="72" t="s">
        <v>2934</v>
      </c>
    </row>
    <row r="309" spans="2:5" x14ac:dyDescent="0.3">
      <c r="B309" s="70" t="s">
        <v>1356</v>
      </c>
      <c r="C309" s="122" t="s">
        <v>2715</v>
      </c>
      <c r="D309" s="71" t="s">
        <v>1762</v>
      </c>
      <c r="E309" s="72" t="s">
        <v>2934</v>
      </c>
    </row>
    <row r="310" spans="2:5" x14ac:dyDescent="0.3">
      <c r="B310" s="70" t="s">
        <v>1393</v>
      </c>
      <c r="C310" s="122" t="s">
        <v>2723</v>
      </c>
      <c r="D310" s="71" t="s">
        <v>1770</v>
      </c>
      <c r="E310" s="72" t="s">
        <v>2933</v>
      </c>
    </row>
    <row r="311" spans="2:5" x14ac:dyDescent="0.3">
      <c r="B311" s="70" t="s">
        <v>1432</v>
      </c>
      <c r="C311" s="115" t="s">
        <v>2733</v>
      </c>
      <c r="D311" s="71" t="s">
        <v>1778</v>
      </c>
      <c r="E311" s="72" t="s">
        <v>2933</v>
      </c>
    </row>
    <row r="312" spans="2:5" x14ac:dyDescent="0.3">
      <c r="B312" s="70" t="s">
        <v>1347</v>
      </c>
      <c r="C312" s="115" t="s">
        <v>2713</v>
      </c>
      <c r="D312" s="71" t="s">
        <v>1760</v>
      </c>
      <c r="E312" s="72" t="s">
        <v>2934</v>
      </c>
    </row>
    <row r="313" spans="2:5" x14ac:dyDescent="0.3">
      <c r="B313" s="70" t="s">
        <v>1415</v>
      </c>
      <c r="C313" s="122" t="s">
        <v>2480</v>
      </c>
      <c r="D313" s="71" t="s">
        <v>942</v>
      </c>
      <c r="E313" s="72" t="s">
        <v>2933</v>
      </c>
    </row>
    <row r="314" spans="2:5" x14ac:dyDescent="0.3">
      <c r="B314" s="70" t="s">
        <v>1440</v>
      </c>
      <c r="C314" s="115" t="s">
        <v>2735</v>
      </c>
      <c r="D314" s="71" t="s">
        <v>1780</v>
      </c>
      <c r="E314" s="72" t="s">
        <v>2934</v>
      </c>
    </row>
    <row r="315" spans="2:5" x14ac:dyDescent="0.3">
      <c r="B315" s="70" t="s">
        <v>1447</v>
      </c>
      <c r="C315" s="115" t="s">
        <v>2737</v>
      </c>
      <c r="D315" s="71" t="s">
        <v>1782</v>
      </c>
      <c r="E315" s="72" t="s">
        <v>2934</v>
      </c>
    </row>
    <row r="316" spans="2:5" x14ac:dyDescent="0.3">
      <c r="B316" s="70" t="s">
        <v>1427</v>
      </c>
      <c r="C316" s="73" t="s">
        <v>2732</v>
      </c>
      <c r="D316" s="71" t="s">
        <v>1777</v>
      </c>
      <c r="E316" s="72" t="s">
        <v>2933</v>
      </c>
    </row>
    <row r="317" spans="2:5" x14ac:dyDescent="0.3">
      <c r="B317" s="70" t="s">
        <v>1376</v>
      </c>
      <c r="C317" s="115" t="s">
        <v>2718</v>
      </c>
      <c r="D317" s="71" t="s">
        <v>1766</v>
      </c>
      <c r="E317" s="72" t="s">
        <v>2934</v>
      </c>
    </row>
    <row r="318" spans="2:5" x14ac:dyDescent="0.3">
      <c r="B318" s="70" t="s">
        <v>1388</v>
      </c>
      <c r="C318" s="120" t="s">
        <v>2722</v>
      </c>
      <c r="D318" s="71" t="s">
        <v>1769</v>
      </c>
      <c r="E318" s="72" t="s">
        <v>2934</v>
      </c>
    </row>
    <row r="319" spans="2:5" x14ac:dyDescent="0.3">
      <c r="B319" s="70" t="s">
        <v>1398</v>
      </c>
      <c r="C319" s="115" t="s">
        <v>2724</v>
      </c>
      <c r="D319" s="71" t="s">
        <v>1771</v>
      </c>
      <c r="E319" s="72" t="s">
        <v>2934</v>
      </c>
    </row>
    <row r="320" spans="2:5" x14ac:dyDescent="0.3">
      <c r="B320" s="70" t="s">
        <v>1451</v>
      </c>
      <c r="C320" s="122" t="s">
        <v>2738</v>
      </c>
      <c r="D320" s="71" t="s">
        <v>1783</v>
      </c>
      <c r="E320" s="72" t="s">
        <v>2934</v>
      </c>
    </row>
    <row r="321" spans="2:5" x14ac:dyDescent="0.3">
      <c r="B321" s="70" t="s">
        <v>1455</v>
      </c>
      <c r="C321" s="115" t="s">
        <v>2739</v>
      </c>
      <c r="D321" s="71" t="s">
        <v>1784</v>
      </c>
      <c r="E321" s="72" t="s">
        <v>2934</v>
      </c>
    </row>
    <row r="322" spans="2:5" x14ac:dyDescent="0.3">
      <c r="B322" s="70" t="s">
        <v>1360</v>
      </c>
      <c r="C322" s="115" t="s">
        <v>2716</v>
      </c>
      <c r="D322" s="71" t="s">
        <v>1763</v>
      </c>
      <c r="E322" s="72" t="s">
        <v>2934</v>
      </c>
    </row>
    <row r="323" spans="2:5" x14ac:dyDescent="0.3">
      <c r="B323" s="70" t="s">
        <v>1443</v>
      </c>
      <c r="C323" s="123" t="s">
        <v>2736</v>
      </c>
      <c r="D323" s="71" t="s">
        <v>1781</v>
      </c>
      <c r="E323" s="72" t="s">
        <v>2933</v>
      </c>
    </row>
    <row r="324" spans="2:5" x14ac:dyDescent="0.3">
      <c r="B324" s="70" t="s">
        <v>1379</v>
      </c>
      <c r="C324" s="115" t="s">
        <v>2719</v>
      </c>
      <c r="D324" s="71" t="s">
        <v>1767</v>
      </c>
      <c r="E324" s="72" t="s">
        <v>2934</v>
      </c>
    </row>
    <row r="325" spans="2:5" x14ac:dyDescent="0.3">
      <c r="B325" s="70"/>
      <c r="C325" s="122" t="s">
        <v>2730</v>
      </c>
      <c r="D325" s="71" t="s">
        <v>1775</v>
      </c>
      <c r="E325" s="72" t="s">
        <v>2933</v>
      </c>
    </row>
    <row r="326" spans="2:5" x14ac:dyDescent="0.3">
      <c r="B326" s="70" t="s">
        <v>1495</v>
      </c>
      <c r="C326" s="122" t="s">
        <v>2750</v>
      </c>
      <c r="D326" s="71" t="s">
        <v>384</v>
      </c>
      <c r="E326" s="72" t="s">
        <v>2933</v>
      </c>
    </row>
    <row r="327" spans="2:5" x14ac:dyDescent="0.3">
      <c r="B327" s="70" t="s">
        <v>1456</v>
      </c>
      <c r="C327" s="122" t="s">
        <v>2740</v>
      </c>
      <c r="D327" s="71" t="s">
        <v>377</v>
      </c>
      <c r="E327" s="72" t="s">
        <v>2934</v>
      </c>
    </row>
    <row r="328" spans="2:5" x14ac:dyDescent="0.3">
      <c r="B328" s="70" t="s">
        <v>1499</v>
      </c>
      <c r="C328" s="122" t="s">
        <v>2751</v>
      </c>
      <c r="D328" s="71" t="s">
        <v>1794</v>
      </c>
      <c r="E328" s="72" t="s">
        <v>2933</v>
      </c>
    </row>
    <row r="329" spans="2:5" x14ac:dyDescent="0.3">
      <c r="B329" s="70" t="s">
        <v>1514</v>
      </c>
      <c r="C329" s="122" t="s">
        <v>2673</v>
      </c>
      <c r="D329" s="71" t="s">
        <v>947</v>
      </c>
      <c r="E329" s="72" t="s">
        <v>2933</v>
      </c>
    </row>
    <row r="330" spans="2:5" x14ac:dyDescent="0.3">
      <c r="B330" s="70" t="s">
        <v>1459</v>
      </c>
      <c r="C330" s="122" t="s">
        <v>2741</v>
      </c>
      <c r="D330" s="71" t="s">
        <v>1785</v>
      </c>
      <c r="E330" s="72" t="s">
        <v>2933</v>
      </c>
    </row>
    <row r="331" spans="2:5" x14ac:dyDescent="0.3">
      <c r="B331" s="70" t="s">
        <v>1464</v>
      </c>
      <c r="C331" s="122" t="s">
        <v>2742</v>
      </c>
      <c r="D331" s="71" t="s">
        <v>34</v>
      </c>
      <c r="E331" s="72" t="s">
        <v>2934</v>
      </c>
    </row>
    <row r="332" spans="2:5" x14ac:dyDescent="0.3">
      <c r="B332" s="70" t="s">
        <v>1520</v>
      </c>
      <c r="C332" s="122" t="s">
        <v>2758</v>
      </c>
      <c r="D332" s="71" t="s">
        <v>1882</v>
      </c>
      <c r="E332" s="72" t="s">
        <v>2933</v>
      </c>
    </row>
    <row r="333" spans="2:5" x14ac:dyDescent="0.3">
      <c r="B333" s="70" t="s">
        <v>1513</v>
      </c>
      <c r="C333" s="122" t="s">
        <v>2756</v>
      </c>
      <c r="D333" s="71" t="s">
        <v>1797</v>
      </c>
      <c r="E333" s="72" t="s">
        <v>2934</v>
      </c>
    </row>
    <row r="334" spans="2:5" x14ac:dyDescent="0.3">
      <c r="B334" s="70" t="s">
        <v>1505</v>
      </c>
      <c r="C334" s="122" t="s">
        <v>2753</v>
      </c>
      <c r="D334" s="71" t="s">
        <v>1795</v>
      </c>
      <c r="E334" s="72" t="s">
        <v>2934</v>
      </c>
    </row>
    <row r="335" spans="2:5" x14ac:dyDescent="0.3">
      <c r="B335" s="70" t="s">
        <v>1476</v>
      </c>
      <c r="C335" s="122" t="s">
        <v>2745</v>
      </c>
      <c r="D335" s="71" t="s">
        <v>1789</v>
      </c>
      <c r="E335" s="72" t="s">
        <v>2934</v>
      </c>
    </row>
    <row r="336" spans="2:5" x14ac:dyDescent="0.3">
      <c r="B336" s="70" t="s">
        <v>1509</v>
      </c>
      <c r="C336" s="115" t="s">
        <v>2755</v>
      </c>
      <c r="D336" s="71" t="s">
        <v>1723</v>
      </c>
      <c r="E336" s="72" t="s">
        <v>2933</v>
      </c>
    </row>
    <row r="337" spans="2:5" x14ac:dyDescent="0.3">
      <c r="B337" s="70" t="s">
        <v>1531</v>
      </c>
      <c r="C337" s="122" t="s">
        <v>2761</v>
      </c>
      <c r="D337" s="71" t="s">
        <v>1884</v>
      </c>
      <c r="E337" s="72" t="s">
        <v>2934</v>
      </c>
    </row>
    <row r="338" spans="2:5" x14ac:dyDescent="0.3">
      <c r="B338" s="70" t="s">
        <v>1528</v>
      </c>
      <c r="C338" s="122" t="s">
        <v>2760</v>
      </c>
      <c r="D338" s="71" t="s">
        <v>1799</v>
      </c>
      <c r="E338" s="72" t="s">
        <v>2933</v>
      </c>
    </row>
    <row r="339" spans="2:5" x14ac:dyDescent="0.3">
      <c r="B339" s="70" t="s">
        <v>1468</v>
      </c>
      <c r="C339" s="122" t="s">
        <v>2743</v>
      </c>
      <c r="D339" s="71" t="s">
        <v>1787</v>
      </c>
      <c r="E339" s="72" t="s">
        <v>2933</v>
      </c>
    </row>
    <row r="340" spans="2:5" x14ac:dyDescent="0.3">
      <c r="B340" s="70" t="s">
        <v>1490</v>
      </c>
      <c r="C340" s="122" t="s">
        <v>2748</v>
      </c>
      <c r="D340" s="71" t="s">
        <v>1793</v>
      </c>
      <c r="E340" s="72" t="s">
        <v>2934</v>
      </c>
    </row>
    <row r="341" spans="2:5" x14ac:dyDescent="0.3">
      <c r="B341" s="70" t="s">
        <v>1532</v>
      </c>
      <c r="C341" s="115" t="s">
        <v>2763</v>
      </c>
      <c r="D341" s="71" t="s">
        <v>921</v>
      </c>
      <c r="E341" s="72" t="s">
        <v>2933</v>
      </c>
    </row>
    <row r="342" spans="2:5" x14ac:dyDescent="0.3">
      <c r="B342" s="70" t="s">
        <v>1500</v>
      </c>
      <c r="C342" s="115" t="s">
        <v>2752</v>
      </c>
      <c r="D342" s="71" t="s">
        <v>865</v>
      </c>
      <c r="E342" s="72" t="s">
        <v>2934</v>
      </c>
    </row>
    <row r="343" spans="2:5" x14ac:dyDescent="0.3">
      <c r="B343" s="70" t="s">
        <v>1501</v>
      </c>
      <c r="C343" s="122" t="s">
        <v>2540</v>
      </c>
      <c r="D343" s="71" t="s">
        <v>865</v>
      </c>
      <c r="E343" s="72" t="s">
        <v>2934</v>
      </c>
    </row>
    <row r="344" spans="2:5" x14ac:dyDescent="0.3">
      <c r="B344" s="70" t="s">
        <v>1508</v>
      </c>
      <c r="C344" s="115" t="s">
        <v>2754</v>
      </c>
      <c r="D344" s="71" t="s">
        <v>1796</v>
      </c>
      <c r="E344" s="72" t="s">
        <v>2934</v>
      </c>
    </row>
    <row r="345" spans="2:5" x14ac:dyDescent="0.3">
      <c r="B345" s="70" t="s">
        <v>1486</v>
      </c>
      <c r="C345" s="122" t="s">
        <v>2747</v>
      </c>
      <c r="D345" s="71" t="s">
        <v>1792</v>
      </c>
      <c r="E345" s="72" t="s">
        <v>2934</v>
      </c>
    </row>
    <row r="346" spans="2:5" x14ac:dyDescent="0.3">
      <c r="B346" s="70" t="s">
        <v>1472</v>
      </c>
      <c r="C346" s="122" t="s">
        <v>2938</v>
      </c>
      <c r="D346" s="71" t="s">
        <v>1788</v>
      </c>
      <c r="E346" s="72" t="s">
        <v>2933</v>
      </c>
    </row>
    <row r="347" spans="2:5" x14ac:dyDescent="0.3">
      <c r="B347" s="70" t="s">
        <v>1494</v>
      </c>
      <c r="C347" s="122" t="s">
        <v>2749</v>
      </c>
      <c r="D347" s="71" t="s">
        <v>185</v>
      </c>
      <c r="E347" s="72" t="s">
        <v>2934</v>
      </c>
    </row>
    <row r="348" spans="2:5" x14ac:dyDescent="0.3">
      <c r="B348" s="70" t="s">
        <v>1463</v>
      </c>
      <c r="C348" s="122" t="s">
        <v>1074</v>
      </c>
      <c r="D348" s="71" t="s">
        <v>1786</v>
      </c>
      <c r="E348" s="72" t="s">
        <v>2933</v>
      </c>
    </row>
    <row r="349" spans="2:5" x14ac:dyDescent="0.3">
      <c r="B349" s="70" t="s">
        <v>1515</v>
      </c>
      <c r="C349" s="122" t="s">
        <v>2757</v>
      </c>
      <c r="D349" s="71" t="s">
        <v>198</v>
      </c>
      <c r="E349" s="72" t="s">
        <v>2934</v>
      </c>
    </row>
    <row r="350" spans="2:5" x14ac:dyDescent="0.3">
      <c r="B350" s="70"/>
      <c r="C350" s="121" t="s">
        <v>2501</v>
      </c>
      <c r="D350" s="71" t="s">
        <v>43</v>
      </c>
      <c r="E350" s="72" t="s">
        <v>2934</v>
      </c>
    </row>
    <row r="351" spans="2:5" x14ac:dyDescent="0.3">
      <c r="B351" s="70"/>
      <c r="C351" s="115" t="s">
        <v>2762</v>
      </c>
      <c r="D351" s="71" t="s">
        <v>1800</v>
      </c>
      <c r="E351" s="72" t="s">
        <v>2934</v>
      </c>
    </row>
    <row r="352" spans="2:5" x14ac:dyDescent="0.3">
      <c r="B352" s="70" t="s">
        <v>1479</v>
      </c>
      <c r="C352" s="122" t="s">
        <v>1465</v>
      </c>
      <c r="D352" s="71" t="s">
        <v>1790</v>
      </c>
      <c r="E352" s="72" t="s">
        <v>2933</v>
      </c>
    </row>
    <row r="353" spans="2:5" x14ac:dyDescent="0.3">
      <c r="B353" s="70" t="s">
        <v>1483</v>
      </c>
      <c r="C353" s="122" t="s">
        <v>2746</v>
      </c>
      <c r="D353" s="71" t="s">
        <v>1791</v>
      </c>
      <c r="E353" s="72" t="s">
        <v>2934</v>
      </c>
    </row>
    <row r="354" spans="2:5" x14ac:dyDescent="0.3">
      <c r="B354" s="70" t="s">
        <v>1524</v>
      </c>
      <c r="C354" s="115" t="s">
        <v>2759</v>
      </c>
      <c r="D354" s="71" t="s">
        <v>1883</v>
      </c>
      <c r="E354" s="72" t="s">
        <v>2933</v>
      </c>
    </row>
    <row r="355" spans="2:5" x14ac:dyDescent="0.3">
      <c r="B355" s="70" t="s">
        <v>1469</v>
      </c>
      <c r="C355" s="122" t="s">
        <v>2744</v>
      </c>
      <c r="D355" s="71" t="s">
        <v>859</v>
      </c>
      <c r="E355" s="72" t="s">
        <v>2934</v>
      </c>
    </row>
    <row r="356" spans="2:5" x14ac:dyDescent="0.3">
      <c r="B356" s="70"/>
      <c r="C356" s="115" t="s">
        <v>2301</v>
      </c>
      <c r="D356" s="71" t="s">
        <v>1798</v>
      </c>
      <c r="E356" s="72" t="s">
        <v>2934</v>
      </c>
    </row>
    <row r="357" spans="2:5" x14ac:dyDescent="0.3">
      <c r="B357" s="70" t="s">
        <v>1564</v>
      </c>
      <c r="C357" s="120" t="s">
        <v>2772</v>
      </c>
      <c r="D357" s="71" t="s">
        <v>1889</v>
      </c>
      <c r="E357" s="72" t="s">
        <v>2933</v>
      </c>
    </row>
    <row r="358" spans="2:5" x14ac:dyDescent="0.3">
      <c r="B358" s="70" t="s">
        <v>1608</v>
      </c>
      <c r="C358" s="121" t="s">
        <v>2784</v>
      </c>
      <c r="D358" s="71" t="s">
        <v>197</v>
      </c>
      <c r="E358" s="72" t="s">
        <v>2934</v>
      </c>
    </row>
    <row r="359" spans="2:5" x14ac:dyDescent="0.3">
      <c r="B359" s="70" t="s">
        <v>1558</v>
      </c>
      <c r="C359" s="120" t="s">
        <v>2770</v>
      </c>
      <c r="D359" s="71" t="s">
        <v>1805</v>
      </c>
      <c r="E359" s="72" t="s">
        <v>2934</v>
      </c>
    </row>
    <row r="360" spans="2:5" x14ac:dyDescent="0.3">
      <c r="B360" s="70" t="s">
        <v>1576</v>
      </c>
      <c r="C360" s="121" t="s">
        <v>2774</v>
      </c>
      <c r="D360" s="71" t="s">
        <v>1891</v>
      </c>
      <c r="E360" s="72" t="s">
        <v>2934</v>
      </c>
    </row>
    <row r="361" spans="2:5" x14ac:dyDescent="0.3">
      <c r="B361" s="70" t="s">
        <v>1562</v>
      </c>
      <c r="C361" s="121" t="s">
        <v>2771</v>
      </c>
      <c r="D361" s="71" t="s">
        <v>1888</v>
      </c>
      <c r="E361" s="72" t="s">
        <v>2934</v>
      </c>
    </row>
    <row r="362" spans="2:5" x14ac:dyDescent="0.3">
      <c r="B362" s="70" t="s">
        <v>1583</v>
      </c>
      <c r="C362" s="121" t="s">
        <v>2776</v>
      </c>
      <c r="D362" s="71" t="s">
        <v>1807</v>
      </c>
      <c r="E362" s="72" t="s">
        <v>2934</v>
      </c>
    </row>
    <row r="363" spans="2:5" x14ac:dyDescent="0.3">
      <c r="B363" s="70" t="s">
        <v>1591</v>
      </c>
      <c r="C363" s="121" t="s">
        <v>2778</v>
      </c>
      <c r="D363" s="71" t="s">
        <v>1808</v>
      </c>
      <c r="E363" s="72" t="s">
        <v>2933</v>
      </c>
    </row>
    <row r="364" spans="2:5" x14ac:dyDescent="0.3">
      <c r="B364" s="70" t="s">
        <v>1588</v>
      </c>
      <c r="C364" s="121" t="s">
        <v>2777</v>
      </c>
      <c r="D364" s="71" t="s">
        <v>1894</v>
      </c>
      <c r="E364" s="72" t="s">
        <v>2933</v>
      </c>
    </row>
    <row r="365" spans="2:5" x14ac:dyDescent="0.3">
      <c r="B365" s="70" t="s">
        <v>1533</v>
      </c>
      <c r="C365" s="115" t="s">
        <v>2764</v>
      </c>
      <c r="D365" s="71" t="s">
        <v>852</v>
      </c>
      <c r="E365" s="72" t="s">
        <v>2934</v>
      </c>
    </row>
    <row r="366" spans="2:5" x14ac:dyDescent="0.3">
      <c r="B366" s="70" t="s">
        <v>1540</v>
      </c>
      <c r="C366" s="121" t="s">
        <v>2766</v>
      </c>
      <c r="D366" s="71" t="s">
        <v>1802</v>
      </c>
      <c r="E366" s="72" t="s">
        <v>2934</v>
      </c>
    </row>
    <row r="367" spans="2:5" x14ac:dyDescent="0.3">
      <c r="B367" s="70" t="s">
        <v>1544</v>
      </c>
      <c r="C367" s="121" t="s">
        <v>2767</v>
      </c>
      <c r="D367" s="71" t="s">
        <v>1803</v>
      </c>
      <c r="E367" s="72" t="s">
        <v>2933</v>
      </c>
    </row>
    <row r="368" spans="2:5" x14ac:dyDescent="0.3">
      <c r="B368" s="70" t="s">
        <v>1607</v>
      </c>
      <c r="C368" s="115" t="s">
        <v>2783</v>
      </c>
      <c r="D368" s="71" t="s">
        <v>790</v>
      </c>
      <c r="E368" s="72" t="s">
        <v>2934</v>
      </c>
    </row>
    <row r="369" spans="2:5" x14ac:dyDescent="0.3">
      <c r="B369" s="70" t="s">
        <v>1587</v>
      </c>
      <c r="C369" s="121" t="s">
        <v>1465</v>
      </c>
      <c r="D369" s="71" t="s">
        <v>1893</v>
      </c>
      <c r="E369" s="72" t="s">
        <v>2933</v>
      </c>
    </row>
    <row r="370" spans="2:5" x14ac:dyDescent="0.3">
      <c r="B370" s="70" t="s">
        <v>1597</v>
      </c>
      <c r="C370" s="122" t="s">
        <v>2780</v>
      </c>
      <c r="D370" s="71" t="s">
        <v>1897</v>
      </c>
      <c r="E370" s="72" t="s">
        <v>2933</v>
      </c>
    </row>
    <row r="371" spans="2:5" x14ac:dyDescent="0.3">
      <c r="B371" s="70" t="s">
        <v>1537</v>
      </c>
      <c r="C371" s="121" t="s">
        <v>2765</v>
      </c>
      <c r="D371" s="71" t="s">
        <v>1885</v>
      </c>
      <c r="E371" s="72" t="s">
        <v>2934</v>
      </c>
    </row>
    <row r="372" spans="2:5" x14ac:dyDescent="0.3">
      <c r="B372" s="70" t="s">
        <v>1598</v>
      </c>
      <c r="C372" s="121" t="s">
        <v>2781</v>
      </c>
      <c r="D372" s="71" t="s">
        <v>904</v>
      </c>
      <c r="E372" s="72" t="s">
        <v>2934</v>
      </c>
    </row>
    <row r="373" spans="2:5" x14ac:dyDescent="0.3">
      <c r="B373" s="70" t="s">
        <v>1569</v>
      </c>
      <c r="C373" s="121" t="s">
        <v>2561</v>
      </c>
      <c r="D373" s="71" t="s">
        <v>1806</v>
      </c>
      <c r="E373" s="72" t="s">
        <v>2934</v>
      </c>
    </row>
    <row r="374" spans="2:5" x14ac:dyDescent="0.3">
      <c r="B374" s="70" t="s">
        <v>1563</v>
      </c>
      <c r="C374" s="121" t="s">
        <v>1474</v>
      </c>
      <c r="D374" s="71" t="s">
        <v>929</v>
      </c>
      <c r="E374" s="72" t="s">
        <v>2934</v>
      </c>
    </row>
    <row r="375" spans="2:5" x14ac:dyDescent="0.3">
      <c r="B375" s="70" t="s">
        <v>1553</v>
      </c>
      <c r="C375" s="121" t="s">
        <v>2769</v>
      </c>
      <c r="D375" s="71" t="s">
        <v>1887</v>
      </c>
      <c r="E375" s="72" t="s">
        <v>2934</v>
      </c>
    </row>
    <row r="376" spans="2:5" x14ac:dyDescent="0.3">
      <c r="B376" s="70" t="s">
        <v>1614</v>
      </c>
      <c r="C376" s="121" t="s">
        <v>2478</v>
      </c>
      <c r="D376" s="71" t="s">
        <v>1809</v>
      </c>
      <c r="E376" s="72" t="s">
        <v>2934</v>
      </c>
    </row>
    <row r="377" spans="2:5" x14ac:dyDescent="0.3">
      <c r="B377" s="70" t="s">
        <v>1580</v>
      </c>
      <c r="C377" s="121" t="s">
        <v>2775</v>
      </c>
      <c r="D377" s="71" t="s">
        <v>1892</v>
      </c>
      <c r="E377" s="72" t="s">
        <v>2933</v>
      </c>
    </row>
    <row r="378" spans="2:5" x14ac:dyDescent="0.3">
      <c r="B378" s="70"/>
      <c r="C378" s="121" t="s">
        <v>2768</v>
      </c>
      <c r="D378" s="71" t="s">
        <v>1886</v>
      </c>
      <c r="E378" s="72" t="s">
        <v>2934</v>
      </c>
    </row>
    <row r="379" spans="2:5" x14ac:dyDescent="0.3">
      <c r="B379" s="70" t="s">
        <v>1601</v>
      </c>
      <c r="C379" s="121" t="s">
        <v>2782</v>
      </c>
      <c r="D379" s="71" t="s">
        <v>1898</v>
      </c>
      <c r="E379" s="72" t="s">
        <v>2934</v>
      </c>
    </row>
    <row r="380" spans="2:5" x14ac:dyDescent="0.3">
      <c r="B380" s="70" t="s">
        <v>1573</v>
      </c>
      <c r="C380" s="121" t="s">
        <v>2773</v>
      </c>
      <c r="D380" s="71" t="s">
        <v>1890</v>
      </c>
      <c r="E380" s="72" t="s">
        <v>2933</v>
      </c>
    </row>
    <row r="381" spans="2:5" x14ac:dyDescent="0.3">
      <c r="B381" s="70" t="s">
        <v>1594</v>
      </c>
      <c r="C381" s="121" t="s">
        <v>2084</v>
      </c>
      <c r="D381" s="71" t="s">
        <v>1896</v>
      </c>
      <c r="E381" s="72" t="s">
        <v>2933</v>
      </c>
    </row>
    <row r="382" spans="2:5" x14ac:dyDescent="0.3">
      <c r="B382" s="70" t="s">
        <v>1550</v>
      </c>
      <c r="C382" s="121" t="s">
        <v>1484</v>
      </c>
      <c r="D382" s="71" t="s">
        <v>1804</v>
      </c>
      <c r="E382" s="72" t="s">
        <v>2933</v>
      </c>
    </row>
    <row r="383" spans="2:5" x14ac:dyDescent="0.3">
      <c r="B383" s="70"/>
      <c r="C383" s="121" t="s">
        <v>2696</v>
      </c>
      <c r="D383" s="71" t="s">
        <v>1801</v>
      </c>
      <c r="E383" s="72" t="s">
        <v>2934</v>
      </c>
    </row>
    <row r="384" spans="2:5" x14ac:dyDescent="0.3">
      <c r="B384" s="70"/>
      <c r="C384" s="121" t="s">
        <v>2779</v>
      </c>
      <c r="D384" s="71" t="s">
        <v>1895</v>
      </c>
      <c r="E384" s="72" t="s">
        <v>2933</v>
      </c>
    </row>
    <row r="385" spans="2:5" x14ac:dyDescent="0.3">
      <c r="B385" s="70" t="s">
        <v>1633</v>
      </c>
      <c r="C385" s="115" t="s">
        <v>2790</v>
      </c>
      <c r="D385" s="71" t="s">
        <v>890</v>
      </c>
      <c r="E385" s="72" t="s">
        <v>2934</v>
      </c>
    </row>
    <row r="386" spans="2:5" x14ac:dyDescent="0.3">
      <c r="B386" s="70" t="s">
        <v>1642</v>
      </c>
      <c r="C386" s="115" t="s">
        <v>2792</v>
      </c>
      <c r="D386" s="71" t="s">
        <v>1901</v>
      </c>
      <c r="E386" s="72" t="s">
        <v>2933</v>
      </c>
    </row>
    <row r="387" spans="2:5" x14ac:dyDescent="0.3">
      <c r="B387" s="70" t="s">
        <v>1625</v>
      </c>
      <c r="C387" s="115" t="s">
        <v>2787</v>
      </c>
      <c r="D387" s="71" t="s">
        <v>1759</v>
      </c>
      <c r="E387" s="72" t="s">
        <v>2934</v>
      </c>
    </row>
    <row r="388" spans="2:5" x14ac:dyDescent="0.3">
      <c r="B388" s="70" t="s">
        <v>1619</v>
      </c>
      <c r="C388" s="115" t="s">
        <v>157</v>
      </c>
      <c r="D388" s="71" t="s">
        <v>1810</v>
      </c>
      <c r="E388" s="72" t="s">
        <v>2934</v>
      </c>
    </row>
    <row r="389" spans="2:5" x14ac:dyDescent="0.3">
      <c r="B389" s="70" t="s">
        <v>1650</v>
      </c>
      <c r="C389" s="115" t="s">
        <v>2794</v>
      </c>
      <c r="D389" s="71" t="s">
        <v>1902</v>
      </c>
      <c r="E389" s="72" t="s">
        <v>2933</v>
      </c>
    </row>
    <row r="390" spans="2:5" x14ac:dyDescent="0.3">
      <c r="B390" s="70" t="s">
        <v>1651</v>
      </c>
      <c r="C390" s="115" t="s">
        <v>2795</v>
      </c>
      <c r="D390" s="71" t="s">
        <v>1902</v>
      </c>
      <c r="E390" s="72" t="s">
        <v>2933</v>
      </c>
    </row>
    <row r="391" spans="2:5" x14ac:dyDescent="0.3">
      <c r="B391" s="70" t="s">
        <v>1629</v>
      </c>
      <c r="C391" s="115" t="s">
        <v>2788</v>
      </c>
      <c r="D391" s="71" t="s">
        <v>1900</v>
      </c>
      <c r="E391" s="72" t="s">
        <v>2933</v>
      </c>
    </row>
    <row r="392" spans="2:5" x14ac:dyDescent="0.3">
      <c r="B392" s="70" t="s">
        <v>1668</v>
      </c>
      <c r="C392" s="115" t="s">
        <v>2799</v>
      </c>
      <c r="D392" s="71" t="s">
        <v>857</v>
      </c>
      <c r="E392" s="72" t="s">
        <v>2934</v>
      </c>
    </row>
    <row r="393" spans="2:5" x14ac:dyDescent="0.3">
      <c r="B393" s="70" t="s">
        <v>1616</v>
      </c>
      <c r="C393" s="115" t="s">
        <v>2785</v>
      </c>
      <c r="D393" s="71" t="s">
        <v>1615</v>
      </c>
      <c r="E393" s="72" t="s">
        <v>2934</v>
      </c>
    </row>
    <row r="394" spans="2:5" x14ac:dyDescent="0.3">
      <c r="B394" s="70" t="s">
        <v>1669</v>
      </c>
      <c r="C394" s="115" t="s">
        <v>331</v>
      </c>
      <c r="D394" s="71" t="s">
        <v>1815</v>
      </c>
      <c r="E394" s="72" t="s">
        <v>2933</v>
      </c>
    </row>
    <row r="395" spans="2:5" x14ac:dyDescent="0.3">
      <c r="B395" s="70" t="s">
        <v>1636</v>
      </c>
      <c r="C395" s="115" t="s">
        <v>1474</v>
      </c>
      <c r="D395" s="71" t="s">
        <v>1812</v>
      </c>
      <c r="E395" s="72" t="s">
        <v>2934</v>
      </c>
    </row>
    <row r="396" spans="2:5" x14ac:dyDescent="0.3">
      <c r="B396" s="70" t="s">
        <v>1656</v>
      </c>
      <c r="C396" s="121" t="s">
        <v>2796</v>
      </c>
      <c r="D396" s="71" t="s">
        <v>1813</v>
      </c>
      <c r="E396" s="72" t="s">
        <v>2934</v>
      </c>
    </row>
    <row r="397" spans="2:5" x14ac:dyDescent="0.3">
      <c r="B397" s="70" t="s">
        <v>1646</v>
      </c>
      <c r="C397" s="115" t="s">
        <v>2793</v>
      </c>
      <c r="D397" s="71" t="s">
        <v>855</v>
      </c>
      <c r="E397" s="72" t="s">
        <v>2933</v>
      </c>
    </row>
    <row r="398" spans="2:5" x14ac:dyDescent="0.3">
      <c r="B398" s="70" t="s">
        <v>1684</v>
      </c>
      <c r="C398" s="115" t="s">
        <v>2562</v>
      </c>
      <c r="D398" s="71" t="s">
        <v>1819</v>
      </c>
      <c r="E398" s="72" t="s">
        <v>2934</v>
      </c>
    </row>
    <row r="399" spans="2:5" x14ac:dyDescent="0.3">
      <c r="B399" s="70" t="s">
        <v>1632</v>
      </c>
      <c r="C399" s="121" t="s">
        <v>2789</v>
      </c>
      <c r="D399" s="71" t="s">
        <v>1811</v>
      </c>
      <c r="E399" s="72" t="s">
        <v>2933</v>
      </c>
    </row>
    <row r="400" spans="2:5" x14ac:dyDescent="0.3">
      <c r="B400" s="70" t="s">
        <v>1663</v>
      </c>
      <c r="C400" s="122" t="s">
        <v>316</v>
      </c>
      <c r="D400" s="71" t="s">
        <v>1903</v>
      </c>
      <c r="E400" s="72" t="s">
        <v>2933</v>
      </c>
    </row>
    <row r="401" spans="2:5" x14ac:dyDescent="0.3">
      <c r="B401" s="70" t="s">
        <v>1624</v>
      </c>
      <c r="C401" s="115" t="s">
        <v>2786</v>
      </c>
      <c r="D401" s="71" t="s">
        <v>1899</v>
      </c>
      <c r="E401" s="72" t="s">
        <v>2934</v>
      </c>
    </row>
    <row r="402" spans="2:5" x14ac:dyDescent="0.3">
      <c r="B402" s="70" t="s">
        <v>1692</v>
      </c>
      <c r="C402" s="115" t="s">
        <v>1389</v>
      </c>
      <c r="D402" s="71" t="s">
        <v>1690</v>
      </c>
      <c r="E402" s="72" t="s">
        <v>2933</v>
      </c>
    </row>
    <row r="403" spans="2:5" x14ac:dyDescent="0.3">
      <c r="B403" s="70" t="s">
        <v>1667</v>
      </c>
      <c r="C403" s="115" t="s">
        <v>2798</v>
      </c>
      <c r="D403" s="71" t="s">
        <v>1814</v>
      </c>
      <c r="E403" s="72" t="s">
        <v>2933</v>
      </c>
    </row>
    <row r="404" spans="2:5" x14ac:dyDescent="0.3">
      <c r="B404" s="70" t="s">
        <v>1696</v>
      </c>
      <c r="C404" s="115" t="s">
        <v>2803</v>
      </c>
      <c r="D404" s="71" t="s">
        <v>1904</v>
      </c>
      <c r="E404" s="72" t="s">
        <v>2934</v>
      </c>
    </row>
    <row r="405" spans="2:5" x14ac:dyDescent="0.3">
      <c r="B405" s="70" t="s">
        <v>1675</v>
      </c>
      <c r="C405" s="115" t="s">
        <v>2699</v>
      </c>
      <c r="D405" s="71" t="s">
        <v>1817</v>
      </c>
      <c r="E405" s="72" t="s">
        <v>2933</v>
      </c>
    </row>
    <row r="406" spans="2:5" x14ac:dyDescent="0.3">
      <c r="B406" s="70" t="s">
        <v>1673</v>
      </c>
      <c r="C406" s="115" t="s">
        <v>2800</v>
      </c>
      <c r="D406" s="71" t="s">
        <v>393</v>
      </c>
      <c r="E406" s="72" t="s">
        <v>2934</v>
      </c>
    </row>
    <row r="407" spans="2:5" x14ac:dyDescent="0.3">
      <c r="B407" s="70" t="s">
        <v>1689</v>
      </c>
      <c r="C407" s="115" t="s">
        <v>2802</v>
      </c>
      <c r="D407" s="71" t="s">
        <v>1820</v>
      </c>
      <c r="E407" s="72" t="s">
        <v>2934</v>
      </c>
    </row>
    <row r="408" spans="2:5" x14ac:dyDescent="0.3">
      <c r="B408" s="70" t="s">
        <v>1626</v>
      </c>
      <c r="C408" s="124" t="s">
        <v>1507</v>
      </c>
      <c r="D408" s="71" t="s">
        <v>888</v>
      </c>
      <c r="E408" s="72" t="s">
        <v>2934</v>
      </c>
    </row>
    <row r="409" spans="2:5" x14ac:dyDescent="0.3">
      <c r="B409" s="70" t="s">
        <v>1680</v>
      </c>
      <c r="C409" s="115" t="s">
        <v>2801</v>
      </c>
      <c r="D409" s="71" t="s">
        <v>1818</v>
      </c>
      <c r="E409" s="72" t="s">
        <v>2934</v>
      </c>
    </row>
    <row r="410" spans="2:5" x14ac:dyDescent="0.3">
      <c r="B410" s="70" t="s">
        <v>1672</v>
      </c>
      <c r="C410" s="120" t="s">
        <v>2493</v>
      </c>
      <c r="D410" s="71" t="s">
        <v>1816</v>
      </c>
      <c r="E410" s="72" t="s">
        <v>2933</v>
      </c>
    </row>
    <row r="411" spans="2:5" x14ac:dyDescent="0.3">
      <c r="B411" s="70" t="s">
        <v>1637</v>
      </c>
      <c r="C411" s="115" t="s">
        <v>2791</v>
      </c>
      <c r="D411" s="71" t="s">
        <v>360</v>
      </c>
      <c r="E411" s="72" t="s">
        <v>2933</v>
      </c>
    </row>
    <row r="412" spans="2:5" x14ac:dyDescent="0.3">
      <c r="B412" s="70" t="s">
        <v>1660</v>
      </c>
      <c r="C412" s="122" t="s">
        <v>2797</v>
      </c>
      <c r="D412" s="71" t="s">
        <v>1991</v>
      </c>
      <c r="E412" s="72" t="s">
        <v>2934</v>
      </c>
    </row>
    <row r="413" spans="2:5" x14ac:dyDescent="0.3">
      <c r="B413" s="70" t="s">
        <v>1701</v>
      </c>
      <c r="C413" s="121" t="s">
        <v>2805</v>
      </c>
      <c r="D413" s="71" t="s">
        <v>1821</v>
      </c>
      <c r="E413" s="72" t="s">
        <v>2933</v>
      </c>
    </row>
    <row r="414" spans="2:5" x14ac:dyDescent="0.3">
      <c r="B414" s="70"/>
      <c r="C414" s="115" t="s">
        <v>2804</v>
      </c>
      <c r="D414" s="71" t="s">
        <v>1905</v>
      </c>
      <c r="E414" s="72" t="s">
        <v>2934</v>
      </c>
    </row>
    <row r="415" spans="2:5" x14ac:dyDescent="0.3">
      <c r="B415" s="70" t="s">
        <v>2028</v>
      </c>
      <c r="C415" s="122" t="s">
        <v>2814</v>
      </c>
      <c r="D415" s="71" t="s">
        <v>1911</v>
      </c>
      <c r="E415" s="72" t="s">
        <v>2934</v>
      </c>
    </row>
    <row r="416" spans="2:5" x14ac:dyDescent="0.3">
      <c r="B416" s="70" t="s">
        <v>2004</v>
      </c>
      <c r="C416" s="122" t="s">
        <v>2809</v>
      </c>
      <c r="D416" s="71" t="s">
        <v>1824</v>
      </c>
      <c r="E416" s="72" t="s">
        <v>2933</v>
      </c>
    </row>
    <row r="417" spans="2:5" x14ac:dyDescent="0.3">
      <c r="B417" s="70" t="s">
        <v>2067</v>
      </c>
      <c r="C417" s="122" t="s">
        <v>2826</v>
      </c>
      <c r="D417" s="71" t="s">
        <v>1920</v>
      </c>
      <c r="E417" s="72" t="s">
        <v>2934</v>
      </c>
    </row>
    <row r="418" spans="2:5" x14ac:dyDescent="0.3">
      <c r="B418" s="70" t="s">
        <v>1994</v>
      </c>
      <c r="C418" s="122" t="s">
        <v>2806</v>
      </c>
      <c r="D418" s="71" t="s">
        <v>1822</v>
      </c>
      <c r="E418" s="72" t="s">
        <v>2934</v>
      </c>
    </row>
    <row r="419" spans="2:5" x14ac:dyDescent="0.3">
      <c r="B419" s="70" t="s">
        <v>2055</v>
      </c>
      <c r="C419" s="122" t="s">
        <v>2822</v>
      </c>
      <c r="D419" s="71" t="s">
        <v>1828</v>
      </c>
      <c r="E419" s="72" t="s">
        <v>2934</v>
      </c>
    </row>
    <row r="420" spans="2:5" x14ac:dyDescent="0.3">
      <c r="B420" s="70" t="s">
        <v>2003</v>
      </c>
      <c r="C420" s="122" t="s">
        <v>2808</v>
      </c>
      <c r="D420" s="71" t="s">
        <v>1907</v>
      </c>
      <c r="E420" s="72" t="s">
        <v>2933</v>
      </c>
    </row>
    <row r="421" spans="2:5" x14ac:dyDescent="0.3">
      <c r="B421" s="70" t="s">
        <v>2013</v>
      </c>
      <c r="C421" s="122" t="s">
        <v>2811</v>
      </c>
      <c r="D421" s="71" t="s">
        <v>1909</v>
      </c>
      <c r="E421" s="72" t="s">
        <v>2933</v>
      </c>
    </row>
    <row r="422" spans="2:5" x14ac:dyDescent="0.3">
      <c r="B422" s="70" t="s">
        <v>2023</v>
      </c>
      <c r="C422" s="122" t="s">
        <v>2812</v>
      </c>
      <c r="D422" s="71" t="s">
        <v>1826</v>
      </c>
      <c r="E422" s="72" t="s">
        <v>2933</v>
      </c>
    </row>
    <row r="423" spans="2:5" x14ac:dyDescent="0.3">
      <c r="B423" s="70" t="s">
        <v>2072</v>
      </c>
      <c r="C423" s="115" t="s">
        <v>2827</v>
      </c>
      <c r="D423" s="71" t="s">
        <v>1921</v>
      </c>
      <c r="E423" s="72" t="s">
        <v>2934</v>
      </c>
    </row>
    <row r="424" spans="2:5" x14ac:dyDescent="0.3">
      <c r="B424" s="70" t="s">
        <v>2044</v>
      </c>
      <c r="C424" s="122" t="s">
        <v>2819</v>
      </c>
      <c r="D424" s="71" t="s">
        <v>1915</v>
      </c>
      <c r="E424" s="72" t="s">
        <v>2934</v>
      </c>
    </row>
    <row r="425" spans="2:5" x14ac:dyDescent="0.3">
      <c r="B425" s="70" t="s">
        <v>2097</v>
      </c>
      <c r="C425" s="115" t="s">
        <v>527</v>
      </c>
      <c r="D425" s="71" t="s">
        <v>1852</v>
      </c>
      <c r="E425" s="72" t="s">
        <v>2934</v>
      </c>
    </row>
    <row r="426" spans="2:5" x14ac:dyDescent="0.3">
      <c r="B426" s="70" t="s">
        <v>2083</v>
      </c>
      <c r="C426" s="122" t="s">
        <v>2802</v>
      </c>
      <c r="D426" s="71" t="s">
        <v>1830</v>
      </c>
      <c r="E426" s="72" t="s">
        <v>2934</v>
      </c>
    </row>
    <row r="427" spans="2:5" x14ac:dyDescent="0.3">
      <c r="B427" s="70" t="s">
        <v>2027</v>
      </c>
      <c r="C427" s="122" t="s">
        <v>2813</v>
      </c>
      <c r="D427" s="71" t="s">
        <v>1910</v>
      </c>
      <c r="E427" s="72" t="s">
        <v>2933</v>
      </c>
    </row>
    <row r="428" spans="2:5" x14ac:dyDescent="0.3">
      <c r="B428" s="70" t="s">
        <v>2033</v>
      </c>
      <c r="C428" s="122" t="s">
        <v>2816</v>
      </c>
      <c r="D428" s="71" t="s">
        <v>1771</v>
      </c>
      <c r="E428" s="72" t="s">
        <v>2933</v>
      </c>
    </row>
    <row r="429" spans="2:5" x14ac:dyDescent="0.3">
      <c r="B429" s="70" t="s">
        <v>2047</v>
      </c>
      <c r="C429" s="115" t="s">
        <v>2820</v>
      </c>
      <c r="D429" s="71" t="s">
        <v>1795</v>
      </c>
      <c r="E429" s="72" t="s">
        <v>2933</v>
      </c>
    </row>
    <row r="430" spans="2:5" x14ac:dyDescent="0.3">
      <c r="B430" s="70" t="s">
        <v>2052</v>
      </c>
      <c r="C430" s="122" t="s">
        <v>2821</v>
      </c>
      <c r="D430" s="71" t="s">
        <v>1916</v>
      </c>
      <c r="E430" s="72" t="s">
        <v>2934</v>
      </c>
    </row>
    <row r="431" spans="2:5" x14ac:dyDescent="0.3">
      <c r="B431" s="70"/>
      <c r="C431" s="122" t="s">
        <v>2829</v>
      </c>
      <c r="D431" s="71" t="s">
        <v>1922</v>
      </c>
      <c r="E431" s="72" t="s">
        <v>2934</v>
      </c>
    </row>
    <row r="432" spans="2:5" x14ac:dyDescent="0.3">
      <c r="B432" s="70" t="s">
        <v>1999</v>
      </c>
      <c r="C432" s="122" t="s">
        <v>555</v>
      </c>
      <c r="D432" s="71" t="s">
        <v>1906</v>
      </c>
      <c r="E432" s="72" t="s">
        <v>2934</v>
      </c>
    </row>
    <row r="433" spans="2:5" x14ac:dyDescent="0.3">
      <c r="B433" s="70" t="s">
        <v>2032</v>
      </c>
      <c r="C433" s="122" t="s">
        <v>2815</v>
      </c>
      <c r="D433" s="71" t="s">
        <v>1912</v>
      </c>
      <c r="E433" s="72" t="s">
        <v>2933</v>
      </c>
    </row>
    <row r="434" spans="2:5" x14ac:dyDescent="0.3">
      <c r="B434" s="70" t="s">
        <v>2009</v>
      </c>
      <c r="C434" s="122" t="s">
        <v>2810</v>
      </c>
      <c r="D434" s="71" t="s">
        <v>1908</v>
      </c>
      <c r="E434" s="72" t="s">
        <v>2933</v>
      </c>
    </row>
    <row r="435" spans="2:5" x14ac:dyDescent="0.3">
      <c r="B435" s="70" t="s">
        <v>2018</v>
      </c>
      <c r="C435" s="115" t="s">
        <v>810</v>
      </c>
      <c r="D435" s="71" t="s">
        <v>1825</v>
      </c>
      <c r="E435" s="72" t="s">
        <v>2933</v>
      </c>
    </row>
    <row r="436" spans="2:5" x14ac:dyDescent="0.3">
      <c r="B436" s="70" t="s">
        <v>2041</v>
      </c>
      <c r="C436" s="122" t="s">
        <v>2818</v>
      </c>
      <c r="D436" s="71" t="s">
        <v>1914</v>
      </c>
      <c r="E436" s="72" t="s">
        <v>2934</v>
      </c>
    </row>
    <row r="437" spans="2:5" x14ac:dyDescent="0.3">
      <c r="B437" s="70" t="s">
        <v>2077</v>
      </c>
      <c r="C437" s="115" t="s">
        <v>2828</v>
      </c>
      <c r="D437" s="71" t="s">
        <v>1829</v>
      </c>
      <c r="E437" s="72" t="s">
        <v>2933</v>
      </c>
    </row>
    <row r="438" spans="2:5" x14ac:dyDescent="0.3">
      <c r="B438" s="70" t="s">
        <v>2064</v>
      </c>
      <c r="C438" s="122" t="s">
        <v>2825</v>
      </c>
      <c r="D438" s="71" t="s">
        <v>1919</v>
      </c>
      <c r="E438" s="72" t="s">
        <v>2934</v>
      </c>
    </row>
    <row r="439" spans="2:5" x14ac:dyDescent="0.3">
      <c r="B439" s="70" t="s">
        <v>2036</v>
      </c>
      <c r="C439" s="122" t="s">
        <v>1074</v>
      </c>
      <c r="D439" s="71" t="s">
        <v>1827</v>
      </c>
      <c r="E439" s="72" t="s">
        <v>2933</v>
      </c>
    </row>
    <row r="440" spans="2:5" x14ac:dyDescent="0.3">
      <c r="B440" s="70" t="s">
        <v>2088</v>
      </c>
      <c r="C440" s="122" t="s">
        <v>2830</v>
      </c>
      <c r="D440" s="71" t="s">
        <v>1923</v>
      </c>
      <c r="E440" s="72" t="s">
        <v>2934</v>
      </c>
    </row>
    <row r="441" spans="2:5" x14ac:dyDescent="0.3">
      <c r="B441" s="70" t="s">
        <v>2089</v>
      </c>
      <c r="C441" s="122" t="s">
        <v>2831</v>
      </c>
      <c r="D441" s="71" t="s">
        <v>206</v>
      </c>
      <c r="E441" s="72" t="s">
        <v>2934</v>
      </c>
    </row>
    <row r="442" spans="2:5" x14ac:dyDescent="0.3">
      <c r="B442" s="70" t="s">
        <v>2062</v>
      </c>
      <c r="C442" s="115" t="s">
        <v>2824</v>
      </c>
      <c r="D442" s="71" t="s">
        <v>1918</v>
      </c>
      <c r="E442" s="72" t="s">
        <v>2933</v>
      </c>
    </row>
    <row r="443" spans="2:5" x14ac:dyDescent="0.3">
      <c r="B443" s="70" t="s">
        <v>2095</v>
      </c>
      <c r="C443" s="115" t="s">
        <v>2090</v>
      </c>
      <c r="D443" s="71" t="s">
        <v>2091</v>
      </c>
      <c r="E443" s="72" t="s">
        <v>2933</v>
      </c>
    </row>
    <row r="444" spans="2:5" x14ac:dyDescent="0.3">
      <c r="B444" s="70" t="s">
        <v>2037</v>
      </c>
      <c r="C444" s="122" t="s">
        <v>2817</v>
      </c>
      <c r="D444" s="71" t="s">
        <v>1913</v>
      </c>
      <c r="E444" s="72" t="s">
        <v>2934</v>
      </c>
    </row>
    <row r="445" spans="2:5" x14ac:dyDescent="0.3">
      <c r="B445" s="70" t="s">
        <v>1998</v>
      </c>
      <c r="C445" s="115" t="s">
        <v>2807</v>
      </c>
      <c r="D445" s="71" t="s">
        <v>1823</v>
      </c>
      <c r="E445" s="72" t="s">
        <v>2934</v>
      </c>
    </row>
    <row r="446" spans="2:5" x14ac:dyDescent="0.3">
      <c r="B446" s="70" t="s">
        <v>2058</v>
      </c>
      <c r="C446" s="122" t="s">
        <v>2823</v>
      </c>
      <c r="D446" s="71" t="s">
        <v>1917</v>
      </c>
      <c r="E446" s="72" t="s">
        <v>2934</v>
      </c>
    </row>
    <row r="447" spans="2:5" x14ac:dyDescent="0.3">
      <c r="B447" s="70" t="s">
        <v>2104</v>
      </c>
      <c r="C447" s="122" t="s">
        <v>2834</v>
      </c>
      <c r="D447" s="71" t="s">
        <v>1924</v>
      </c>
      <c r="E447" s="72" t="s">
        <v>2933</v>
      </c>
    </row>
    <row r="448" spans="2:5" x14ac:dyDescent="0.3">
      <c r="B448" s="70" t="s">
        <v>2166</v>
      </c>
      <c r="C448" s="115" t="s">
        <v>639</v>
      </c>
      <c r="D448" s="71" t="s">
        <v>873</v>
      </c>
      <c r="E448" s="72" t="s">
        <v>2933</v>
      </c>
    </row>
    <row r="449" spans="2:5" x14ac:dyDescent="0.3">
      <c r="B449" s="70" t="s">
        <v>2102</v>
      </c>
      <c r="C449" s="115" t="s">
        <v>2833</v>
      </c>
      <c r="D449" s="71" t="s">
        <v>1832</v>
      </c>
      <c r="E449" s="72" t="s">
        <v>2934</v>
      </c>
    </row>
    <row r="450" spans="2:5" x14ac:dyDescent="0.3">
      <c r="B450" s="70" t="s">
        <v>2129</v>
      </c>
      <c r="C450" s="115" t="s">
        <v>2808</v>
      </c>
      <c r="D450" s="71" t="s">
        <v>1930</v>
      </c>
      <c r="E450" s="72" t="s">
        <v>2933</v>
      </c>
    </row>
    <row r="451" spans="2:5" x14ac:dyDescent="0.3">
      <c r="B451" s="70" t="s">
        <v>2135</v>
      </c>
      <c r="C451" s="115" t="s">
        <v>2841</v>
      </c>
      <c r="D451" s="71" t="s">
        <v>1836</v>
      </c>
      <c r="E451" s="72" t="s">
        <v>2934</v>
      </c>
    </row>
    <row r="452" spans="2:5" x14ac:dyDescent="0.3">
      <c r="B452" s="70" t="s">
        <v>2165</v>
      </c>
      <c r="C452" s="115" t="s">
        <v>2847</v>
      </c>
      <c r="D452" s="71" t="s">
        <v>1935</v>
      </c>
      <c r="E452" s="72" t="s">
        <v>2933</v>
      </c>
    </row>
    <row r="453" spans="2:5" x14ac:dyDescent="0.3">
      <c r="B453" s="70" t="s">
        <v>2151</v>
      </c>
      <c r="C453" s="122" t="s">
        <v>2622</v>
      </c>
      <c r="D453" s="71" t="s">
        <v>1815</v>
      </c>
      <c r="E453" s="72" t="s">
        <v>2933</v>
      </c>
    </row>
    <row r="454" spans="2:5" x14ac:dyDescent="0.3">
      <c r="B454" s="70" t="s">
        <v>2184</v>
      </c>
      <c r="C454" s="115" t="s">
        <v>2854</v>
      </c>
      <c r="D454" s="71" t="s">
        <v>1843</v>
      </c>
      <c r="E454" s="72" t="s">
        <v>2934</v>
      </c>
    </row>
    <row r="455" spans="2:5" x14ac:dyDescent="0.3">
      <c r="B455" s="70" t="s">
        <v>2134</v>
      </c>
      <c r="C455" s="115" t="s">
        <v>2840</v>
      </c>
      <c r="D455" s="71" t="s">
        <v>1835</v>
      </c>
      <c r="E455" s="72" t="s">
        <v>2933</v>
      </c>
    </row>
    <row r="456" spans="2:5" x14ac:dyDescent="0.3">
      <c r="B456" s="70" t="s">
        <v>2138</v>
      </c>
      <c r="C456" s="122" t="s">
        <v>73</v>
      </c>
      <c r="D456" s="71" t="s">
        <v>1837</v>
      </c>
      <c r="E456" s="72" t="s">
        <v>2933</v>
      </c>
    </row>
    <row r="457" spans="2:5" x14ac:dyDescent="0.3">
      <c r="B457" s="70" t="s">
        <v>2125</v>
      </c>
      <c r="C457" s="122" t="s">
        <v>2838</v>
      </c>
      <c r="D457" s="71" t="s">
        <v>1928</v>
      </c>
      <c r="E457" s="72" t="s">
        <v>2933</v>
      </c>
    </row>
    <row r="458" spans="2:5" x14ac:dyDescent="0.3">
      <c r="B458" s="70" t="s">
        <v>2171</v>
      </c>
      <c r="C458" s="122" t="s">
        <v>2849</v>
      </c>
      <c r="D458" s="71" t="s">
        <v>1841</v>
      </c>
      <c r="E458" s="72" t="s">
        <v>2933</v>
      </c>
    </row>
    <row r="459" spans="2:5" x14ac:dyDescent="0.3">
      <c r="B459" s="70" t="s">
        <v>2148</v>
      </c>
      <c r="C459" s="115" t="s">
        <v>2843</v>
      </c>
      <c r="D459" s="71" t="s">
        <v>1932</v>
      </c>
      <c r="E459" s="72" t="s">
        <v>2934</v>
      </c>
    </row>
    <row r="460" spans="2:5" x14ac:dyDescent="0.3">
      <c r="B460" s="70" t="s">
        <v>2183</v>
      </c>
      <c r="C460" s="115" t="s">
        <v>2853</v>
      </c>
      <c r="D460" s="71" t="s">
        <v>1937</v>
      </c>
      <c r="E460" s="72" t="s">
        <v>2934</v>
      </c>
    </row>
    <row r="461" spans="2:5" x14ac:dyDescent="0.3">
      <c r="B461" s="70" t="s">
        <v>2143</v>
      </c>
      <c r="C461" s="115" t="s">
        <v>2842</v>
      </c>
      <c r="D461" s="71" t="s">
        <v>1931</v>
      </c>
      <c r="E461" s="72" t="s">
        <v>2934</v>
      </c>
    </row>
    <row r="462" spans="2:5" x14ac:dyDescent="0.3">
      <c r="B462" s="70" t="s">
        <v>2175</v>
      </c>
      <c r="C462" s="115" t="s">
        <v>2851</v>
      </c>
      <c r="D462" s="71" t="s">
        <v>1936</v>
      </c>
      <c r="E462" s="72" t="s">
        <v>2934</v>
      </c>
    </row>
    <row r="463" spans="2:5" x14ac:dyDescent="0.3">
      <c r="B463" s="70" t="s">
        <v>2163</v>
      </c>
      <c r="C463" s="115" t="s">
        <v>2845</v>
      </c>
      <c r="D463" s="71" t="s">
        <v>1840</v>
      </c>
      <c r="E463" s="72" t="s">
        <v>2934</v>
      </c>
    </row>
    <row r="464" spans="2:5" x14ac:dyDescent="0.3">
      <c r="B464" s="70" t="s">
        <v>2108</v>
      </c>
      <c r="C464" s="115" t="s">
        <v>1141</v>
      </c>
      <c r="D464" s="71" t="s">
        <v>1833</v>
      </c>
      <c r="E464" s="72" t="s">
        <v>2933</v>
      </c>
    </row>
    <row r="465" spans="2:5" x14ac:dyDescent="0.3">
      <c r="B465" s="70" t="s">
        <v>2179</v>
      </c>
      <c r="C465" s="115" t="s">
        <v>2852</v>
      </c>
      <c r="D465" s="71" t="s">
        <v>1842</v>
      </c>
      <c r="E465" s="72" t="s">
        <v>2933</v>
      </c>
    </row>
    <row r="466" spans="2:5" x14ac:dyDescent="0.3">
      <c r="B466" s="70" t="s">
        <v>2118</v>
      </c>
      <c r="C466" s="115" t="s">
        <v>496</v>
      </c>
      <c r="D466" s="71" t="s">
        <v>1834</v>
      </c>
      <c r="E466" s="72" t="s">
        <v>2933</v>
      </c>
    </row>
    <row r="467" spans="2:5" x14ac:dyDescent="0.3">
      <c r="B467" s="70" t="s">
        <v>2159</v>
      </c>
      <c r="C467" s="115" t="s">
        <v>1141</v>
      </c>
      <c r="D467" s="71" t="s">
        <v>1839</v>
      </c>
      <c r="E467" s="72" t="s">
        <v>2933</v>
      </c>
    </row>
    <row r="468" spans="2:5" x14ac:dyDescent="0.3">
      <c r="B468" s="70" t="s">
        <v>2113</v>
      </c>
      <c r="C468" s="115" t="s">
        <v>2835</v>
      </c>
      <c r="D468" s="71" t="s">
        <v>1925</v>
      </c>
      <c r="E468" s="72" t="s">
        <v>2933</v>
      </c>
    </row>
    <row r="469" spans="2:5" x14ac:dyDescent="0.3">
      <c r="B469" s="70" t="s">
        <v>2167</v>
      </c>
      <c r="C469" s="124" t="s">
        <v>2848</v>
      </c>
      <c r="D469" s="71" t="s">
        <v>195</v>
      </c>
      <c r="E469" s="72" t="s">
        <v>2934</v>
      </c>
    </row>
    <row r="470" spans="2:5" x14ac:dyDescent="0.3">
      <c r="B470" s="70" t="s">
        <v>2101</v>
      </c>
      <c r="C470" s="115" t="s">
        <v>128</v>
      </c>
      <c r="D470" s="71" t="s">
        <v>1831</v>
      </c>
      <c r="E470" s="72" t="s">
        <v>2934</v>
      </c>
    </row>
    <row r="471" spans="2:5" x14ac:dyDescent="0.3">
      <c r="B471" s="70" t="s">
        <v>2122</v>
      </c>
      <c r="C471" s="115" t="s">
        <v>2837</v>
      </c>
      <c r="D471" s="71" t="s">
        <v>1927</v>
      </c>
      <c r="E471" s="72" t="s">
        <v>2933</v>
      </c>
    </row>
    <row r="472" spans="2:5" x14ac:dyDescent="0.3">
      <c r="B472" s="70" t="s">
        <v>2103</v>
      </c>
      <c r="C472" s="122" t="s">
        <v>2832</v>
      </c>
      <c r="D472" s="71" t="s">
        <v>1899</v>
      </c>
      <c r="E472" s="72" t="s">
        <v>2933</v>
      </c>
    </row>
    <row r="473" spans="2:5" x14ac:dyDescent="0.3">
      <c r="B473" s="70" t="s">
        <v>2121</v>
      </c>
      <c r="C473" s="115" t="s">
        <v>2836</v>
      </c>
      <c r="D473" s="71" t="s">
        <v>1926</v>
      </c>
      <c r="E473" s="72" t="s">
        <v>2934</v>
      </c>
    </row>
    <row r="474" spans="2:5" x14ac:dyDescent="0.3">
      <c r="B474" s="70" t="s">
        <v>2149</v>
      </c>
      <c r="C474" s="115" t="s">
        <v>2844</v>
      </c>
      <c r="D474" s="71" t="s">
        <v>1933</v>
      </c>
      <c r="E474" s="72" t="s">
        <v>2934</v>
      </c>
    </row>
    <row r="475" spans="2:5" x14ac:dyDescent="0.3">
      <c r="B475" s="70" t="s">
        <v>2172</v>
      </c>
      <c r="C475" s="115" t="s">
        <v>2850</v>
      </c>
      <c r="D475" s="71" t="s">
        <v>1904</v>
      </c>
      <c r="E475" s="72" t="s">
        <v>2933</v>
      </c>
    </row>
    <row r="476" spans="2:5" x14ac:dyDescent="0.3">
      <c r="B476" s="70" t="s">
        <v>2164</v>
      </c>
      <c r="C476" s="122" t="s">
        <v>2846</v>
      </c>
      <c r="D476" s="71" t="s">
        <v>1934</v>
      </c>
      <c r="E476" s="72" t="s">
        <v>2933</v>
      </c>
    </row>
    <row r="477" spans="2:5" x14ac:dyDescent="0.3">
      <c r="B477" s="70" t="s">
        <v>2126</v>
      </c>
      <c r="C477" s="115" t="s">
        <v>2839</v>
      </c>
      <c r="D477" s="71" t="s">
        <v>1929</v>
      </c>
      <c r="E477" s="72" t="s">
        <v>2933</v>
      </c>
    </row>
    <row r="478" spans="2:5" x14ac:dyDescent="0.3">
      <c r="B478" s="70" t="s">
        <v>2156</v>
      </c>
      <c r="C478" s="122" t="s">
        <v>2152</v>
      </c>
      <c r="D478" s="71" t="s">
        <v>2153</v>
      </c>
      <c r="E478" s="72" t="s">
        <v>2934</v>
      </c>
    </row>
    <row r="479" spans="2:5" x14ac:dyDescent="0.3">
      <c r="B479" s="70" t="s">
        <v>2147</v>
      </c>
      <c r="C479" s="115" t="s">
        <v>2144</v>
      </c>
      <c r="D479" s="71" t="s">
        <v>1838</v>
      </c>
      <c r="E479" s="72" t="s">
        <v>2933</v>
      </c>
    </row>
    <row r="480" spans="2:5" x14ac:dyDescent="0.3">
      <c r="B480" s="70" t="s">
        <v>2186</v>
      </c>
      <c r="C480" s="115" t="s">
        <v>2855</v>
      </c>
      <c r="D480" s="71" t="s">
        <v>1938</v>
      </c>
      <c r="E480" s="72" t="s">
        <v>2933</v>
      </c>
    </row>
    <row r="481" spans="2:5" x14ac:dyDescent="0.3">
      <c r="B481" s="70" t="s">
        <v>2259</v>
      </c>
      <c r="C481" s="115" t="s">
        <v>2871</v>
      </c>
      <c r="D481" s="71" t="s">
        <v>1949</v>
      </c>
      <c r="E481" s="72" t="s">
        <v>2934</v>
      </c>
    </row>
    <row r="482" spans="2:5" x14ac:dyDescent="0.3">
      <c r="B482" s="70" t="s">
        <v>2274</v>
      </c>
      <c r="C482" s="115" t="s">
        <v>2874</v>
      </c>
      <c r="D482" s="71" t="s">
        <v>1859</v>
      </c>
      <c r="E482" s="72" t="s">
        <v>2933</v>
      </c>
    </row>
    <row r="483" spans="2:5" x14ac:dyDescent="0.3">
      <c r="B483" s="70"/>
      <c r="C483" s="122" t="s">
        <v>2864</v>
      </c>
      <c r="D483" s="71" t="s">
        <v>1943</v>
      </c>
      <c r="E483" s="72" t="s">
        <v>2933</v>
      </c>
    </row>
    <row r="484" spans="2:5" x14ac:dyDescent="0.3">
      <c r="B484" s="70" t="s">
        <v>2192</v>
      </c>
      <c r="C484" s="122" t="s">
        <v>2857</v>
      </c>
      <c r="D484" s="71" t="s">
        <v>1844</v>
      </c>
      <c r="E484" s="72" t="s">
        <v>2933</v>
      </c>
    </row>
    <row r="485" spans="2:5" x14ac:dyDescent="0.3">
      <c r="B485" s="70" t="s">
        <v>2219</v>
      </c>
      <c r="C485" s="115" t="s">
        <v>2861</v>
      </c>
      <c r="D485" s="71" t="s">
        <v>1849</v>
      </c>
      <c r="E485" s="72" t="s">
        <v>2933</v>
      </c>
    </row>
    <row r="486" spans="2:5" x14ac:dyDescent="0.3">
      <c r="B486" s="70" t="s">
        <v>2232</v>
      </c>
      <c r="C486" s="115" t="s">
        <v>2863</v>
      </c>
      <c r="D486" s="71" t="s">
        <v>1853</v>
      </c>
      <c r="E486" s="72" t="s">
        <v>2934</v>
      </c>
    </row>
    <row r="487" spans="2:5" x14ac:dyDescent="0.3">
      <c r="B487" s="70" t="s">
        <v>2267</v>
      </c>
      <c r="C487" s="115" t="s">
        <v>2872</v>
      </c>
      <c r="D487" s="71" t="s">
        <v>1950</v>
      </c>
      <c r="E487" s="72" t="s">
        <v>2934</v>
      </c>
    </row>
    <row r="488" spans="2:5" x14ac:dyDescent="0.3">
      <c r="B488" s="70" t="s">
        <v>2222</v>
      </c>
      <c r="C488" s="115" t="s">
        <v>1450</v>
      </c>
      <c r="D488" s="71" t="s">
        <v>1850</v>
      </c>
      <c r="E488" s="72" t="s">
        <v>2934</v>
      </c>
    </row>
    <row r="489" spans="2:5" x14ac:dyDescent="0.3">
      <c r="B489" s="70" t="s">
        <v>2191</v>
      </c>
      <c r="C489" s="122" t="s">
        <v>2856</v>
      </c>
      <c r="D489" s="71" t="s">
        <v>1939</v>
      </c>
      <c r="E489" s="72" t="s">
        <v>2934</v>
      </c>
    </row>
    <row r="490" spans="2:5" x14ac:dyDescent="0.3">
      <c r="B490" s="70" t="s">
        <v>2200</v>
      </c>
      <c r="C490" s="115" t="s">
        <v>132</v>
      </c>
      <c r="D490" s="71" t="s">
        <v>1846</v>
      </c>
      <c r="E490" s="72" t="s">
        <v>2934</v>
      </c>
    </row>
    <row r="491" spans="2:5" x14ac:dyDescent="0.3">
      <c r="B491" s="70" t="s">
        <v>2226</v>
      </c>
      <c r="C491" s="115" t="s">
        <v>2862</v>
      </c>
      <c r="D491" s="71" t="s">
        <v>1851</v>
      </c>
      <c r="E491" s="72" t="s">
        <v>2934</v>
      </c>
    </row>
    <row r="492" spans="2:5" x14ac:dyDescent="0.3">
      <c r="B492" s="70" t="s">
        <v>2196</v>
      </c>
      <c r="C492" s="115" t="s">
        <v>2193</v>
      </c>
      <c r="D492" s="71" t="s">
        <v>1845</v>
      </c>
      <c r="E492" s="72" t="s">
        <v>2933</v>
      </c>
    </row>
    <row r="493" spans="2:5" x14ac:dyDescent="0.3">
      <c r="B493" s="70" t="s">
        <v>2242</v>
      </c>
      <c r="C493" s="115" t="s">
        <v>498</v>
      </c>
      <c r="D493" s="71" t="s">
        <v>1946</v>
      </c>
      <c r="E493" s="72" t="s">
        <v>2934</v>
      </c>
    </row>
    <row r="494" spans="2:5" x14ac:dyDescent="0.3">
      <c r="B494" s="70" t="s">
        <v>2255</v>
      </c>
      <c r="C494" s="115" t="s">
        <v>2801</v>
      </c>
      <c r="D494" s="71" t="s">
        <v>1856</v>
      </c>
      <c r="E494" s="72" t="s">
        <v>2934</v>
      </c>
    </row>
    <row r="495" spans="2:5" x14ac:dyDescent="0.3">
      <c r="B495" s="70" t="s">
        <v>2261</v>
      </c>
      <c r="C495" s="122" t="s">
        <v>795</v>
      </c>
      <c r="D495" s="71" t="s">
        <v>1857</v>
      </c>
      <c r="E495" s="72" t="s">
        <v>2933</v>
      </c>
    </row>
    <row r="496" spans="2:5" x14ac:dyDescent="0.3">
      <c r="B496" s="70" t="s">
        <v>2228</v>
      </c>
      <c r="C496" s="122" t="s">
        <v>802</v>
      </c>
      <c r="D496" s="71" t="s">
        <v>1942</v>
      </c>
      <c r="E496" s="72" t="s">
        <v>2933</v>
      </c>
    </row>
    <row r="497" spans="2:5" x14ac:dyDescent="0.3">
      <c r="B497" s="70"/>
      <c r="C497" s="122" t="s">
        <v>2873</v>
      </c>
      <c r="D497" s="71" t="s">
        <v>1951</v>
      </c>
      <c r="E497" s="72" t="s">
        <v>2933</v>
      </c>
    </row>
    <row r="498" spans="2:5" x14ac:dyDescent="0.3">
      <c r="B498" s="70" t="s">
        <v>2264</v>
      </c>
      <c r="C498" s="115" t="s">
        <v>2581</v>
      </c>
      <c r="D498" s="71" t="s">
        <v>1858</v>
      </c>
      <c r="E498" s="72" t="s">
        <v>2933</v>
      </c>
    </row>
    <row r="499" spans="2:5" x14ac:dyDescent="0.3">
      <c r="B499" s="70" t="s">
        <v>2201</v>
      </c>
      <c r="C499" s="115" t="s">
        <v>2858</v>
      </c>
      <c r="D499" s="71" t="s">
        <v>1847</v>
      </c>
      <c r="E499" s="72" t="s">
        <v>2933</v>
      </c>
    </row>
    <row r="500" spans="2:5" x14ac:dyDescent="0.3">
      <c r="B500" s="70" t="s">
        <v>2251</v>
      </c>
      <c r="C500" s="122" t="s">
        <v>2869</v>
      </c>
      <c r="D500" s="71" t="s">
        <v>1855</v>
      </c>
      <c r="E500" s="72" t="s">
        <v>2934</v>
      </c>
    </row>
    <row r="501" spans="2:5" x14ac:dyDescent="0.3">
      <c r="B501" s="70" t="s">
        <v>2239</v>
      </c>
      <c r="C501" s="115" t="s">
        <v>2866</v>
      </c>
      <c r="D501" s="71" t="s">
        <v>1945</v>
      </c>
      <c r="E501" s="72" t="s">
        <v>2933</v>
      </c>
    </row>
    <row r="502" spans="2:5" x14ac:dyDescent="0.3">
      <c r="B502" s="70" t="s">
        <v>2214</v>
      </c>
      <c r="C502" s="115" t="s">
        <v>2860</v>
      </c>
      <c r="D502" s="71" t="s">
        <v>1941</v>
      </c>
      <c r="E502" s="72" t="s">
        <v>2934</v>
      </c>
    </row>
    <row r="503" spans="2:5" x14ac:dyDescent="0.3">
      <c r="B503" s="70" t="s">
        <v>2246</v>
      </c>
      <c r="C503" s="122" t="s">
        <v>2868</v>
      </c>
      <c r="D503" s="71" t="s">
        <v>1947</v>
      </c>
      <c r="E503" s="72" t="s">
        <v>2934</v>
      </c>
    </row>
    <row r="504" spans="2:5" x14ac:dyDescent="0.3">
      <c r="B504" s="70" t="s">
        <v>2210</v>
      </c>
      <c r="C504" s="115" t="s">
        <v>2859</v>
      </c>
      <c r="D504" s="71" t="s">
        <v>1848</v>
      </c>
      <c r="E504" s="72" t="s">
        <v>2934</v>
      </c>
    </row>
    <row r="505" spans="2:5" x14ac:dyDescent="0.3">
      <c r="B505" s="70" t="s">
        <v>2236</v>
      </c>
      <c r="C505" s="115" t="s">
        <v>2865</v>
      </c>
      <c r="D505" s="71" t="s">
        <v>1944</v>
      </c>
      <c r="E505" s="72" t="s">
        <v>2933</v>
      </c>
    </row>
    <row r="506" spans="2:5" x14ac:dyDescent="0.3">
      <c r="B506" s="70" t="s">
        <v>2258</v>
      </c>
      <c r="C506" s="122" t="s">
        <v>2870</v>
      </c>
      <c r="D506" s="71" t="s">
        <v>1948</v>
      </c>
      <c r="E506" s="72" t="s">
        <v>2933</v>
      </c>
    </row>
    <row r="507" spans="2:5" x14ac:dyDescent="0.3">
      <c r="B507" s="70" t="s">
        <v>2206</v>
      </c>
      <c r="C507" s="115" t="s">
        <v>144</v>
      </c>
      <c r="D507" s="71" t="s">
        <v>1940</v>
      </c>
      <c r="E507" s="72" t="s">
        <v>2933</v>
      </c>
    </row>
    <row r="508" spans="2:5" x14ac:dyDescent="0.3">
      <c r="B508" s="70"/>
      <c r="C508" s="115" t="s">
        <v>2867</v>
      </c>
      <c r="D508" s="71" t="s">
        <v>1854</v>
      </c>
      <c r="E508" s="72" t="s">
        <v>2934</v>
      </c>
    </row>
    <row r="509" spans="2:5" x14ac:dyDescent="0.3">
      <c r="B509" s="70" t="s">
        <v>2295</v>
      </c>
      <c r="C509" s="122" t="s">
        <v>2879</v>
      </c>
      <c r="D509" s="71" t="s">
        <v>1924</v>
      </c>
      <c r="E509" s="72" t="s">
        <v>2934</v>
      </c>
    </row>
    <row r="510" spans="2:5" x14ac:dyDescent="0.3">
      <c r="B510" s="70" t="s">
        <v>2298</v>
      </c>
      <c r="C510" s="115" t="s">
        <v>2880</v>
      </c>
      <c r="D510" s="71" t="s">
        <v>1862</v>
      </c>
      <c r="E510" s="72" t="s">
        <v>2934</v>
      </c>
    </row>
    <row r="511" spans="2:5" x14ac:dyDescent="0.3">
      <c r="B511" s="70" t="s">
        <v>2304</v>
      </c>
      <c r="C511" s="122" t="s">
        <v>1450</v>
      </c>
      <c r="D511" s="71" t="s">
        <v>1863</v>
      </c>
      <c r="E511" s="72" t="s">
        <v>2934</v>
      </c>
    </row>
    <row r="512" spans="2:5" x14ac:dyDescent="0.3">
      <c r="B512" s="70" t="s">
        <v>2345</v>
      </c>
      <c r="C512" s="122" t="s">
        <v>219</v>
      </c>
      <c r="D512" s="71" t="s">
        <v>1868</v>
      </c>
      <c r="E512" s="72" t="s">
        <v>2933</v>
      </c>
    </row>
    <row r="513" spans="2:5" x14ac:dyDescent="0.3">
      <c r="B513" s="70" t="s">
        <v>2342</v>
      </c>
      <c r="C513" s="122" t="s">
        <v>2891</v>
      </c>
      <c r="D513" s="71" t="s">
        <v>1867</v>
      </c>
      <c r="E513" s="72" t="s">
        <v>2934</v>
      </c>
    </row>
    <row r="514" spans="2:5" x14ac:dyDescent="0.3">
      <c r="B514" s="70" t="s">
        <v>2323</v>
      </c>
      <c r="C514" s="122" t="s">
        <v>2886</v>
      </c>
      <c r="D514" s="71" t="s">
        <v>1959</v>
      </c>
      <c r="E514" s="72" t="s">
        <v>2933</v>
      </c>
    </row>
    <row r="515" spans="2:5" x14ac:dyDescent="0.3">
      <c r="B515" s="70" t="s">
        <v>2286</v>
      </c>
      <c r="C515" s="122" t="s">
        <v>2876</v>
      </c>
      <c r="D515" s="71" t="s">
        <v>1954</v>
      </c>
      <c r="E515" s="72" t="s">
        <v>2934</v>
      </c>
    </row>
    <row r="516" spans="2:5" x14ac:dyDescent="0.3">
      <c r="B516" s="70" t="s">
        <v>2319</v>
      </c>
      <c r="C516" s="122" t="s">
        <v>2885</v>
      </c>
      <c r="D516" s="71" t="s">
        <v>1958</v>
      </c>
      <c r="E516" s="72" t="s">
        <v>2933</v>
      </c>
    </row>
    <row r="517" spans="2:5" x14ac:dyDescent="0.3">
      <c r="B517" s="70" t="s">
        <v>2283</v>
      </c>
      <c r="C517" s="122" t="s">
        <v>2276</v>
      </c>
      <c r="D517" s="71" t="s">
        <v>1953</v>
      </c>
      <c r="E517" s="72" t="s">
        <v>2933</v>
      </c>
    </row>
    <row r="518" spans="2:5" x14ac:dyDescent="0.3">
      <c r="B518" s="70" t="s">
        <v>2330</v>
      </c>
      <c r="C518" s="122" t="s">
        <v>2801</v>
      </c>
      <c r="D518" s="71" t="s">
        <v>1865</v>
      </c>
      <c r="E518" s="72" t="s">
        <v>2934</v>
      </c>
    </row>
    <row r="519" spans="2:5" x14ac:dyDescent="0.3">
      <c r="B519" s="70" t="s">
        <v>2293</v>
      </c>
      <c r="C519" s="122" t="s">
        <v>2878</v>
      </c>
      <c r="D519" s="71" t="s">
        <v>1861</v>
      </c>
      <c r="E519" s="72" t="s">
        <v>2934</v>
      </c>
    </row>
    <row r="520" spans="2:5" x14ac:dyDescent="0.3">
      <c r="B520" s="70" t="s">
        <v>2294</v>
      </c>
      <c r="C520" s="122" t="s">
        <v>2734</v>
      </c>
      <c r="D520" s="71" t="s">
        <v>1861</v>
      </c>
      <c r="E520" s="72" t="s">
        <v>2934</v>
      </c>
    </row>
    <row r="521" spans="2:5" x14ac:dyDescent="0.3">
      <c r="B521" s="70" t="s">
        <v>2327</v>
      </c>
      <c r="C521" s="122" t="s">
        <v>2887</v>
      </c>
      <c r="D521" s="71" t="s">
        <v>1960</v>
      </c>
      <c r="E521" s="72" t="s">
        <v>2933</v>
      </c>
    </row>
    <row r="522" spans="2:5" x14ac:dyDescent="0.3">
      <c r="B522" s="70" t="s">
        <v>2354</v>
      </c>
      <c r="C522" s="115" t="s">
        <v>2893</v>
      </c>
      <c r="D522" s="71" t="s">
        <v>1963</v>
      </c>
      <c r="E522" s="72" t="s">
        <v>2934</v>
      </c>
    </row>
    <row r="523" spans="2:5" x14ac:dyDescent="0.3">
      <c r="B523" s="70" t="s">
        <v>2280</v>
      </c>
      <c r="C523" s="122" t="s">
        <v>2875</v>
      </c>
      <c r="D523" s="71" t="s">
        <v>1952</v>
      </c>
      <c r="E523" s="72" t="s">
        <v>2933</v>
      </c>
    </row>
    <row r="524" spans="2:5" x14ac:dyDescent="0.3">
      <c r="B524" s="70" t="s">
        <v>2340</v>
      </c>
      <c r="C524" s="122" t="s">
        <v>2890</v>
      </c>
      <c r="D524" s="71" t="s">
        <v>1866</v>
      </c>
      <c r="E524" s="72" t="s">
        <v>2934</v>
      </c>
    </row>
    <row r="525" spans="2:5" x14ac:dyDescent="0.3">
      <c r="B525" s="70" t="s">
        <v>2339</v>
      </c>
      <c r="C525" s="122" t="s">
        <v>2889</v>
      </c>
      <c r="D525" s="71" t="s">
        <v>1962</v>
      </c>
      <c r="E525" s="72" t="s">
        <v>2933</v>
      </c>
    </row>
    <row r="526" spans="2:5" x14ac:dyDescent="0.3">
      <c r="B526" s="70" t="s">
        <v>2349</v>
      </c>
      <c r="C526" s="115" t="s">
        <v>2892</v>
      </c>
      <c r="D526" s="71" t="s">
        <v>1869</v>
      </c>
      <c r="E526" s="72" t="s">
        <v>2934</v>
      </c>
    </row>
    <row r="527" spans="2:5" x14ac:dyDescent="0.3">
      <c r="B527" s="70" t="s">
        <v>2314</v>
      </c>
      <c r="C527" s="115" t="s">
        <v>2884</v>
      </c>
      <c r="D527" s="71" t="s">
        <v>1992</v>
      </c>
      <c r="E527" s="72" t="s">
        <v>2934</v>
      </c>
    </row>
    <row r="528" spans="2:5" x14ac:dyDescent="0.3">
      <c r="B528" s="70" t="s">
        <v>2305</v>
      </c>
      <c r="C528" s="122" t="s">
        <v>2855</v>
      </c>
      <c r="D528" s="71" t="s">
        <v>1956</v>
      </c>
      <c r="E528" s="72" t="s">
        <v>2933</v>
      </c>
    </row>
    <row r="529" spans="2:5" x14ac:dyDescent="0.3">
      <c r="B529" s="70" t="s">
        <v>2303</v>
      </c>
      <c r="C529" s="115" t="s">
        <v>2881</v>
      </c>
      <c r="D529" s="71" t="s">
        <v>1955</v>
      </c>
      <c r="E529" s="72" t="s">
        <v>2933</v>
      </c>
    </row>
    <row r="530" spans="2:5" x14ac:dyDescent="0.3">
      <c r="B530" s="70" t="s">
        <v>2309</v>
      </c>
      <c r="C530" s="122" t="s">
        <v>2882</v>
      </c>
      <c r="D530" s="71" t="s">
        <v>1957</v>
      </c>
      <c r="E530" s="72" t="s">
        <v>2933</v>
      </c>
    </row>
    <row r="531" spans="2:5" x14ac:dyDescent="0.3">
      <c r="B531" s="70" t="s">
        <v>2312</v>
      </c>
      <c r="C531" s="122" t="s">
        <v>2883</v>
      </c>
      <c r="D531" s="71" t="s">
        <v>1864</v>
      </c>
      <c r="E531" s="72" t="s">
        <v>2934</v>
      </c>
    </row>
    <row r="532" spans="2:5" x14ac:dyDescent="0.3">
      <c r="B532" s="70" t="s">
        <v>2334</v>
      </c>
      <c r="C532" s="115" t="s">
        <v>2888</v>
      </c>
      <c r="D532" s="71" t="s">
        <v>1961</v>
      </c>
      <c r="E532" s="72" t="s">
        <v>2934</v>
      </c>
    </row>
    <row r="533" spans="2:5" x14ac:dyDescent="0.3">
      <c r="B533" s="70" t="s">
        <v>2289</v>
      </c>
      <c r="C533" s="122" t="s">
        <v>2877</v>
      </c>
      <c r="D533" s="71" t="s">
        <v>1860</v>
      </c>
      <c r="E533" s="72" t="s">
        <v>2934</v>
      </c>
    </row>
    <row r="534" spans="2:5" x14ac:dyDescent="0.3">
      <c r="B534" s="70" t="s">
        <v>2355</v>
      </c>
      <c r="C534" s="115" t="s">
        <v>2894</v>
      </c>
      <c r="D534" s="71" t="s">
        <v>1964</v>
      </c>
      <c r="E534" s="72" t="s">
        <v>2933</v>
      </c>
    </row>
    <row r="535" spans="2:5" x14ac:dyDescent="0.3">
      <c r="B535" s="70" t="s">
        <v>2360</v>
      </c>
      <c r="C535" s="115" t="s">
        <v>2896</v>
      </c>
      <c r="D535" s="71" t="s">
        <v>1870</v>
      </c>
      <c r="E535" s="72" t="s">
        <v>2933</v>
      </c>
    </row>
    <row r="536" spans="2:5" x14ac:dyDescent="0.3">
      <c r="B536" s="70" t="s">
        <v>2365</v>
      </c>
      <c r="C536" s="115" t="s">
        <v>2898</v>
      </c>
      <c r="D536" s="71" t="s">
        <v>1967</v>
      </c>
      <c r="E536" s="72" t="s">
        <v>2934</v>
      </c>
    </row>
    <row r="537" spans="2:5" x14ac:dyDescent="0.3">
      <c r="B537" s="70"/>
      <c r="C537" s="115" t="s">
        <v>1374</v>
      </c>
      <c r="D537" s="71" t="s">
        <v>1875</v>
      </c>
      <c r="E537" s="72" t="s">
        <v>2934</v>
      </c>
    </row>
    <row r="538" spans="2:5" x14ac:dyDescent="0.3">
      <c r="B538" s="70" t="s">
        <v>2381</v>
      </c>
      <c r="C538" s="115" t="s">
        <v>2903</v>
      </c>
      <c r="D538" s="71" t="s">
        <v>1971</v>
      </c>
      <c r="E538" s="72" t="s">
        <v>2934</v>
      </c>
    </row>
    <row r="539" spans="2:5" x14ac:dyDescent="0.3">
      <c r="B539" s="70" t="s">
        <v>2367</v>
      </c>
      <c r="C539" s="122" t="s">
        <v>2900</v>
      </c>
      <c r="D539" s="71" t="s">
        <v>1968</v>
      </c>
      <c r="E539" s="72" t="s">
        <v>2934</v>
      </c>
    </row>
    <row r="540" spans="2:5" x14ac:dyDescent="0.3">
      <c r="B540" s="70" t="s">
        <v>2391</v>
      </c>
      <c r="C540" s="115" t="s">
        <v>2906</v>
      </c>
      <c r="D540" s="71" t="s">
        <v>1874</v>
      </c>
      <c r="E540" s="72" t="s">
        <v>2934</v>
      </c>
    </row>
    <row r="541" spans="2:5" x14ac:dyDescent="0.3">
      <c r="B541" s="70" t="s">
        <v>2359</v>
      </c>
      <c r="C541" s="115" t="s">
        <v>2895</v>
      </c>
      <c r="D541" s="71" t="s">
        <v>1965</v>
      </c>
      <c r="E541" s="72" t="s">
        <v>2933</v>
      </c>
    </row>
    <row r="542" spans="2:5" x14ac:dyDescent="0.3">
      <c r="B542" s="70" t="s">
        <v>2368</v>
      </c>
      <c r="C542" s="115" t="s">
        <v>2901</v>
      </c>
      <c r="D542" s="71" t="s">
        <v>1969</v>
      </c>
      <c r="E542" s="72" t="s">
        <v>2934</v>
      </c>
    </row>
    <row r="543" spans="2:5" x14ac:dyDescent="0.3">
      <c r="B543" s="70"/>
      <c r="C543" s="115" t="s">
        <v>991</v>
      </c>
      <c r="D543" s="71" t="s">
        <v>1873</v>
      </c>
      <c r="E543" s="72" t="s">
        <v>2933</v>
      </c>
    </row>
    <row r="544" spans="2:5" x14ac:dyDescent="0.3">
      <c r="B544" s="70" t="s">
        <v>2372</v>
      </c>
      <c r="C544" s="115" t="s">
        <v>2627</v>
      </c>
      <c r="D544" s="71" t="s">
        <v>3051</v>
      </c>
      <c r="E544" s="72" t="s">
        <v>2933</v>
      </c>
    </row>
    <row r="545" spans="2:5" x14ac:dyDescent="0.3">
      <c r="B545" s="70" t="s">
        <v>2366</v>
      </c>
      <c r="C545" s="115" t="s">
        <v>2899</v>
      </c>
      <c r="D545" s="71" t="s">
        <v>1871</v>
      </c>
      <c r="E545" s="72" t="s">
        <v>2934</v>
      </c>
    </row>
    <row r="546" spans="2:5" x14ac:dyDescent="0.3">
      <c r="B546" s="70" t="s">
        <v>2364</v>
      </c>
      <c r="C546" s="115" t="s">
        <v>2897</v>
      </c>
      <c r="D546" s="71" t="s">
        <v>1966</v>
      </c>
      <c r="E546" s="72" t="s">
        <v>2934</v>
      </c>
    </row>
    <row r="547" spans="2:5" x14ac:dyDescent="0.3">
      <c r="B547" s="70" t="s">
        <v>2380</v>
      </c>
      <c r="C547" s="115" t="s">
        <v>2902</v>
      </c>
      <c r="D547" s="71" t="s">
        <v>1970</v>
      </c>
      <c r="E547" s="72" t="s">
        <v>2934</v>
      </c>
    </row>
    <row r="548" spans="2:5" x14ac:dyDescent="0.3">
      <c r="B548" s="70" t="s">
        <v>2397</v>
      </c>
      <c r="C548" s="115" t="s">
        <v>2908</v>
      </c>
      <c r="D548" s="71" t="s">
        <v>201</v>
      </c>
      <c r="E548" s="72" t="s">
        <v>2933</v>
      </c>
    </row>
    <row r="549" spans="2:5" x14ac:dyDescent="0.3">
      <c r="B549" s="70" t="s">
        <v>2376</v>
      </c>
      <c r="C549" s="115" t="s">
        <v>2867</v>
      </c>
      <c r="D549" s="71" t="s">
        <v>1872</v>
      </c>
      <c r="E549" s="72" t="s">
        <v>2934</v>
      </c>
    </row>
    <row r="550" spans="2:5" x14ac:dyDescent="0.3">
      <c r="B550" s="70" t="s">
        <v>2385</v>
      </c>
      <c r="C550" s="115" t="s">
        <v>2904</v>
      </c>
      <c r="D550" s="71" t="s">
        <v>1972</v>
      </c>
      <c r="E550" s="72" t="s">
        <v>2933</v>
      </c>
    </row>
    <row r="551" spans="2:5" x14ac:dyDescent="0.3">
      <c r="B551" s="70" t="s">
        <v>2388</v>
      </c>
      <c r="C551" s="122" t="s">
        <v>2905</v>
      </c>
      <c r="D551" s="71" t="s">
        <v>1973</v>
      </c>
      <c r="E551" s="72" t="s">
        <v>2934</v>
      </c>
    </row>
    <row r="552" spans="2:5" x14ac:dyDescent="0.3">
      <c r="B552" s="70" t="s">
        <v>2395</v>
      </c>
      <c r="C552" s="115" t="s">
        <v>2907</v>
      </c>
      <c r="D552" s="71" t="s">
        <v>1974</v>
      </c>
      <c r="E552" s="72" t="s">
        <v>2933</v>
      </c>
    </row>
    <row r="553" spans="2:5" x14ac:dyDescent="0.3">
      <c r="B553" s="70" t="s">
        <v>2398</v>
      </c>
      <c r="C553" s="115" t="s">
        <v>2909</v>
      </c>
      <c r="D553" s="71" t="s">
        <v>1975</v>
      </c>
      <c r="E553" s="72" t="s">
        <v>2934</v>
      </c>
    </row>
    <row r="554" spans="2:5" x14ac:dyDescent="0.3">
      <c r="B554" s="70" t="s">
        <v>2401</v>
      </c>
      <c r="C554" s="115" t="s">
        <v>2910</v>
      </c>
      <c r="D554" s="71" t="s">
        <v>1976</v>
      </c>
      <c r="E554" s="72" t="s">
        <v>2934</v>
      </c>
    </row>
    <row r="555" spans="2:5" x14ac:dyDescent="0.3">
      <c r="B555" s="70" t="s">
        <v>2421</v>
      </c>
      <c r="C555" s="115" t="s">
        <v>2919</v>
      </c>
      <c r="D555" s="71" t="s">
        <v>1980</v>
      </c>
      <c r="E555" s="72" t="s">
        <v>2934</v>
      </c>
    </row>
    <row r="556" spans="2:5" x14ac:dyDescent="0.3">
      <c r="B556" s="70" t="s">
        <v>2407</v>
      </c>
      <c r="C556" s="115" t="s">
        <v>2912</v>
      </c>
      <c r="D556" s="71" t="s">
        <v>1977</v>
      </c>
      <c r="E556" s="72" t="s">
        <v>2933</v>
      </c>
    </row>
    <row r="557" spans="2:5" x14ac:dyDescent="0.3">
      <c r="B557" s="70" t="s">
        <v>2451</v>
      </c>
      <c r="C557" s="115" t="s">
        <v>2928</v>
      </c>
      <c r="D557" s="71" t="s">
        <v>1987</v>
      </c>
      <c r="E557" s="72" t="s">
        <v>2934</v>
      </c>
    </row>
    <row r="558" spans="2:5" x14ac:dyDescent="0.3">
      <c r="B558" s="70" t="s">
        <v>2410</v>
      </c>
      <c r="C558" s="115" t="s">
        <v>2913</v>
      </c>
      <c r="D558" s="71" t="s">
        <v>1978</v>
      </c>
      <c r="E558" s="72" t="s">
        <v>2934</v>
      </c>
    </row>
    <row r="559" spans="2:5" x14ac:dyDescent="0.3">
      <c r="B559" s="70" t="s">
        <v>2428</v>
      </c>
      <c r="C559" s="115" t="s">
        <v>2922</v>
      </c>
      <c r="D559" s="71" t="s">
        <v>1982</v>
      </c>
      <c r="E559" s="72" t="s">
        <v>2933</v>
      </c>
    </row>
    <row r="560" spans="2:5" x14ac:dyDescent="0.3">
      <c r="B560" s="70" t="s">
        <v>2435</v>
      </c>
      <c r="C560" s="115" t="s">
        <v>700</v>
      </c>
      <c r="D560" s="71" t="s">
        <v>1880</v>
      </c>
      <c r="E560" s="72" t="s">
        <v>2933</v>
      </c>
    </row>
    <row r="561" spans="2:5" x14ac:dyDescent="0.3">
      <c r="B561" s="70" t="s">
        <v>2417</v>
      </c>
      <c r="C561" s="122" t="s">
        <v>2916</v>
      </c>
      <c r="D561" s="71" t="s">
        <v>1979</v>
      </c>
      <c r="E561" s="72" t="s">
        <v>2934</v>
      </c>
    </row>
    <row r="562" spans="2:5" x14ac:dyDescent="0.3">
      <c r="B562" s="70" t="s">
        <v>2429</v>
      </c>
      <c r="C562" s="115" t="s">
        <v>2923</v>
      </c>
      <c r="D562" s="71" t="s">
        <v>1983</v>
      </c>
      <c r="E562" s="72" t="s">
        <v>2934</v>
      </c>
    </row>
    <row r="563" spans="2:5" x14ac:dyDescent="0.3">
      <c r="B563" s="70" t="s">
        <v>2440</v>
      </c>
      <c r="C563" s="115" t="s">
        <v>2924</v>
      </c>
      <c r="D563" s="71" t="s">
        <v>1984</v>
      </c>
      <c r="E563" s="72" t="s">
        <v>2933</v>
      </c>
    </row>
    <row r="564" spans="2:5" x14ac:dyDescent="0.3">
      <c r="B564" s="70" t="s">
        <v>2406</v>
      </c>
      <c r="C564" s="122" t="s">
        <v>2911</v>
      </c>
      <c r="D564" s="71" t="s">
        <v>1876</v>
      </c>
      <c r="E564" s="72" t="s">
        <v>2933</v>
      </c>
    </row>
    <row r="565" spans="2:5" x14ac:dyDescent="0.3">
      <c r="B565" s="70" t="s">
        <v>2464</v>
      </c>
      <c r="C565" s="115" t="s">
        <v>2931</v>
      </c>
      <c r="D565" s="71" t="s">
        <v>1990</v>
      </c>
      <c r="E565" s="72" t="s">
        <v>2934</v>
      </c>
    </row>
    <row r="566" spans="2:5" x14ac:dyDescent="0.3">
      <c r="B566" s="70" t="s">
        <v>2415</v>
      </c>
      <c r="C566" s="115" t="s">
        <v>2914</v>
      </c>
      <c r="D566" s="71" t="s">
        <v>1878</v>
      </c>
      <c r="E566" s="72" t="s">
        <v>2934</v>
      </c>
    </row>
    <row r="567" spans="2:5" x14ac:dyDescent="0.3">
      <c r="B567" s="70" t="s">
        <v>2455</v>
      </c>
      <c r="C567" s="115" t="s">
        <v>2929</v>
      </c>
      <c r="D567" s="71" t="s">
        <v>1988</v>
      </c>
      <c r="E567" s="72" t="s">
        <v>2934</v>
      </c>
    </row>
    <row r="568" spans="2:5" x14ac:dyDescent="0.3">
      <c r="B568" s="70" t="s">
        <v>2446</v>
      </c>
      <c r="C568" s="122" t="s">
        <v>2926</v>
      </c>
      <c r="D568" s="71" t="s">
        <v>1881</v>
      </c>
      <c r="E568" s="72" t="s">
        <v>2933</v>
      </c>
    </row>
    <row r="569" spans="2:5" x14ac:dyDescent="0.3">
      <c r="B569" s="70" t="s">
        <v>2420</v>
      </c>
      <c r="C569" s="115" t="s">
        <v>2918</v>
      </c>
      <c r="D569" s="71" t="s">
        <v>1850</v>
      </c>
      <c r="E569" s="72" t="s">
        <v>2934</v>
      </c>
    </row>
    <row r="570" spans="2:5" x14ac:dyDescent="0.3">
      <c r="B570" s="70" t="s">
        <v>2442</v>
      </c>
      <c r="C570" s="115" t="s">
        <v>2925</v>
      </c>
      <c r="D570" s="71" t="s">
        <v>1985</v>
      </c>
      <c r="E570" s="72" t="s">
        <v>2934</v>
      </c>
    </row>
    <row r="571" spans="2:5" x14ac:dyDescent="0.3">
      <c r="B571" s="70" t="s">
        <v>2459</v>
      </c>
      <c r="C571" s="115" t="s">
        <v>2930</v>
      </c>
      <c r="D571" s="71" t="s">
        <v>1989</v>
      </c>
      <c r="E571" s="72" t="s">
        <v>2934</v>
      </c>
    </row>
    <row r="572" spans="2:5" x14ac:dyDescent="0.3">
      <c r="B572" s="70" t="s">
        <v>2434</v>
      </c>
      <c r="C572" s="122" t="s">
        <v>806</v>
      </c>
      <c r="D572" s="71" t="s">
        <v>1879</v>
      </c>
      <c r="E572" s="72" t="s">
        <v>2933</v>
      </c>
    </row>
    <row r="573" spans="2:5" x14ac:dyDescent="0.3">
      <c r="B573" s="70" t="s">
        <v>2419</v>
      </c>
      <c r="C573" s="122" t="s">
        <v>2917</v>
      </c>
      <c r="D573" s="71" t="s">
        <v>380</v>
      </c>
      <c r="E573" s="72" t="s">
        <v>2934</v>
      </c>
    </row>
    <row r="574" spans="2:5" x14ac:dyDescent="0.3">
      <c r="B574" s="70" t="s">
        <v>2427</v>
      </c>
      <c r="C574" s="115" t="s">
        <v>2921</v>
      </c>
      <c r="D574" s="71" t="s">
        <v>1981</v>
      </c>
      <c r="E574" s="72" t="s">
        <v>2934</v>
      </c>
    </row>
    <row r="575" spans="2:5" x14ac:dyDescent="0.3">
      <c r="B575" s="70" t="s">
        <v>2423</v>
      </c>
      <c r="C575" s="121" t="s">
        <v>2920</v>
      </c>
      <c r="D575" s="71" t="s">
        <v>185</v>
      </c>
      <c r="E575" s="72" t="s">
        <v>2934</v>
      </c>
    </row>
    <row r="576" spans="2:5" x14ac:dyDescent="0.3">
      <c r="B576" s="70" t="s">
        <v>2409</v>
      </c>
      <c r="C576" s="115" t="s">
        <v>1484</v>
      </c>
      <c r="D576" s="71" t="s">
        <v>1877</v>
      </c>
      <c r="E576" s="72" t="s">
        <v>2933</v>
      </c>
    </row>
    <row r="577" spans="2:5" x14ac:dyDescent="0.3">
      <c r="B577" s="70" t="s">
        <v>2416</v>
      </c>
      <c r="C577" s="115" t="s">
        <v>2915</v>
      </c>
      <c r="D577" s="71" t="s">
        <v>1847</v>
      </c>
      <c r="E577" s="72" t="s">
        <v>2933</v>
      </c>
    </row>
    <row r="578" spans="2:5" x14ac:dyDescent="0.3">
      <c r="B578" s="70" t="s">
        <v>2450</v>
      </c>
      <c r="C578" s="115" t="s">
        <v>2927</v>
      </c>
      <c r="D578" s="71" t="s">
        <v>1986</v>
      </c>
      <c r="E578" s="72" t="s">
        <v>2933</v>
      </c>
    </row>
  </sheetData>
  <mergeCells count="1">
    <mergeCell ref="A1:H3"/>
  </mergeCells>
  <conditionalFormatting sqref="C308:C313">
    <cfRule type="cellIs" dxfId="2" priority="3" operator="equal">
      <formula>0</formula>
    </cfRule>
  </conditionalFormatting>
  <conditionalFormatting sqref="C397:C405">
    <cfRule type="cellIs" dxfId="1" priority="2" operator="equal">
      <formula>0</formula>
    </cfRule>
  </conditionalFormatting>
  <pageMargins left="0.7" right="0.7" top="0.75" bottom="0.75" header="0.3" footer="0.3"/>
  <pageSetup paperSize="5" orientation="landscape" horizontalDpi="360" verticalDpi="360" r:id="rId1"/>
  <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51803-A8F7-457D-A9BC-77AC7E635AB7}">
  <sheetPr codeName="Hoja2"/>
  <dimension ref="A1:P20"/>
  <sheetViews>
    <sheetView zoomScaleNormal="100" workbookViewId="0">
      <selection activeCell="F21" sqref="F21"/>
    </sheetView>
  </sheetViews>
  <sheetFormatPr baseColWidth="10" defaultRowHeight="14.4" x14ac:dyDescent="0.3"/>
  <cols>
    <col min="2" max="2" width="11.5546875" style="1"/>
    <col min="4" max="4" width="27.33203125" customWidth="1"/>
    <col min="5" max="6" width="11.5546875" style="1"/>
    <col min="7" max="7" width="13.88671875" customWidth="1"/>
    <col min="8" max="8" width="20.88671875" customWidth="1"/>
    <col min="9" max="15" width="11.5546875" style="1"/>
  </cols>
  <sheetData>
    <row r="1" spans="1:16" x14ac:dyDescent="0.3">
      <c r="C1" t="s">
        <v>1104</v>
      </c>
    </row>
    <row r="2" spans="1:16" x14ac:dyDescent="0.3">
      <c r="D2" t="s">
        <v>1105</v>
      </c>
      <c r="G2" t="s">
        <v>1106</v>
      </c>
      <c r="N2" s="1" t="s">
        <v>1107</v>
      </c>
    </row>
    <row r="4" spans="1:16" x14ac:dyDescent="0.3">
      <c r="C4" t="s">
        <v>1108</v>
      </c>
      <c r="D4" t="s">
        <v>3165</v>
      </c>
    </row>
    <row r="5" spans="1:16" ht="17.399999999999999" customHeight="1" x14ac:dyDescent="0.3">
      <c r="C5" s="16" t="s">
        <v>1109</v>
      </c>
      <c r="D5" t="s">
        <v>1110</v>
      </c>
    </row>
    <row r="10" spans="1:16" x14ac:dyDescent="0.3">
      <c r="B10" s="25" t="s">
        <v>2936</v>
      </c>
      <c r="C10" s="5" t="s">
        <v>24</v>
      </c>
      <c r="D10" s="5" t="s">
        <v>1</v>
      </c>
      <c r="E10" s="2"/>
      <c r="F10" s="2" t="s">
        <v>25</v>
      </c>
      <c r="G10" s="5" t="s">
        <v>46</v>
      </c>
      <c r="H10" s="5" t="s">
        <v>47</v>
      </c>
      <c r="I10" s="2" t="s">
        <v>66</v>
      </c>
      <c r="J10" s="2" t="s">
        <v>45</v>
      </c>
      <c r="K10" s="2" t="s">
        <v>26</v>
      </c>
      <c r="L10" s="2" t="s">
        <v>27</v>
      </c>
      <c r="M10" s="24" t="s">
        <v>28</v>
      </c>
      <c r="N10" s="2" t="s">
        <v>2</v>
      </c>
      <c r="O10" s="3" t="s">
        <v>551</v>
      </c>
    </row>
    <row r="11" spans="1:16" x14ac:dyDescent="0.3">
      <c r="B11" s="1" cm="1">
        <f t="array" ref="B11:P20">IF(D4="","",_xlfn._xlws.FILTER(Tabla3[],ISNUMBER(SEARCH(D4,Tabla3[APELLIDOS]))+ISNUMBER(SEARCH(D4,Tabla3[APELLIDOS2])),"sin resultados"))</f>
        <v>147</v>
      </c>
      <c r="C11">
        <v>149</v>
      </c>
      <c r="D11" t="str">
        <v>FREDY</v>
      </c>
      <c r="E11" s="1" t="str">
        <v>SOLIZ CARBALLO</v>
      </c>
      <c r="F11" s="1">
        <v>7726755</v>
      </c>
      <c r="G11">
        <v>71352358</v>
      </c>
      <c r="H11" t="str">
        <v>RAQUEL</v>
      </c>
      <c r="I11" s="1" t="str">
        <v>FERNANDEZ CESPEDES</v>
      </c>
      <c r="J11" s="1">
        <v>7826340</v>
      </c>
      <c r="K11" s="1">
        <v>62033079</v>
      </c>
      <c r="L11" s="1">
        <v>1057494</v>
      </c>
      <c r="M11" s="1">
        <v>56017</v>
      </c>
      <c r="N11" s="1" t="str">
        <v>2C</v>
      </c>
      <c r="O11" s="1">
        <v>0</v>
      </c>
      <c r="P11">
        <v>0</v>
      </c>
    </row>
    <row r="12" spans="1:16" x14ac:dyDescent="0.3">
      <c r="A12" t="str">
        <f>IF(C6=" ","","vacio")</f>
        <v>vacio</v>
      </c>
      <c r="B12" s="1">
        <v>155</v>
      </c>
      <c r="C12">
        <v>157</v>
      </c>
      <c r="D12" t="str">
        <v>WILSON AMILKAR</v>
      </c>
      <c r="E12" s="1" t="str">
        <v>SOLIZ HINOJOSA</v>
      </c>
      <c r="F12" s="1">
        <v>5417783</v>
      </c>
      <c r="G12">
        <v>0</v>
      </c>
      <c r="H12" t="str">
        <v>ABIGAIL</v>
      </c>
      <c r="I12" s="1" t="str">
        <v>DURAN FLORES</v>
      </c>
      <c r="J12" s="1">
        <v>7817929</v>
      </c>
      <c r="K12" s="1">
        <v>76060432</v>
      </c>
      <c r="L12" s="1">
        <v>1057004</v>
      </c>
      <c r="M12" s="1">
        <v>8561</v>
      </c>
      <c r="N12" s="1" t="str">
        <v>2B</v>
      </c>
      <c r="O12" s="1">
        <v>0</v>
      </c>
      <c r="P12">
        <v>0</v>
      </c>
    </row>
    <row r="13" spans="1:16" x14ac:dyDescent="0.3">
      <c r="B13" s="1" t="str">
        <v>SR23</v>
      </c>
      <c r="C13">
        <v>173</v>
      </c>
      <c r="D13" t="str">
        <v xml:space="preserve">ALBER </v>
      </c>
      <c r="E13" s="1" t="str">
        <v>NAVARRO SOLIZ</v>
      </c>
      <c r="F13" s="1">
        <v>6290117</v>
      </c>
      <c r="G13">
        <v>0</v>
      </c>
      <c r="H13" t="str">
        <v>CONSUELO 
MILENKA</v>
      </c>
      <c r="I13" s="1" t="str">
        <v>RAMOS VILLEGAS</v>
      </c>
      <c r="J13" s="1">
        <v>5383814</v>
      </c>
      <c r="K13" s="1">
        <v>75629037</v>
      </c>
      <c r="L13" s="1">
        <v>1055609</v>
      </c>
      <c r="M13" s="1">
        <v>56299</v>
      </c>
      <c r="N13" s="1" t="str">
        <v>2A</v>
      </c>
      <c r="O13" s="1">
        <v>0</v>
      </c>
      <c r="P13">
        <v>0</v>
      </c>
    </row>
    <row r="14" spans="1:16" x14ac:dyDescent="0.3">
      <c r="B14" s="1">
        <v>187</v>
      </c>
      <c r="C14">
        <v>188</v>
      </c>
      <c r="D14" t="str">
        <v>JUAN PABLO</v>
      </c>
      <c r="E14" s="1" t="str">
        <v>HUAYTA DONAIRE</v>
      </c>
      <c r="F14" s="1">
        <v>6266633</v>
      </c>
      <c r="G14">
        <v>78069031</v>
      </c>
      <c r="H14" t="str">
        <v>AURORA</v>
      </c>
      <c r="I14" s="1" t="str">
        <v>SOLIZ QUIROZ</v>
      </c>
      <c r="J14" s="1">
        <v>5337635</v>
      </c>
      <c r="K14" s="1">
        <v>0</v>
      </c>
      <c r="L14" s="1">
        <v>1057768</v>
      </c>
      <c r="M14" s="1">
        <v>56015</v>
      </c>
      <c r="N14" s="1" t="str">
        <v>3C</v>
      </c>
      <c r="O14" s="1">
        <v>0</v>
      </c>
      <c r="P14">
        <v>0</v>
      </c>
    </row>
    <row r="15" spans="1:16" x14ac:dyDescent="0.3">
      <c r="B15" s="1">
        <v>212</v>
      </c>
      <c r="C15">
        <v>212</v>
      </c>
      <c r="D15" t="str">
        <v>ARCIL</v>
      </c>
      <c r="E15" s="1" t="str">
        <v>SOLIZ CARBALLO</v>
      </c>
      <c r="F15" s="1">
        <v>7717996</v>
      </c>
      <c r="G15">
        <v>0</v>
      </c>
      <c r="H15" t="str">
        <v>NANCY</v>
      </c>
      <c r="I15" s="1" t="str">
        <v>MAMANI IPORRE</v>
      </c>
      <c r="J15" s="1">
        <v>8887990</v>
      </c>
      <c r="K15" s="1">
        <v>63387510</v>
      </c>
      <c r="L15" s="1">
        <v>1057505</v>
      </c>
      <c r="M15" s="1">
        <v>56294</v>
      </c>
      <c r="N15" s="1" t="str">
        <v>2C</v>
      </c>
      <c r="O15" s="1">
        <v>0</v>
      </c>
      <c r="P15">
        <v>0</v>
      </c>
    </row>
    <row r="16" spans="1:16" x14ac:dyDescent="0.3">
      <c r="B16" s="1">
        <v>374</v>
      </c>
      <c r="C16">
        <v>358</v>
      </c>
      <c r="D16" t="str">
        <v>HEVERT</v>
      </c>
      <c r="E16" s="1" t="str">
        <v>SOLIZ ESCOBAR</v>
      </c>
      <c r="F16" s="1">
        <v>6246057</v>
      </c>
      <c r="G16">
        <v>0</v>
      </c>
      <c r="H16" t="str">
        <v>FILOMENA</v>
      </c>
      <c r="I16" s="1" t="str">
        <v>CABRERA PANOZO</v>
      </c>
      <c r="J16" s="1">
        <v>8963119</v>
      </c>
      <c r="K16" s="1">
        <v>78522015</v>
      </c>
      <c r="L16" s="1">
        <v>1059881</v>
      </c>
      <c r="M16" s="1">
        <v>56005</v>
      </c>
      <c r="N16" s="1" t="str">
        <v>6A</v>
      </c>
      <c r="O16" s="1">
        <v>0</v>
      </c>
      <c r="P16">
        <v>0</v>
      </c>
    </row>
    <row r="17" spans="2:16" x14ac:dyDescent="0.3">
      <c r="B17" s="1">
        <v>383</v>
      </c>
      <c r="C17">
        <v>365</v>
      </c>
      <c r="D17" t="str">
        <v>ELVIS</v>
      </c>
      <c r="E17" s="1" t="str">
        <v>SILES SOLIZ</v>
      </c>
      <c r="F17" s="1">
        <v>6210745</v>
      </c>
      <c r="G17">
        <v>0</v>
      </c>
      <c r="H17" t="str">
        <v xml:space="preserve">FRANCISCA </v>
      </c>
      <c r="I17" s="1" t="str">
        <v>FIGUEROA LOAIZA</v>
      </c>
      <c r="J17" s="1">
        <v>9583393</v>
      </c>
      <c r="K17" s="1">
        <v>69277787</v>
      </c>
      <c r="L17" s="1">
        <v>1059202</v>
      </c>
      <c r="M17" s="1">
        <v>8556</v>
      </c>
      <c r="N17" s="1" t="str">
        <v>2C</v>
      </c>
      <c r="O17" s="1">
        <v>0</v>
      </c>
      <c r="P17" t="str">
        <v>DOBLE</v>
      </c>
    </row>
    <row r="18" spans="2:16" x14ac:dyDescent="0.3">
      <c r="B18" s="1">
        <v>465</v>
      </c>
      <c r="C18">
        <v>441</v>
      </c>
      <c r="D18" t="str">
        <v>PEDRO</v>
      </c>
      <c r="E18" s="1" t="str">
        <v>JUAN DE DIOS ABAPORY</v>
      </c>
      <c r="F18" s="1">
        <v>4684616</v>
      </c>
      <c r="G18">
        <v>0</v>
      </c>
      <c r="H18" t="str">
        <v>LINA</v>
      </c>
      <c r="I18" s="1" t="str">
        <v>SOLIS GARNICA</v>
      </c>
      <c r="J18" s="1">
        <v>4606151</v>
      </c>
      <c r="K18" s="1">
        <v>78199706</v>
      </c>
      <c r="L18" s="1">
        <v>1057278</v>
      </c>
      <c r="M18" s="1">
        <v>56264</v>
      </c>
      <c r="N18" s="1" t="str">
        <v>4C</v>
      </c>
      <c r="O18" s="1">
        <v>0</v>
      </c>
      <c r="P18">
        <v>0</v>
      </c>
    </row>
    <row r="19" spans="2:16" x14ac:dyDescent="0.3">
      <c r="B19" s="1" t="str">
        <v>SR20</v>
      </c>
      <c r="C19">
        <v>444</v>
      </c>
      <c r="D19" t="str">
        <v>CHAMEL</v>
      </c>
      <c r="E19" s="1" t="str">
        <v>LOYZA MONTAÑO</v>
      </c>
      <c r="F19" s="1">
        <v>3888121</v>
      </c>
      <c r="G19">
        <v>0</v>
      </c>
      <c r="H19" t="str">
        <v>MARGARITA</v>
      </c>
      <c r="I19" s="1" t="str">
        <v>COIMBRA SOLIZ</v>
      </c>
      <c r="J19" s="1">
        <v>4549578</v>
      </c>
      <c r="K19" s="1">
        <v>69048992</v>
      </c>
      <c r="L19" s="1">
        <v>1078061</v>
      </c>
      <c r="M19" s="1">
        <v>82640</v>
      </c>
      <c r="N19" s="1" t="str">
        <v>5B</v>
      </c>
      <c r="O19" s="1">
        <v>0</v>
      </c>
      <c r="P19">
        <v>0</v>
      </c>
    </row>
    <row r="20" spans="2:16" x14ac:dyDescent="0.3">
      <c r="B20" s="1" t="str">
        <v>SR32</v>
      </c>
      <c r="C20">
        <v>457</v>
      </c>
      <c r="D20" t="str">
        <v>NOEL</v>
      </c>
      <c r="E20" s="1" t="str">
        <v>SOLIZ BERRIOS</v>
      </c>
      <c r="F20" s="1">
        <v>8550231</v>
      </c>
      <c r="G20">
        <v>0</v>
      </c>
      <c r="H20" t="str">
        <v>MARLENI 
SOLEDAD</v>
      </c>
      <c r="I20" s="1" t="str">
        <v>ALDAPI GONZALES</v>
      </c>
      <c r="J20" s="1">
        <v>6694232</v>
      </c>
      <c r="K20" s="1">
        <v>75624741</v>
      </c>
      <c r="L20" s="1">
        <v>1056137</v>
      </c>
      <c r="M20" s="1" t="str">
        <v>NO</v>
      </c>
      <c r="N20" s="1" t="str">
        <v>6B</v>
      </c>
      <c r="O20" s="1">
        <v>0</v>
      </c>
      <c r="P20"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TextBox1">
          <controlPr defaultSize="0" autoLine="0" linkedCell="D4" r:id="rId4">
            <anchor moveWithCells="1">
              <from>
                <xdr:col>2</xdr:col>
                <xdr:colOff>731520</xdr:colOff>
                <xdr:row>2</xdr:row>
                <xdr:rowOff>137160</xdr:rowOff>
              </from>
              <to>
                <xdr:col>5</xdr:col>
                <xdr:colOff>541020</xdr:colOff>
                <xdr:row>4</xdr:row>
                <xdr:rowOff>22860</xdr:rowOff>
              </to>
            </anchor>
          </controlPr>
        </control>
      </mc:Choice>
      <mc:Fallback>
        <control shapeId="6145" r:id="rId3" name="TextBox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5192A25A-71AD-4FF7-A218-6972F477DCDE}">
            <xm:f>NOT(ISERROR(SEARCH($C$1,N2)))</xm:f>
            <xm:f>$C$1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m:sqref>N2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16</vt:i4>
      </vt:variant>
    </vt:vector>
  </HeadingPairs>
  <TitlesOfParts>
    <vt:vector size="16" baseType="lpstr">
      <vt:lpstr>MENU</vt:lpstr>
      <vt:lpstr>OBLIGACIONES</vt:lpstr>
      <vt:lpstr>ASAMBLEAS</vt:lpstr>
      <vt:lpstr>MINGA</vt:lpstr>
      <vt:lpstr>ACTIVIDADES</vt:lpstr>
      <vt:lpstr>BTH</vt:lpstr>
      <vt:lpstr>APORTE2025</vt:lpstr>
      <vt:lpstr>OBLIGACIONES2025</vt:lpstr>
      <vt:lpstr>Padres1</vt:lpstr>
      <vt:lpstr>BUSQUEDAPADRES</vt:lpstr>
      <vt:lpstr>Hoja1</vt:lpstr>
      <vt:lpstr>BUSQUEDAALUMNOS</vt:lpstr>
      <vt:lpstr>PADRES</vt:lpstr>
      <vt:lpstr>LISTACURSO</vt:lpstr>
      <vt:lpstr>ALUMNOS2025</vt:lpstr>
      <vt:lpstr>BusquedaMultiplie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Raul Martinez Aguanta</dc:creator>
  <cp:lastModifiedBy>Raul Martinez Aguanta</cp:lastModifiedBy>
  <cp:lastPrinted>2026-04-30T22:16:52Z</cp:lastPrinted>
  <dcterms:created xsi:type="dcterms:W3CDTF">2025-06-15T21:19:49Z</dcterms:created>
  <dcterms:modified xsi:type="dcterms:W3CDTF">2026-05-19T19:21:22Z</dcterms:modified>
</cp:coreProperties>
</file>